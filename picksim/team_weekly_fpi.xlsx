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Selvey\Documents\GitHub\Sandbox\picksim\"/>
    </mc:Choice>
  </mc:AlternateContent>
  <xr:revisionPtr revIDLastSave="0" documentId="13_ncr:1_{5F7CD9BA-5C69-47FF-A828-675F419D2862}" xr6:coauthVersionLast="47" xr6:coauthVersionMax="47" xr10:uidLastSave="{00000000-0000-0000-0000-000000000000}"/>
  <bookViews>
    <workbookView xWindow="-120" yWindow="-120" windowWidth="29040" windowHeight="15720" firstSheet="9" activeTab="14" xr2:uid="{ECFD124A-D4E7-45E4-9C4C-F50A009E6E50}"/>
  </bookViews>
  <sheets>
    <sheet name="team_weekly_fpi_1" sheetId="1" r:id="rId1"/>
    <sheet name="team_weekly_fpi_2" sheetId="2" r:id="rId2"/>
    <sheet name="team_weekly_fpi_3" sheetId="3" r:id="rId3"/>
    <sheet name="team_weekly_fpi_3_ME" sheetId="4" r:id="rId4"/>
    <sheet name="team_weekly_fpi_4" sheetId="5" r:id="rId5"/>
    <sheet name="team_weekly_fpi_5" sheetId="6" r:id="rId6"/>
    <sheet name="team_weekly_fpi_6" sheetId="7" r:id="rId7"/>
    <sheet name="team_weekly_fpi_7" sheetId="8" r:id="rId8"/>
    <sheet name="team_weekly_fpi_8" sheetId="9" r:id="rId9"/>
    <sheet name="team_weekly_fpi_9" sheetId="10" r:id="rId10"/>
    <sheet name="team_weekly_fpi_10" sheetId="11" r:id="rId11"/>
    <sheet name="team_weekly_fpi_11" sheetId="12" r:id="rId12"/>
    <sheet name="team_weekly_fpi_12" sheetId="13" r:id="rId13"/>
    <sheet name="team_weekly_fpi_13" sheetId="14" r:id="rId14"/>
    <sheet name="team_weekly_fpi_14" sheetId="15" r:id="rId15"/>
  </sheets>
  <definedNames>
    <definedName name="_xlnm._FilterDatabase" localSheetId="0" hidden="1">team_weekly_fpi_1!$A$108:$T$140</definedName>
    <definedName name="_xlnm._FilterDatabase" localSheetId="10" hidden="1">team_weekly_fpi_10!$A$29:$K$29</definedName>
    <definedName name="_xlnm._FilterDatabase" localSheetId="11" hidden="1">team_weekly_fpi_11!$A$27:$J$27</definedName>
    <definedName name="_xlnm._FilterDatabase" localSheetId="12" hidden="1">team_weekly_fpi_12!$A$26:$I$26</definedName>
    <definedName name="_xlnm._FilterDatabase" localSheetId="13" hidden="1">team_weekly_fpi_13!$A$25:$H$25</definedName>
    <definedName name="_xlnm._FilterDatabase" localSheetId="14" hidden="1">team_weekly_fpi_14!$A$24:$G$24</definedName>
    <definedName name="_xlnm._FilterDatabase" localSheetId="1" hidden="1">team_weekly_fpi_2!$A$108:$U$108</definedName>
    <definedName name="_xlnm._FilterDatabase" localSheetId="2" hidden="1">team_weekly_fpi_3!$A$71:$U$71</definedName>
    <definedName name="_xlnm._FilterDatabase" localSheetId="3" hidden="1">team_weekly_fpi_3_ME!$A$69:$U$69</definedName>
    <definedName name="_xlnm._FilterDatabase" localSheetId="4" hidden="1">team_weekly_fpi_4!$A$33:$R$33</definedName>
    <definedName name="_xlnm._FilterDatabase" localSheetId="5" hidden="1">team_weekly_fpi_5!$A$66:$P$66</definedName>
    <definedName name="_xlnm._FilterDatabase" localSheetId="6" hidden="1">team_weekly_fpi_6!$A$64:$O$64</definedName>
    <definedName name="_xlnm._FilterDatabase" localSheetId="7" hidden="1">team_weekly_fpi_7!$A$60:$N$60</definedName>
    <definedName name="_xlnm._FilterDatabase" localSheetId="8" hidden="1">team_weekly_fpi_8!$A$58:$M$58</definedName>
    <definedName name="_xlnm._FilterDatabase" localSheetId="9" hidden="1">team_weekly_fpi_9!$A$30:$L$30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15" l="1"/>
  <c r="E48" i="15"/>
  <c r="D48" i="15"/>
  <c r="C48" i="15"/>
  <c r="B48" i="15"/>
  <c r="I46" i="15"/>
  <c r="H46" i="15"/>
  <c r="G46" i="15"/>
  <c r="I45" i="15"/>
  <c r="H45" i="15"/>
  <c r="G45" i="15"/>
  <c r="F43" i="15" a="1"/>
  <c r="F43" i="15" s="1"/>
  <c r="E43" i="15" a="1"/>
  <c r="E43" i="15" s="1"/>
  <c r="D43" i="15" a="1"/>
  <c r="D43" i="15" s="1"/>
  <c r="C43" i="15" a="1"/>
  <c r="C43" i="15" s="1"/>
  <c r="B43" i="15" a="1"/>
  <c r="B43" i="15" s="1"/>
  <c r="F42" i="15" a="1"/>
  <c r="F42" i="15" s="1"/>
  <c r="E42" i="15" a="1"/>
  <c r="E42" i="15" s="1"/>
  <c r="D42" i="15" a="1"/>
  <c r="D42" i="15" s="1"/>
  <c r="C42" i="15" a="1"/>
  <c r="C42" i="15" s="1"/>
  <c r="B42" i="15" a="1"/>
  <c r="B42" i="15" s="1"/>
  <c r="F41" i="15" a="1"/>
  <c r="F41" i="15" s="1"/>
  <c r="E41" i="15" a="1"/>
  <c r="E41" i="15" s="1"/>
  <c r="D41" i="15" a="1"/>
  <c r="D41" i="15" s="1"/>
  <c r="C41" i="15" a="1"/>
  <c r="C41" i="15" s="1"/>
  <c r="B41" i="15" a="1"/>
  <c r="B41" i="15" s="1"/>
  <c r="F40" i="15" a="1"/>
  <c r="F40" i="15" s="1"/>
  <c r="E40" i="15" a="1"/>
  <c r="E40" i="15" s="1"/>
  <c r="D40" i="15" a="1"/>
  <c r="D40" i="15" s="1"/>
  <c r="C40" i="15" a="1"/>
  <c r="C40" i="15" s="1"/>
  <c r="B40" i="15" a="1"/>
  <c r="B40" i="15" s="1"/>
  <c r="F39" i="15" a="1"/>
  <c r="F39" i="15" s="1"/>
  <c r="E39" i="15" a="1"/>
  <c r="E39" i="15" s="1"/>
  <c r="D39" i="15" a="1"/>
  <c r="D39" i="15" s="1"/>
  <c r="C39" i="15" a="1"/>
  <c r="C39" i="15" s="1"/>
  <c r="B39" i="15" a="1"/>
  <c r="B39" i="15" s="1"/>
  <c r="F38" i="15"/>
  <c r="F38" i="15" a="1"/>
  <c r="E38" i="15" a="1"/>
  <c r="E38" i="15" s="1"/>
  <c r="D38" i="15" a="1"/>
  <c r="D38" i="15" s="1"/>
  <c r="C38" i="15" a="1"/>
  <c r="C38" i="15" s="1"/>
  <c r="B38" i="15" a="1"/>
  <c r="B38" i="15" s="1"/>
  <c r="F36" i="15" a="1"/>
  <c r="F36" i="15" s="1"/>
  <c r="E36" i="15" a="1"/>
  <c r="E36" i="15" s="1"/>
  <c r="D36" i="15" a="1"/>
  <c r="D36" i="15" s="1"/>
  <c r="C36" i="15" a="1"/>
  <c r="C36" i="15" s="1"/>
  <c r="B36" i="15" a="1"/>
  <c r="B36" i="15" s="1"/>
  <c r="F37" i="15" a="1"/>
  <c r="F37" i="15" s="1"/>
  <c r="E37" i="15" a="1"/>
  <c r="E37" i="15" s="1"/>
  <c r="D37" i="15" a="1"/>
  <c r="D37" i="15" s="1"/>
  <c r="C37" i="15" a="1"/>
  <c r="C37" i="15" s="1"/>
  <c r="B37" i="15" a="1"/>
  <c r="B37" i="15" s="1"/>
  <c r="F35" i="15" a="1"/>
  <c r="F35" i="15" s="1"/>
  <c r="E35" i="15" a="1"/>
  <c r="E35" i="15" s="1"/>
  <c r="D35" i="15" a="1"/>
  <c r="D35" i="15" s="1"/>
  <c r="C35" i="15" a="1"/>
  <c r="C35" i="15" s="1"/>
  <c r="B35" i="15" a="1"/>
  <c r="B35" i="15" s="1"/>
  <c r="F28" i="15" a="1"/>
  <c r="F28" i="15" s="1"/>
  <c r="E28" i="15" a="1"/>
  <c r="E28" i="15" s="1"/>
  <c r="D28" i="15" a="1"/>
  <c r="D28" i="15" s="1"/>
  <c r="C28" i="15" a="1"/>
  <c r="C28" i="15" s="1"/>
  <c r="B28" i="15" a="1"/>
  <c r="B28" i="15" s="1"/>
  <c r="F34" i="15" a="1"/>
  <c r="F34" i="15" s="1"/>
  <c r="E34" i="15" a="1"/>
  <c r="E34" i="15" s="1"/>
  <c r="D34" i="15" a="1"/>
  <c r="D34" i="15" s="1"/>
  <c r="C34" i="15" a="1"/>
  <c r="C34" i="15" s="1"/>
  <c r="B34" i="15" a="1"/>
  <c r="B34" i="15" s="1"/>
  <c r="F33" i="15" a="1"/>
  <c r="F33" i="15" s="1"/>
  <c r="E33" i="15" a="1"/>
  <c r="E33" i="15" s="1"/>
  <c r="D33" i="15" a="1"/>
  <c r="D33" i="15" s="1"/>
  <c r="C33" i="15" a="1"/>
  <c r="C33" i="15" s="1"/>
  <c r="B33" i="15" a="1"/>
  <c r="B33" i="15" s="1"/>
  <c r="F32" i="15" a="1"/>
  <c r="F32" i="15" s="1"/>
  <c r="E32" i="15" a="1"/>
  <c r="E32" i="15" s="1"/>
  <c r="D32" i="15" a="1"/>
  <c r="D32" i="15" s="1"/>
  <c r="C32" i="15" a="1"/>
  <c r="C32" i="15" s="1"/>
  <c r="B32" i="15" a="1"/>
  <c r="B32" i="15" s="1"/>
  <c r="F31" i="15" a="1"/>
  <c r="F31" i="15" s="1"/>
  <c r="E31" i="15" a="1"/>
  <c r="E31" i="15" s="1"/>
  <c r="D31" i="15" a="1"/>
  <c r="D31" i="15" s="1"/>
  <c r="C31" i="15" a="1"/>
  <c r="C31" i="15" s="1"/>
  <c r="B31" i="15" a="1"/>
  <c r="B31" i="15" s="1"/>
  <c r="F30" i="15" a="1"/>
  <c r="F30" i="15" s="1"/>
  <c r="E30" i="15" a="1"/>
  <c r="E30" i="15" s="1"/>
  <c r="D30" i="15" a="1"/>
  <c r="D30" i="15" s="1"/>
  <c r="C30" i="15" a="1"/>
  <c r="C30" i="15" s="1"/>
  <c r="B30" i="15" a="1"/>
  <c r="B30" i="15" s="1"/>
  <c r="F29" i="15" a="1"/>
  <c r="F29" i="15" s="1"/>
  <c r="E29" i="15" a="1"/>
  <c r="E29" i="15" s="1"/>
  <c r="D29" i="15" a="1"/>
  <c r="D29" i="15" s="1"/>
  <c r="C29" i="15" a="1"/>
  <c r="C29" i="15" s="1"/>
  <c r="B29" i="15" a="1"/>
  <c r="B29" i="15" s="1"/>
  <c r="F27" i="15" a="1"/>
  <c r="F27" i="15" s="1"/>
  <c r="E27" i="15" a="1"/>
  <c r="E27" i="15" s="1"/>
  <c r="D27" i="15" a="1"/>
  <c r="D27" i="15" s="1"/>
  <c r="C27" i="15" a="1"/>
  <c r="C27" i="15" s="1"/>
  <c r="B27" i="15" a="1"/>
  <c r="B27" i="15" s="1"/>
  <c r="F26" i="15" a="1"/>
  <c r="F26" i="15" s="1"/>
  <c r="E26" i="15" a="1"/>
  <c r="E26" i="15" s="1"/>
  <c r="D26" i="15" a="1"/>
  <c r="D26" i="15" s="1"/>
  <c r="C26" i="15" a="1"/>
  <c r="C26" i="15" s="1"/>
  <c r="B26" i="15" a="1"/>
  <c r="B26" i="15" s="1"/>
  <c r="F25" i="15" a="1"/>
  <c r="F25" i="15" s="1"/>
  <c r="E25" i="15" a="1"/>
  <c r="E25" i="15" s="1"/>
  <c r="D25" i="15" a="1"/>
  <c r="D25" i="15" s="1"/>
  <c r="C25" i="15" a="1"/>
  <c r="C25" i="15" s="1"/>
  <c r="B25" i="15" a="1"/>
  <c r="B25" i="15" s="1"/>
  <c r="F21" i="15" a="1"/>
  <c r="F21" i="15" s="1"/>
  <c r="E21" i="15" a="1"/>
  <c r="E21" i="15" s="1"/>
  <c r="D21" i="15" a="1"/>
  <c r="D21" i="15" s="1"/>
  <c r="C21" i="15" a="1"/>
  <c r="C21" i="15" s="1"/>
  <c r="B21" i="15" a="1"/>
  <c r="B21" i="15" s="1"/>
  <c r="G50" i="14"/>
  <c r="F50" i="14"/>
  <c r="E50" i="14"/>
  <c r="D50" i="14"/>
  <c r="C50" i="14"/>
  <c r="B50" i="14"/>
  <c r="J48" i="14"/>
  <c r="I48" i="14"/>
  <c r="H48" i="14"/>
  <c r="J47" i="14"/>
  <c r="I47" i="14"/>
  <c r="H47" i="14"/>
  <c r="G45" i="14" a="1"/>
  <c r="G45" i="14" s="1"/>
  <c r="F45" i="14" a="1"/>
  <c r="F45" i="14" s="1"/>
  <c r="E45" i="14" a="1"/>
  <c r="E45" i="14" s="1"/>
  <c r="D45" i="14" a="1"/>
  <c r="D45" i="14" s="1"/>
  <c r="C45" i="14" a="1"/>
  <c r="C45" i="14" s="1"/>
  <c r="B45" i="14" a="1"/>
  <c r="B45" i="14" s="1"/>
  <c r="G44" i="14" a="1"/>
  <c r="G44" i="14" s="1"/>
  <c r="F44" i="14" a="1"/>
  <c r="F44" i="14" s="1"/>
  <c r="E44" i="14" a="1"/>
  <c r="E44" i="14" s="1"/>
  <c r="D44" i="14" a="1"/>
  <c r="D44" i="14" s="1"/>
  <c r="C44" i="14" a="1"/>
  <c r="C44" i="14" s="1"/>
  <c r="B44" i="14" a="1"/>
  <c r="B44" i="14" s="1"/>
  <c r="G43" i="14" a="1"/>
  <c r="G43" i="14" s="1"/>
  <c r="F43" i="14" a="1"/>
  <c r="F43" i="14" s="1"/>
  <c r="E43" i="14" a="1"/>
  <c r="E43" i="14" s="1"/>
  <c r="D43" i="14" a="1"/>
  <c r="D43" i="14" s="1"/>
  <c r="C43" i="14" a="1"/>
  <c r="C43" i="14" s="1"/>
  <c r="B43" i="14" a="1"/>
  <c r="B43" i="14" s="1"/>
  <c r="G42" i="14" a="1"/>
  <c r="G42" i="14" s="1"/>
  <c r="F42" i="14" a="1"/>
  <c r="F42" i="14" s="1"/>
  <c r="E42" i="14" a="1"/>
  <c r="E42" i="14" s="1"/>
  <c r="D42" i="14" a="1"/>
  <c r="D42" i="14" s="1"/>
  <c r="C42" i="14" a="1"/>
  <c r="C42" i="14" s="1"/>
  <c r="B42" i="14" a="1"/>
  <c r="B42" i="14" s="1"/>
  <c r="G41" i="14" a="1"/>
  <c r="G41" i="14" s="1"/>
  <c r="F41" i="14" a="1"/>
  <c r="F41" i="14" s="1"/>
  <c r="E41" i="14" a="1"/>
  <c r="E41" i="14" s="1"/>
  <c r="D41" i="14" a="1"/>
  <c r="D41" i="14" s="1"/>
  <c r="C41" i="14" a="1"/>
  <c r="C41" i="14" s="1"/>
  <c r="B41" i="14" a="1"/>
  <c r="B41" i="14" s="1"/>
  <c r="G40" i="14" a="1"/>
  <c r="G40" i="14" s="1"/>
  <c r="F40" i="14" a="1"/>
  <c r="F40" i="14" s="1"/>
  <c r="E40" i="14" a="1"/>
  <c r="E40" i="14" s="1"/>
  <c r="D40" i="14" a="1"/>
  <c r="D40" i="14" s="1"/>
  <c r="C40" i="14" a="1"/>
  <c r="C40" i="14" s="1"/>
  <c r="B40" i="14" a="1"/>
  <c r="B40" i="14" s="1"/>
  <c r="G39" i="14" a="1"/>
  <c r="G39" i="14" s="1"/>
  <c r="F39" i="14" a="1"/>
  <c r="F39" i="14" s="1"/>
  <c r="E39" i="14" a="1"/>
  <c r="E39" i="14" s="1"/>
  <c r="D39" i="14" a="1"/>
  <c r="D39" i="14" s="1"/>
  <c r="C39" i="14" a="1"/>
  <c r="C39" i="14" s="1"/>
  <c r="B39" i="14" a="1"/>
  <c r="B39" i="14" s="1"/>
  <c r="G38" i="14" a="1"/>
  <c r="G38" i="14" s="1"/>
  <c r="F38" i="14" a="1"/>
  <c r="F38" i="14" s="1"/>
  <c r="E38" i="14" a="1"/>
  <c r="E38" i="14" s="1"/>
  <c r="D38" i="14" a="1"/>
  <c r="D38" i="14" s="1"/>
  <c r="C38" i="14" a="1"/>
  <c r="C38" i="14" s="1"/>
  <c r="B38" i="14" a="1"/>
  <c r="B38" i="14" s="1"/>
  <c r="G37" i="14" a="1"/>
  <c r="G37" i="14" s="1"/>
  <c r="F37" i="14" a="1"/>
  <c r="F37" i="14" s="1"/>
  <c r="E37" i="14" a="1"/>
  <c r="E37" i="14" s="1"/>
  <c r="D37" i="14" a="1"/>
  <c r="D37" i="14" s="1"/>
  <c r="C37" i="14" a="1"/>
  <c r="C37" i="14" s="1"/>
  <c r="B37" i="14" a="1"/>
  <c r="B37" i="14" s="1"/>
  <c r="G36" i="14" a="1"/>
  <c r="G36" i="14" s="1"/>
  <c r="F36" i="14" a="1"/>
  <c r="F36" i="14" s="1"/>
  <c r="E36" i="14" a="1"/>
  <c r="E36" i="14" s="1"/>
  <c r="D36" i="14" a="1"/>
  <c r="D36" i="14" s="1"/>
  <c r="C36" i="14" a="1"/>
  <c r="C36" i="14" s="1"/>
  <c r="B36" i="14" a="1"/>
  <c r="B36" i="14" s="1"/>
  <c r="G35" i="14" a="1"/>
  <c r="G35" i="14" s="1"/>
  <c r="F35" i="14" a="1"/>
  <c r="F35" i="14" s="1"/>
  <c r="E35" i="14" a="1"/>
  <c r="E35" i="14" s="1"/>
  <c r="D35" i="14" a="1"/>
  <c r="D35" i="14" s="1"/>
  <c r="C35" i="14" a="1"/>
  <c r="C35" i="14" s="1"/>
  <c r="B35" i="14" a="1"/>
  <c r="B35" i="14" s="1"/>
  <c r="G34" i="14" a="1"/>
  <c r="G34" i="14" s="1"/>
  <c r="F34" i="14" a="1"/>
  <c r="F34" i="14" s="1"/>
  <c r="E34" i="14" a="1"/>
  <c r="E34" i="14" s="1"/>
  <c r="D34" i="14" a="1"/>
  <c r="D34" i="14" s="1"/>
  <c r="C34" i="14" a="1"/>
  <c r="C34" i="14" s="1"/>
  <c r="B34" i="14" a="1"/>
  <c r="B34" i="14" s="1"/>
  <c r="G33" i="14" a="1"/>
  <c r="G33" i="14" s="1"/>
  <c r="F33" i="14" a="1"/>
  <c r="F33" i="14" s="1"/>
  <c r="E33" i="14" a="1"/>
  <c r="E33" i="14" s="1"/>
  <c r="D33" i="14" a="1"/>
  <c r="D33" i="14" s="1"/>
  <c r="C33" i="14" a="1"/>
  <c r="C33" i="14" s="1"/>
  <c r="B33" i="14" a="1"/>
  <c r="B33" i="14" s="1"/>
  <c r="G32" i="14" a="1"/>
  <c r="G32" i="14" s="1"/>
  <c r="F32" i="14" a="1"/>
  <c r="F32" i="14" s="1"/>
  <c r="E32" i="14" a="1"/>
  <c r="E32" i="14" s="1"/>
  <c r="D32" i="14" a="1"/>
  <c r="D32" i="14" s="1"/>
  <c r="C32" i="14" a="1"/>
  <c r="C32" i="14" s="1"/>
  <c r="B32" i="14" a="1"/>
  <c r="B32" i="14" s="1"/>
  <c r="G31" i="14" a="1"/>
  <c r="G31" i="14" s="1"/>
  <c r="F31" i="14" a="1"/>
  <c r="F31" i="14" s="1"/>
  <c r="E31" i="14" a="1"/>
  <c r="E31" i="14" s="1"/>
  <c r="D31" i="14" a="1"/>
  <c r="D31" i="14" s="1"/>
  <c r="C31" i="14" a="1"/>
  <c r="C31" i="14" s="1"/>
  <c r="B31" i="14" a="1"/>
  <c r="B31" i="14" s="1"/>
  <c r="G30" i="14" a="1"/>
  <c r="G30" i="14" s="1"/>
  <c r="F30" i="14" a="1"/>
  <c r="F30" i="14" s="1"/>
  <c r="E30" i="14" a="1"/>
  <c r="E30" i="14" s="1"/>
  <c r="D30" i="14" a="1"/>
  <c r="D30" i="14" s="1"/>
  <c r="C30" i="14" a="1"/>
  <c r="C30" i="14" s="1"/>
  <c r="B30" i="14" a="1"/>
  <c r="B30" i="14" s="1"/>
  <c r="G29" i="14" a="1"/>
  <c r="G29" i="14" s="1"/>
  <c r="F29" i="14" a="1"/>
  <c r="F29" i="14" s="1"/>
  <c r="E29" i="14" a="1"/>
  <c r="E29" i="14" s="1"/>
  <c r="D29" i="14" a="1"/>
  <c r="D29" i="14" s="1"/>
  <c r="C29" i="14" a="1"/>
  <c r="C29" i="14" s="1"/>
  <c r="B29" i="14" a="1"/>
  <c r="B29" i="14" s="1"/>
  <c r="G28" i="14" a="1"/>
  <c r="G28" i="14" s="1"/>
  <c r="F28" i="14" a="1"/>
  <c r="F28" i="14" s="1"/>
  <c r="E28" i="14" a="1"/>
  <c r="E28" i="14" s="1"/>
  <c r="D28" i="14" a="1"/>
  <c r="D28" i="14" s="1"/>
  <c r="C28" i="14" a="1"/>
  <c r="C28" i="14" s="1"/>
  <c r="B28" i="14" a="1"/>
  <c r="B28" i="14" s="1"/>
  <c r="G27" i="14" a="1"/>
  <c r="G27" i="14" s="1"/>
  <c r="F27" i="14" a="1"/>
  <c r="F27" i="14" s="1"/>
  <c r="E27" i="14" a="1"/>
  <c r="E27" i="14" s="1"/>
  <c r="D27" i="14" a="1"/>
  <c r="D27" i="14" s="1"/>
  <c r="C27" i="14" a="1"/>
  <c r="C27" i="14" s="1"/>
  <c r="B27" i="14" a="1"/>
  <c r="B27" i="14" s="1"/>
  <c r="G26" i="14" a="1"/>
  <c r="G26" i="14" s="1"/>
  <c r="F26" i="14" a="1"/>
  <c r="F26" i="14" s="1"/>
  <c r="E26" i="14" a="1"/>
  <c r="E26" i="14" s="1"/>
  <c r="D26" i="14" a="1"/>
  <c r="D26" i="14" s="1"/>
  <c r="C26" i="14" a="1"/>
  <c r="C26" i="14" s="1"/>
  <c r="B26" i="14" a="1"/>
  <c r="B26" i="14" s="1"/>
  <c r="G22" i="14" a="1"/>
  <c r="G22" i="14" s="1"/>
  <c r="F22" i="14" a="1"/>
  <c r="F22" i="14" s="1"/>
  <c r="E22" i="14" a="1"/>
  <c r="E22" i="14" s="1"/>
  <c r="D22" i="14"/>
  <c r="D22" i="14" a="1"/>
  <c r="C22" i="14" a="1"/>
  <c r="C22" i="14" s="1"/>
  <c r="B22" i="14" a="1"/>
  <c r="B22" i="14" s="1"/>
  <c r="H45" i="13" a="1"/>
  <c r="H45" i="13" s="1"/>
  <c r="H43" i="13" a="1"/>
  <c r="H43" i="13" s="1"/>
  <c r="G44" i="13" a="1"/>
  <c r="G44" i="13" s="1"/>
  <c r="F47" i="13" a="1"/>
  <c r="F47" i="13" s="1"/>
  <c r="E42" i="13" a="1"/>
  <c r="E42" i="13" s="1"/>
  <c r="D41" i="13"/>
  <c r="D41" i="13" a="1"/>
  <c r="C43" i="13"/>
  <c r="C43" i="13" a="1"/>
  <c r="B34" i="13" a="1"/>
  <c r="B34" i="13" s="1"/>
  <c r="C34" i="13" a="1"/>
  <c r="C34" i="13" s="1"/>
  <c r="D34" i="13" a="1"/>
  <c r="D34" i="13"/>
  <c r="E34" i="13" a="1"/>
  <c r="E34" i="13"/>
  <c r="F34" i="13" a="1"/>
  <c r="F34" i="13" s="1"/>
  <c r="G34" i="13" a="1"/>
  <c r="G34" i="13" s="1"/>
  <c r="H34" i="13" a="1"/>
  <c r="H34" i="13" s="1"/>
  <c r="B38" i="13" a="1"/>
  <c r="B38" i="13" s="1"/>
  <c r="C38" i="13" a="1"/>
  <c r="C38" i="13" s="1"/>
  <c r="D38" i="13" a="1"/>
  <c r="D38" i="13" s="1"/>
  <c r="E38" i="13" a="1"/>
  <c r="E38" i="13" s="1"/>
  <c r="F38" i="13" a="1"/>
  <c r="F38" i="13" s="1"/>
  <c r="G38" i="13" a="1"/>
  <c r="G38" i="13" s="1"/>
  <c r="H38" i="13" a="1"/>
  <c r="H38" i="13" s="1"/>
  <c r="B29" i="13" a="1"/>
  <c r="B29" i="13" s="1"/>
  <c r="C29" i="13" a="1"/>
  <c r="C29" i="13" s="1"/>
  <c r="D29" i="13" a="1"/>
  <c r="D29" i="13" s="1"/>
  <c r="E29" i="13" a="1"/>
  <c r="E29" i="13"/>
  <c r="F29" i="13" a="1"/>
  <c r="F29" i="13" s="1"/>
  <c r="G29" i="13" a="1"/>
  <c r="G29" i="13" s="1"/>
  <c r="H29" i="13" a="1"/>
  <c r="H29" i="13" s="1"/>
  <c r="B45" i="13" a="1"/>
  <c r="B45" i="13"/>
  <c r="C45" i="13" a="1"/>
  <c r="C45" i="13" s="1"/>
  <c r="D45" i="13" a="1"/>
  <c r="D45" i="13" s="1"/>
  <c r="E45" i="13" a="1"/>
  <c r="E45" i="13" s="1"/>
  <c r="F45" i="13" a="1"/>
  <c r="F45" i="13"/>
  <c r="G45" i="13" a="1"/>
  <c r="G45" i="13" s="1"/>
  <c r="B44" i="13" a="1"/>
  <c r="B44" i="13" s="1"/>
  <c r="C44" i="13" a="1"/>
  <c r="C44" i="13" s="1"/>
  <c r="D44" i="13" a="1"/>
  <c r="D44" i="13" s="1"/>
  <c r="E44" i="13" a="1"/>
  <c r="E44" i="13" s="1"/>
  <c r="F44" i="13" a="1"/>
  <c r="F44" i="13"/>
  <c r="H44" i="13" a="1"/>
  <c r="H44" i="13" s="1"/>
  <c r="B46" i="13" a="1"/>
  <c r="B46" i="13" s="1"/>
  <c r="C46" i="13" a="1"/>
  <c r="C46" i="13" s="1"/>
  <c r="D46" i="13" a="1"/>
  <c r="D46" i="13" s="1"/>
  <c r="E46" i="13" a="1"/>
  <c r="E46" i="13" s="1"/>
  <c r="F46" i="13" a="1"/>
  <c r="F46" i="13" s="1"/>
  <c r="G46" i="13" a="1"/>
  <c r="G46" i="13" s="1"/>
  <c r="H46" i="13" a="1"/>
  <c r="H46" i="13" s="1"/>
  <c r="B41" i="13" a="1"/>
  <c r="B41" i="13" s="1"/>
  <c r="C41" i="13" a="1"/>
  <c r="C41" i="13" s="1"/>
  <c r="E41" i="13" a="1"/>
  <c r="E41" i="13"/>
  <c r="F41" i="13" a="1"/>
  <c r="F41" i="13" s="1"/>
  <c r="G41" i="13" a="1"/>
  <c r="G41" i="13"/>
  <c r="H41" i="13" a="1"/>
  <c r="H41" i="13" s="1"/>
  <c r="B30" i="13" a="1"/>
  <c r="B30" i="13"/>
  <c r="C30" i="13" a="1"/>
  <c r="C30" i="13" s="1"/>
  <c r="D30" i="13" a="1"/>
  <c r="D30" i="13" s="1"/>
  <c r="E30" i="13" a="1"/>
  <c r="E30" i="13" s="1"/>
  <c r="F30" i="13" a="1"/>
  <c r="F30" i="13"/>
  <c r="G30" i="13" a="1"/>
  <c r="G30" i="13" s="1"/>
  <c r="H30" i="13" a="1"/>
  <c r="H30" i="13" s="1"/>
  <c r="B31" i="13" a="1"/>
  <c r="B31" i="13"/>
  <c r="C31" i="13" a="1"/>
  <c r="C31" i="13" s="1"/>
  <c r="D31" i="13" a="1"/>
  <c r="D31" i="13"/>
  <c r="E31" i="13" a="1"/>
  <c r="E31" i="13" s="1"/>
  <c r="F31" i="13" a="1"/>
  <c r="F31" i="13"/>
  <c r="G31" i="13" a="1"/>
  <c r="G31" i="13" s="1"/>
  <c r="H31" i="13" a="1"/>
  <c r="H31" i="13" s="1"/>
  <c r="H52" i="13"/>
  <c r="G52" i="13"/>
  <c r="F52" i="13"/>
  <c r="E52" i="13"/>
  <c r="D52" i="13"/>
  <c r="C52" i="13"/>
  <c r="B52" i="13"/>
  <c r="K50" i="13"/>
  <c r="J50" i="13"/>
  <c r="I50" i="13"/>
  <c r="K49" i="13"/>
  <c r="J49" i="13"/>
  <c r="I49" i="13"/>
  <c r="H28" i="13" a="1"/>
  <c r="H28" i="13" s="1"/>
  <c r="G28" i="13" a="1"/>
  <c r="G28" i="13" s="1"/>
  <c r="F28" i="13" a="1"/>
  <c r="F28" i="13" s="1"/>
  <c r="E28" i="13" a="1"/>
  <c r="E28" i="13" s="1"/>
  <c r="D28" i="13" a="1"/>
  <c r="D28" i="13" s="1"/>
  <c r="C28" i="13" a="1"/>
  <c r="C28" i="13" s="1"/>
  <c r="B28" i="13" a="1"/>
  <c r="B28" i="13" s="1"/>
  <c r="H37" i="13" a="1"/>
  <c r="H37" i="13" s="1"/>
  <c r="G37" i="13" a="1"/>
  <c r="G37" i="13" s="1"/>
  <c r="F37" i="13" a="1"/>
  <c r="F37" i="13" s="1"/>
  <c r="E37" i="13" a="1"/>
  <c r="E37" i="13" s="1"/>
  <c r="D37" i="13" a="1"/>
  <c r="D37" i="13" s="1"/>
  <c r="C37" i="13" a="1"/>
  <c r="C37" i="13" s="1"/>
  <c r="B37" i="13" a="1"/>
  <c r="B37" i="13" s="1"/>
  <c r="H36" i="13" a="1"/>
  <c r="H36" i="13" s="1"/>
  <c r="G36" i="13" a="1"/>
  <c r="G36" i="13" s="1"/>
  <c r="F36" i="13" a="1"/>
  <c r="F36" i="13" s="1"/>
  <c r="E36" i="13" a="1"/>
  <c r="E36" i="13" s="1"/>
  <c r="D36" i="13" a="1"/>
  <c r="D36" i="13" s="1"/>
  <c r="C36" i="13" a="1"/>
  <c r="C36" i="13" s="1"/>
  <c r="B36" i="13" a="1"/>
  <c r="B36" i="13" s="1"/>
  <c r="H47" i="13" a="1"/>
  <c r="H47" i="13" s="1"/>
  <c r="G47" i="13" a="1"/>
  <c r="G47" i="13" s="1"/>
  <c r="E47" i="13" a="1"/>
  <c r="E47" i="13" s="1"/>
  <c r="D47" i="13" a="1"/>
  <c r="D47" i="13" s="1"/>
  <c r="C47" i="13" a="1"/>
  <c r="C47" i="13" s="1"/>
  <c r="B47" i="13" a="1"/>
  <c r="B47" i="13" s="1"/>
  <c r="G43" i="13" a="1"/>
  <c r="G43" i="13" s="1"/>
  <c r="F43" i="13" a="1"/>
  <c r="F43" i="13" s="1"/>
  <c r="E43" i="13" a="1"/>
  <c r="E43" i="13" s="1"/>
  <c r="D43" i="13" a="1"/>
  <c r="D43" i="13" s="1"/>
  <c r="B43" i="13" a="1"/>
  <c r="B43" i="13" s="1"/>
  <c r="H35" i="13" a="1"/>
  <c r="H35" i="13" s="1"/>
  <c r="G35" i="13" a="1"/>
  <c r="G35" i="13" s="1"/>
  <c r="F35" i="13" a="1"/>
  <c r="F35" i="13" s="1"/>
  <c r="E35" i="13" a="1"/>
  <c r="E35" i="13" s="1"/>
  <c r="D35" i="13" a="1"/>
  <c r="D35" i="13" s="1"/>
  <c r="C35" i="13" a="1"/>
  <c r="C35" i="13" s="1"/>
  <c r="B35" i="13" a="1"/>
  <c r="B35" i="13" s="1"/>
  <c r="H27" i="13" a="1"/>
  <c r="H27" i="13" s="1"/>
  <c r="G27" i="13" a="1"/>
  <c r="G27" i="13" s="1"/>
  <c r="F27" i="13" a="1"/>
  <c r="F27" i="13" s="1"/>
  <c r="E27" i="13" a="1"/>
  <c r="E27" i="13" s="1"/>
  <c r="D27" i="13" a="1"/>
  <c r="D27" i="13" s="1"/>
  <c r="C27" i="13" a="1"/>
  <c r="C27" i="13" s="1"/>
  <c r="B27" i="13" a="1"/>
  <c r="B27" i="13" s="1"/>
  <c r="H40" i="13" a="1"/>
  <c r="H40" i="13" s="1"/>
  <c r="G40" i="13" a="1"/>
  <c r="G40" i="13" s="1"/>
  <c r="F40" i="13" a="1"/>
  <c r="F40" i="13" s="1"/>
  <c r="E40" i="13" a="1"/>
  <c r="E40" i="13" s="1"/>
  <c r="D40" i="13" a="1"/>
  <c r="D40" i="13" s="1"/>
  <c r="C40" i="13" a="1"/>
  <c r="C40" i="13" s="1"/>
  <c r="B40" i="13" a="1"/>
  <c r="B40" i="13" s="1"/>
  <c r="H42" i="13" a="1"/>
  <c r="H42" i="13" s="1"/>
  <c r="G42" i="13" a="1"/>
  <c r="G42" i="13" s="1"/>
  <c r="F42" i="13" a="1"/>
  <c r="F42" i="13" s="1"/>
  <c r="D42" i="13" a="1"/>
  <c r="D42" i="13" s="1"/>
  <c r="C42" i="13" a="1"/>
  <c r="C42" i="13" s="1"/>
  <c r="B42" i="13" a="1"/>
  <c r="B42" i="13" s="1"/>
  <c r="H33" i="13" a="1"/>
  <c r="H33" i="13" s="1"/>
  <c r="G33" i="13" a="1"/>
  <c r="G33" i="13" s="1"/>
  <c r="F33" i="13" a="1"/>
  <c r="F33" i="13" s="1"/>
  <c r="E33" i="13" a="1"/>
  <c r="E33" i="13" s="1"/>
  <c r="D33" i="13" a="1"/>
  <c r="D33" i="13" s="1"/>
  <c r="C33" i="13" a="1"/>
  <c r="C33" i="13" s="1"/>
  <c r="B33" i="13" a="1"/>
  <c r="B33" i="13" s="1"/>
  <c r="H39" i="13" a="1"/>
  <c r="H39" i="13" s="1"/>
  <c r="G39" i="13" a="1"/>
  <c r="G39" i="13" s="1"/>
  <c r="F39" i="13" a="1"/>
  <c r="F39" i="13" s="1"/>
  <c r="E39" i="13" a="1"/>
  <c r="E39" i="13" s="1"/>
  <c r="D39" i="13" a="1"/>
  <c r="D39" i="13" s="1"/>
  <c r="C39" i="13" a="1"/>
  <c r="C39" i="13" s="1"/>
  <c r="B39" i="13" a="1"/>
  <c r="B39" i="13" s="1"/>
  <c r="H32" i="13" a="1"/>
  <c r="H32" i="13" s="1"/>
  <c r="G32" i="13" a="1"/>
  <c r="G32" i="13" s="1"/>
  <c r="F32" i="13" a="1"/>
  <c r="F32" i="13" s="1"/>
  <c r="E32" i="13" a="1"/>
  <c r="E32" i="13" s="1"/>
  <c r="D32" i="13" a="1"/>
  <c r="D32" i="13" s="1"/>
  <c r="C32" i="13" a="1"/>
  <c r="C32" i="13" s="1"/>
  <c r="B32" i="13" a="1"/>
  <c r="B32" i="13" s="1"/>
  <c r="H23" i="13" a="1"/>
  <c r="H23" i="13" s="1"/>
  <c r="G23" i="13" a="1"/>
  <c r="G23" i="13" s="1"/>
  <c r="F23" i="13" a="1"/>
  <c r="F23" i="13" s="1"/>
  <c r="E23" i="13" a="1"/>
  <c r="E23" i="13" s="1"/>
  <c r="D23" i="13" a="1"/>
  <c r="D23" i="13" s="1"/>
  <c r="C23" i="13" a="1"/>
  <c r="C23" i="13" s="1"/>
  <c r="B23" i="13" a="1"/>
  <c r="B23" i="13" s="1"/>
  <c r="I44" i="12" a="1"/>
  <c r="I44" i="12" s="1"/>
  <c r="G49" i="12" a="1"/>
  <c r="G49" i="12" s="1"/>
  <c r="F43" i="12" a="1"/>
  <c r="F43" i="12" s="1"/>
  <c r="B46" i="12" a="1"/>
  <c r="B46" i="12" s="1"/>
  <c r="C46" i="12" a="1"/>
  <c r="C46" i="12" s="1"/>
  <c r="D46" i="12" a="1"/>
  <c r="D46" i="12" s="1"/>
  <c r="E46" i="12" a="1"/>
  <c r="E46" i="12"/>
  <c r="F46" i="12" a="1"/>
  <c r="F46" i="12" s="1"/>
  <c r="G46" i="12" a="1"/>
  <c r="G46" i="12" s="1"/>
  <c r="H46" i="12" a="1"/>
  <c r="H46" i="12" s="1"/>
  <c r="I46" i="12" a="1"/>
  <c r="I46" i="12"/>
  <c r="E45" i="12" a="1"/>
  <c r="E45" i="12" s="1"/>
  <c r="D42" i="12" a="1"/>
  <c r="D42" i="12" s="1"/>
  <c r="B48" i="12" a="1"/>
  <c r="B48" i="12" s="1"/>
  <c r="B39" i="12" a="1"/>
  <c r="B39" i="12" s="1"/>
  <c r="C39" i="12" a="1"/>
  <c r="C39" i="12" s="1"/>
  <c r="D39" i="12" a="1"/>
  <c r="D39" i="12" s="1"/>
  <c r="E39" i="12" a="1"/>
  <c r="E39" i="12" s="1"/>
  <c r="F39" i="12" a="1"/>
  <c r="F39" i="12" s="1"/>
  <c r="G39" i="12" a="1"/>
  <c r="G39" i="12" s="1"/>
  <c r="H39" i="12" a="1"/>
  <c r="H39" i="12" s="1"/>
  <c r="I39" i="12" a="1"/>
  <c r="I39" i="12" s="1"/>
  <c r="B40" i="12" a="1"/>
  <c r="B40" i="12" s="1"/>
  <c r="C40" i="12" a="1"/>
  <c r="C40" i="12" s="1"/>
  <c r="D40" i="12" a="1"/>
  <c r="D40" i="12" s="1"/>
  <c r="E40" i="12" a="1"/>
  <c r="E40" i="12" s="1"/>
  <c r="F40" i="12" a="1"/>
  <c r="F40" i="12" s="1"/>
  <c r="G40" i="12" a="1"/>
  <c r="G40" i="12" s="1"/>
  <c r="H40" i="12" a="1"/>
  <c r="H40" i="12" s="1"/>
  <c r="I40" i="12" a="1"/>
  <c r="I40" i="12" s="1"/>
  <c r="B41" i="12" a="1"/>
  <c r="B41" i="12" s="1"/>
  <c r="C41" i="12" a="1"/>
  <c r="C41" i="12" s="1"/>
  <c r="D41" i="12" a="1"/>
  <c r="D41" i="12" s="1"/>
  <c r="E41" i="12" a="1"/>
  <c r="E41" i="12" s="1"/>
  <c r="F41" i="12" a="1"/>
  <c r="F41" i="12" s="1"/>
  <c r="G41" i="12" a="1"/>
  <c r="G41" i="12" s="1"/>
  <c r="H41" i="12" a="1"/>
  <c r="H41" i="12" s="1"/>
  <c r="I41" i="12" a="1"/>
  <c r="I41" i="12"/>
  <c r="B42" i="12" a="1"/>
  <c r="B42" i="12" s="1"/>
  <c r="C42" i="12" a="1"/>
  <c r="C42" i="12" s="1"/>
  <c r="E42" i="12" a="1"/>
  <c r="E42" i="12"/>
  <c r="F42" i="12" a="1"/>
  <c r="F42" i="12" s="1"/>
  <c r="G42" i="12" a="1"/>
  <c r="G42" i="12" s="1"/>
  <c r="H42" i="12" a="1"/>
  <c r="H42" i="12" s="1"/>
  <c r="I42" i="12" a="1"/>
  <c r="I42" i="12" s="1"/>
  <c r="B43" i="12" a="1"/>
  <c r="B43" i="12" s="1"/>
  <c r="C43" i="12" a="1"/>
  <c r="C43" i="12" s="1"/>
  <c r="D43" i="12" a="1"/>
  <c r="D43" i="12" s="1"/>
  <c r="E43" i="12" a="1"/>
  <c r="E43" i="12" s="1"/>
  <c r="G43" i="12" a="1"/>
  <c r="G43" i="12" s="1"/>
  <c r="H43" i="12" a="1"/>
  <c r="H43" i="12" s="1"/>
  <c r="I43" i="12" a="1"/>
  <c r="I43" i="12"/>
  <c r="B44" i="12" a="1"/>
  <c r="B44" i="12" s="1"/>
  <c r="C44" i="12" a="1"/>
  <c r="C44" i="12" s="1"/>
  <c r="D44" i="12" a="1"/>
  <c r="D44" i="12" s="1"/>
  <c r="E44" i="12" a="1"/>
  <c r="E44" i="12" s="1"/>
  <c r="F44" i="12" a="1"/>
  <c r="F44" i="12" s="1"/>
  <c r="G44" i="12" a="1"/>
  <c r="G44" i="12" s="1"/>
  <c r="H44" i="12" a="1"/>
  <c r="H44" i="12" s="1"/>
  <c r="B45" i="12" a="1"/>
  <c r="B45" i="12" s="1"/>
  <c r="C45" i="12" a="1"/>
  <c r="C45" i="12" s="1"/>
  <c r="D45" i="12" a="1"/>
  <c r="D45" i="12" s="1"/>
  <c r="F45" i="12" a="1"/>
  <c r="F45" i="12" s="1"/>
  <c r="G45" i="12" a="1"/>
  <c r="G45" i="12" s="1"/>
  <c r="H45" i="12" a="1"/>
  <c r="H45" i="12" s="1"/>
  <c r="I45" i="12" a="1"/>
  <c r="I45" i="12" s="1"/>
  <c r="B47" i="12" a="1"/>
  <c r="B47" i="12" s="1"/>
  <c r="C47" i="12" a="1"/>
  <c r="C47" i="12" s="1"/>
  <c r="D47" i="12" a="1"/>
  <c r="D47" i="12" s="1"/>
  <c r="E47" i="12" a="1"/>
  <c r="E47" i="12" s="1"/>
  <c r="F47" i="12" a="1"/>
  <c r="F47" i="12"/>
  <c r="G47" i="12" a="1"/>
  <c r="G47" i="12" s="1"/>
  <c r="H47" i="12" a="1"/>
  <c r="H47" i="12" s="1"/>
  <c r="I47" i="12" a="1"/>
  <c r="I47" i="12" s="1"/>
  <c r="C48" i="12" a="1"/>
  <c r="C48" i="12" s="1"/>
  <c r="D48" i="12" a="1"/>
  <c r="D48" i="12" s="1"/>
  <c r="E48" i="12" a="1"/>
  <c r="E48" i="12" s="1"/>
  <c r="F48" i="12" a="1"/>
  <c r="F48" i="12"/>
  <c r="G48" i="12" a="1"/>
  <c r="G48" i="12" s="1"/>
  <c r="H48" i="12" a="1"/>
  <c r="H48" i="12" s="1"/>
  <c r="I48" i="12" a="1"/>
  <c r="I48" i="12" s="1"/>
  <c r="B49" i="12" a="1"/>
  <c r="B49" i="12" s="1"/>
  <c r="C49" i="12" a="1"/>
  <c r="C49" i="12" s="1"/>
  <c r="D49" i="12" a="1"/>
  <c r="D49" i="12" s="1"/>
  <c r="E49" i="12" a="1"/>
  <c r="E49" i="12" s="1"/>
  <c r="F49" i="12" a="1"/>
  <c r="F49" i="12"/>
  <c r="H49" i="12" a="1"/>
  <c r="H49" i="12" s="1"/>
  <c r="I49" i="12" a="1"/>
  <c r="I49" i="12" s="1"/>
  <c r="I54" i="12"/>
  <c r="H54" i="12"/>
  <c r="G54" i="12"/>
  <c r="F54" i="12"/>
  <c r="E54" i="12"/>
  <c r="D54" i="12"/>
  <c r="C54" i="12"/>
  <c r="B54" i="12"/>
  <c r="L52" i="12"/>
  <c r="K52" i="12"/>
  <c r="J52" i="12"/>
  <c r="L51" i="12"/>
  <c r="K51" i="12"/>
  <c r="J51" i="12"/>
  <c r="I38" i="12" a="1"/>
  <c r="I38" i="12" s="1"/>
  <c r="H38" i="12" a="1"/>
  <c r="H38" i="12" s="1"/>
  <c r="G38" i="12" a="1"/>
  <c r="G38" i="12" s="1"/>
  <c r="F38" i="12" a="1"/>
  <c r="F38" i="12" s="1"/>
  <c r="E38" i="12" a="1"/>
  <c r="E38" i="12" s="1"/>
  <c r="D38" i="12" a="1"/>
  <c r="D38" i="12" s="1"/>
  <c r="C38" i="12" a="1"/>
  <c r="C38" i="12" s="1"/>
  <c r="B38" i="12" a="1"/>
  <c r="B38" i="12" s="1"/>
  <c r="I37" i="12" a="1"/>
  <c r="I37" i="12" s="1"/>
  <c r="H37" i="12" a="1"/>
  <c r="H37" i="12" s="1"/>
  <c r="G37" i="12" a="1"/>
  <c r="G37" i="12" s="1"/>
  <c r="F37" i="12" a="1"/>
  <c r="F37" i="12" s="1"/>
  <c r="E37" i="12" a="1"/>
  <c r="E37" i="12" s="1"/>
  <c r="D37" i="12" a="1"/>
  <c r="D37" i="12" s="1"/>
  <c r="C37" i="12" a="1"/>
  <c r="C37" i="12" s="1"/>
  <c r="B37" i="12" a="1"/>
  <c r="B37" i="12" s="1"/>
  <c r="I36" i="12" a="1"/>
  <c r="I36" i="12" s="1"/>
  <c r="H36" i="12" a="1"/>
  <c r="H36" i="12" s="1"/>
  <c r="G36" i="12" a="1"/>
  <c r="G36" i="12" s="1"/>
  <c r="F36" i="12" a="1"/>
  <c r="F36" i="12" s="1"/>
  <c r="E36" i="12" a="1"/>
  <c r="E36" i="12" s="1"/>
  <c r="D36" i="12" a="1"/>
  <c r="D36" i="12" s="1"/>
  <c r="C36" i="12" a="1"/>
  <c r="C36" i="12" s="1"/>
  <c r="B36" i="12" a="1"/>
  <c r="B36" i="12" s="1"/>
  <c r="I35" i="12" a="1"/>
  <c r="I35" i="12" s="1"/>
  <c r="H35" i="12" a="1"/>
  <c r="H35" i="12" s="1"/>
  <c r="G35" i="12" a="1"/>
  <c r="G35" i="12" s="1"/>
  <c r="F35" i="12" a="1"/>
  <c r="F35" i="12" s="1"/>
  <c r="E35" i="12" a="1"/>
  <c r="E35" i="12" s="1"/>
  <c r="D35" i="12" a="1"/>
  <c r="D35" i="12" s="1"/>
  <c r="C35" i="12" a="1"/>
  <c r="C35" i="12" s="1"/>
  <c r="B35" i="12" a="1"/>
  <c r="B35" i="12" s="1"/>
  <c r="I34" i="12" a="1"/>
  <c r="I34" i="12" s="1"/>
  <c r="H34" i="12" a="1"/>
  <c r="H34" i="12" s="1"/>
  <c r="G34" i="12" a="1"/>
  <c r="G34" i="12" s="1"/>
  <c r="F34" i="12" a="1"/>
  <c r="F34" i="12" s="1"/>
  <c r="E34" i="12" a="1"/>
  <c r="E34" i="12" s="1"/>
  <c r="D34" i="12" a="1"/>
  <c r="D34" i="12" s="1"/>
  <c r="C34" i="12" a="1"/>
  <c r="C34" i="12" s="1"/>
  <c r="B34" i="12" a="1"/>
  <c r="B34" i="12" s="1"/>
  <c r="I33" i="12" a="1"/>
  <c r="I33" i="12" s="1"/>
  <c r="H33" i="12" a="1"/>
  <c r="H33" i="12" s="1"/>
  <c r="G33" i="12" a="1"/>
  <c r="G33" i="12" s="1"/>
  <c r="F33" i="12" a="1"/>
  <c r="F33" i="12" s="1"/>
  <c r="E33" i="12" a="1"/>
  <c r="E33" i="12" s="1"/>
  <c r="D33" i="12" a="1"/>
  <c r="D33" i="12" s="1"/>
  <c r="C33" i="12" a="1"/>
  <c r="C33" i="12" s="1"/>
  <c r="B33" i="12" a="1"/>
  <c r="B33" i="12" s="1"/>
  <c r="I32" i="12" a="1"/>
  <c r="I32" i="12" s="1"/>
  <c r="H32" i="12" a="1"/>
  <c r="H32" i="12" s="1"/>
  <c r="G32" i="12" a="1"/>
  <c r="G32" i="12" s="1"/>
  <c r="F32" i="12" a="1"/>
  <c r="F32" i="12" s="1"/>
  <c r="E32" i="12" a="1"/>
  <c r="E32" i="12" s="1"/>
  <c r="D32" i="12" a="1"/>
  <c r="D32" i="12" s="1"/>
  <c r="C32" i="12" a="1"/>
  <c r="C32" i="12" s="1"/>
  <c r="B32" i="12" a="1"/>
  <c r="B32" i="12" s="1"/>
  <c r="I31" i="12" a="1"/>
  <c r="I31" i="12" s="1"/>
  <c r="H31" i="12" a="1"/>
  <c r="H31" i="12" s="1"/>
  <c r="G31" i="12" a="1"/>
  <c r="G31" i="12" s="1"/>
  <c r="F31" i="12" a="1"/>
  <c r="F31" i="12" s="1"/>
  <c r="E31" i="12" a="1"/>
  <c r="E31" i="12" s="1"/>
  <c r="D31" i="12" a="1"/>
  <c r="D31" i="12" s="1"/>
  <c r="C31" i="12" a="1"/>
  <c r="C31" i="12" s="1"/>
  <c r="B31" i="12" a="1"/>
  <c r="B31" i="12" s="1"/>
  <c r="I30" i="12" a="1"/>
  <c r="I30" i="12" s="1"/>
  <c r="H30" i="12" a="1"/>
  <c r="H30" i="12" s="1"/>
  <c r="G30" i="12" a="1"/>
  <c r="G30" i="12" s="1"/>
  <c r="F30" i="12" a="1"/>
  <c r="F30" i="12" s="1"/>
  <c r="E30" i="12" a="1"/>
  <c r="E30" i="12" s="1"/>
  <c r="D30" i="12" a="1"/>
  <c r="D30" i="12" s="1"/>
  <c r="C30" i="12" a="1"/>
  <c r="C30" i="12" s="1"/>
  <c r="B30" i="12" a="1"/>
  <c r="B30" i="12" s="1"/>
  <c r="I29" i="12" a="1"/>
  <c r="I29" i="12" s="1"/>
  <c r="H29" i="12" a="1"/>
  <c r="H29" i="12" s="1"/>
  <c r="G29" i="12" a="1"/>
  <c r="G29" i="12" s="1"/>
  <c r="F29" i="12" a="1"/>
  <c r="F29" i="12" s="1"/>
  <c r="E29" i="12" a="1"/>
  <c r="E29" i="12" s="1"/>
  <c r="D29" i="12" a="1"/>
  <c r="D29" i="12" s="1"/>
  <c r="C29" i="12" a="1"/>
  <c r="C29" i="12" s="1"/>
  <c r="B29" i="12" a="1"/>
  <c r="B29" i="12" s="1"/>
  <c r="I28" i="12" a="1"/>
  <c r="I28" i="12" s="1"/>
  <c r="H28" i="12" a="1"/>
  <c r="H28" i="12" s="1"/>
  <c r="G28" i="12" a="1"/>
  <c r="G28" i="12" s="1"/>
  <c r="F28" i="12" a="1"/>
  <c r="F28" i="12" s="1"/>
  <c r="E28" i="12" a="1"/>
  <c r="E28" i="12" s="1"/>
  <c r="D28" i="12" a="1"/>
  <c r="D28" i="12" s="1"/>
  <c r="C28" i="12" a="1"/>
  <c r="C28" i="12" s="1"/>
  <c r="B28" i="12" a="1"/>
  <c r="B28" i="12" s="1"/>
  <c r="I24" i="12" a="1"/>
  <c r="I24" i="12" s="1"/>
  <c r="H24" i="12" a="1"/>
  <c r="H24" i="12" s="1"/>
  <c r="G24" i="12" a="1"/>
  <c r="G24" i="12" s="1"/>
  <c r="F24" i="12" a="1"/>
  <c r="F24" i="12" s="1"/>
  <c r="E24" i="12" a="1"/>
  <c r="E24" i="12" s="1"/>
  <c r="D24" i="12" a="1"/>
  <c r="D24" i="12" s="1"/>
  <c r="C24" i="12" a="1"/>
  <c r="C24" i="12" s="1"/>
  <c r="B24" i="12" a="1"/>
  <c r="B24" i="12" s="1"/>
  <c r="H52" i="11" a="1"/>
  <c r="H52" i="11" s="1"/>
  <c r="J46" i="11" a="1"/>
  <c r="J46" i="11" s="1"/>
  <c r="F47" i="11" a="1"/>
  <c r="F47" i="11" s="1"/>
  <c r="E44" i="11" a="1"/>
  <c r="E44" i="11" s="1"/>
  <c r="G45" i="11" a="1"/>
  <c r="G45" i="11" s="1"/>
  <c r="I48" i="11" a="1"/>
  <c r="I48" i="11" s="1"/>
  <c r="D50" i="11" a="1"/>
  <c r="D50" i="11" s="1"/>
  <c r="C51" i="11" a="1"/>
  <c r="C51" i="11" s="1"/>
  <c r="B32" i="11" a="1"/>
  <c r="B32" i="11"/>
  <c r="C32" i="11" a="1"/>
  <c r="C32" i="11"/>
  <c r="K32" i="11" s="1"/>
  <c r="D32" i="11" a="1"/>
  <c r="D32" i="11" s="1"/>
  <c r="E32" i="11" a="1"/>
  <c r="E32" i="11"/>
  <c r="F32" i="11" a="1"/>
  <c r="F32" i="11" s="1"/>
  <c r="G32" i="11" a="1"/>
  <c r="G32" i="11" s="1"/>
  <c r="H32" i="11" a="1"/>
  <c r="H32" i="11"/>
  <c r="I32" i="11" a="1"/>
  <c r="I32" i="11"/>
  <c r="J32" i="11" a="1"/>
  <c r="J32" i="11"/>
  <c r="B33" i="11" a="1"/>
  <c r="B33" i="11" s="1"/>
  <c r="C33" i="11" a="1"/>
  <c r="C33" i="11" s="1"/>
  <c r="D33" i="11" a="1"/>
  <c r="D33" i="11"/>
  <c r="E33" i="11" a="1"/>
  <c r="E33" i="11"/>
  <c r="F33" i="11" a="1"/>
  <c r="F33" i="11" s="1"/>
  <c r="G33" i="11" a="1"/>
  <c r="G33" i="11"/>
  <c r="H33" i="11" a="1"/>
  <c r="H33" i="11"/>
  <c r="I33" i="11" a="1"/>
  <c r="I33" i="11"/>
  <c r="J33" i="11" a="1"/>
  <c r="J33" i="11"/>
  <c r="B34" i="11" a="1"/>
  <c r="B34" i="11"/>
  <c r="C34" i="11" a="1"/>
  <c r="C34" i="11"/>
  <c r="D34" i="11" a="1"/>
  <c r="D34" i="11"/>
  <c r="E34" i="11" a="1"/>
  <c r="E34" i="11" s="1"/>
  <c r="F34" i="11" a="1"/>
  <c r="F34" i="11"/>
  <c r="G34" i="11" a="1"/>
  <c r="G34" i="11" s="1"/>
  <c r="H34" i="11" a="1"/>
  <c r="H34" i="11" s="1"/>
  <c r="I34" i="11" a="1"/>
  <c r="I34" i="11"/>
  <c r="J34" i="11" a="1"/>
  <c r="J34" i="11"/>
  <c r="B35" i="11" a="1"/>
  <c r="B35" i="11" s="1"/>
  <c r="C35" i="11" a="1"/>
  <c r="C35" i="11" s="1"/>
  <c r="D35" i="11" a="1"/>
  <c r="D35" i="11" s="1"/>
  <c r="E35" i="11" a="1"/>
  <c r="E35" i="11"/>
  <c r="F35" i="11" a="1"/>
  <c r="F35" i="11" s="1"/>
  <c r="G35" i="11" a="1"/>
  <c r="G35" i="11" s="1"/>
  <c r="H35" i="11" a="1"/>
  <c r="H35" i="11" s="1"/>
  <c r="I35" i="11" a="1"/>
  <c r="I35" i="11" s="1"/>
  <c r="J35" i="11" a="1"/>
  <c r="J35" i="11"/>
  <c r="B36" i="11" a="1"/>
  <c r="B36" i="11" s="1"/>
  <c r="C36" i="11" a="1"/>
  <c r="C36" i="11" s="1"/>
  <c r="D36" i="11" a="1"/>
  <c r="D36" i="11" s="1"/>
  <c r="E36" i="11" a="1"/>
  <c r="E36" i="11" s="1"/>
  <c r="F36" i="11" a="1"/>
  <c r="F36" i="11" s="1"/>
  <c r="G36" i="11" a="1"/>
  <c r="G36" i="11" s="1"/>
  <c r="H36" i="11" a="1"/>
  <c r="H36" i="11" s="1"/>
  <c r="I36" i="11" a="1"/>
  <c r="I36" i="11" s="1"/>
  <c r="J36" i="11" a="1"/>
  <c r="J36" i="11" s="1"/>
  <c r="B37" i="11" a="1"/>
  <c r="B37" i="11" s="1"/>
  <c r="C37" i="11" a="1"/>
  <c r="C37" i="11" s="1"/>
  <c r="D37" i="11" a="1"/>
  <c r="D37" i="11" s="1"/>
  <c r="E37" i="11" a="1"/>
  <c r="E37" i="11" s="1"/>
  <c r="F37" i="11" a="1"/>
  <c r="F37" i="11" s="1"/>
  <c r="G37" i="11" a="1"/>
  <c r="G37" i="11" s="1"/>
  <c r="H37" i="11" a="1"/>
  <c r="H37" i="11" s="1"/>
  <c r="I37" i="11" a="1"/>
  <c r="I37" i="11" s="1"/>
  <c r="J37" i="11" a="1"/>
  <c r="J37" i="11" s="1"/>
  <c r="B38" i="11" a="1"/>
  <c r="B38" i="11" s="1"/>
  <c r="C38" i="11" a="1"/>
  <c r="C38" i="11" s="1"/>
  <c r="D38" i="11" a="1"/>
  <c r="D38" i="11" s="1"/>
  <c r="E38" i="11" a="1"/>
  <c r="E38" i="11" s="1"/>
  <c r="F38" i="11" a="1"/>
  <c r="F38" i="11" s="1"/>
  <c r="G38" i="11" a="1"/>
  <c r="G38" i="11" s="1"/>
  <c r="H38" i="11" a="1"/>
  <c r="H38" i="11" s="1"/>
  <c r="I38" i="11" a="1"/>
  <c r="I38" i="11" s="1"/>
  <c r="J38" i="11" a="1"/>
  <c r="J38" i="11" s="1"/>
  <c r="B39" i="11" a="1"/>
  <c r="B39" i="11" s="1"/>
  <c r="C39" i="11" a="1"/>
  <c r="C39" i="11" s="1"/>
  <c r="D39" i="11" a="1"/>
  <c r="D39" i="11" s="1"/>
  <c r="E39" i="11" a="1"/>
  <c r="E39" i="11" s="1"/>
  <c r="F39" i="11" a="1"/>
  <c r="F39" i="11" s="1"/>
  <c r="G39" i="11" a="1"/>
  <c r="G39" i="11" s="1"/>
  <c r="H39" i="11" a="1"/>
  <c r="H39" i="11" s="1"/>
  <c r="I39" i="11" a="1"/>
  <c r="I39" i="11" s="1"/>
  <c r="J39" i="11" a="1"/>
  <c r="J39" i="11" s="1"/>
  <c r="B40" i="11" a="1"/>
  <c r="B40" i="11" s="1"/>
  <c r="C40" i="11" a="1"/>
  <c r="C40" i="11" s="1"/>
  <c r="D40" i="11" a="1"/>
  <c r="D40" i="11" s="1"/>
  <c r="E40" i="11" a="1"/>
  <c r="E40" i="11" s="1"/>
  <c r="F40" i="11" a="1"/>
  <c r="F40" i="11" s="1"/>
  <c r="G40" i="11" a="1"/>
  <c r="G40" i="11" s="1"/>
  <c r="H40" i="11" a="1"/>
  <c r="H40" i="11" s="1"/>
  <c r="I40" i="11" a="1"/>
  <c r="I40" i="11"/>
  <c r="J40" i="11" a="1"/>
  <c r="J40" i="11" s="1"/>
  <c r="B41" i="11" a="1"/>
  <c r="B41" i="11" s="1"/>
  <c r="C41" i="11" a="1"/>
  <c r="C41" i="11" s="1"/>
  <c r="D41" i="11" a="1"/>
  <c r="D41" i="11" s="1"/>
  <c r="E41" i="11" a="1"/>
  <c r="E41" i="11" s="1"/>
  <c r="F41" i="11" a="1"/>
  <c r="F41" i="11" s="1"/>
  <c r="G41" i="11" a="1"/>
  <c r="G41" i="11" s="1"/>
  <c r="H41" i="11" a="1"/>
  <c r="H41" i="11" s="1"/>
  <c r="I41" i="11" a="1"/>
  <c r="I41" i="11" s="1"/>
  <c r="J41" i="11" a="1"/>
  <c r="J41" i="11" s="1"/>
  <c r="B42" i="11" a="1"/>
  <c r="B42" i="11" s="1"/>
  <c r="C42" i="11" a="1"/>
  <c r="C42" i="11" s="1"/>
  <c r="D42" i="11" a="1"/>
  <c r="D42" i="11" s="1"/>
  <c r="E42" i="11" a="1"/>
  <c r="E42" i="11" s="1"/>
  <c r="F42" i="11" a="1"/>
  <c r="F42" i="11" s="1"/>
  <c r="G42" i="11" a="1"/>
  <c r="G42" i="11" s="1"/>
  <c r="H42" i="11" a="1"/>
  <c r="H42" i="11" s="1"/>
  <c r="I42" i="11" a="1"/>
  <c r="I42" i="11" s="1"/>
  <c r="J42" i="11" a="1"/>
  <c r="J42" i="11" s="1"/>
  <c r="B43" i="11" a="1"/>
  <c r="B43" i="11" s="1"/>
  <c r="C43" i="11" a="1"/>
  <c r="C43" i="11" s="1"/>
  <c r="D43" i="11" a="1"/>
  <c r="D43" i="11" s="1"/>
  <c r="E43" i="11" a="1"/>
  <c r="E43" i="11"/>
  <c r="F43" i="11" a="1"/>
  <c r="F43" i="11" s="1"/>
  <c r="G43" i="11" a="1"/>
  <c r="G43" i="11" s="1"/>
  <c r="H43" i="11" a="1"/>
  <c r="H43" i="11" s="1"/>
  <c r="I43" i="11" a="1"/>
  <c r="I43" i="11" s="1"/>
  <c r="J43" i="11" a="1"/>
  <c r="J43" i="11" s="1"/>
  <c r="B44" i="11" a="1"/>
  <c r="B44" i="11" s="1"/>
  <c r="C44" i="11" a="1"/>
  <c r="C44" i="11" s="1"/>
  <c r="D44" i="11" a="1"/>
  <c r="D44" i="11" s="1"/>
  <c r="F44" i="11" a="1"/>
  <c r="F44" i="11" s="1"/>
  <c r="G44" i="11" a="1"/>
  <c r="G44" i="11" s="1"/>
  <c r="H44" i="11" a="1"/>
  <c r="H44" i="11" s="1"/>
  <c r="I44" i="11" a="1"/>
  <c r="I44" i="11" s="1"/>
  <c r="J44" i="11" a="1"/>
  <c r="J44" i="11" s="1"/>
  <c r="B45" i="11" a="1"/>
  <c r="B45" i="11" s="1"/>
  <c r="C45" i="11" a="1"/>
  <c r="C45" i="11" s="1"/>
  <c r="D45" i="11" a="1"/>
  <c r="D45" i="11" s="1"/>
  <c r="E45" i="11" a="1"/>
  <c r="E45" i="11" s="1"/>
  <c r="F45" i="11" a="1"/>
  <c r="F45" i="11" s="1"/>
  <c r="H45" i="11" a="1"/>
  <c r="H45" i="11" s="1"/>
  <c r="I45" i="11" a="1"/>
  <c r="I45" i="11" s="1"/>
  <c r="J45" i="11" a="1"/>
  <c r="J45" i="11" s="1"/>
  <c r="B46" i="11" a="1"/>
  <c r="B46" i="11" s="1"/>
  <c r="C46" i="11" a="1"/>
  <c r="C46" i="11" s="1"/>
  <c r="D46" i="11" a="1"/>
  <c r="D46" i="11" s="1"/>
  <c r="E46" i="11" a="1"/>
  <c r="E46" i="11"/>
  <c r="F46" i="11" a="1"/>
  <c r="F46" i="11" s="1"/>
  <c r="G46" i="11" a="1"/>
  <c r="G46" i="11" s="1"/>
  <c r="H46" i="11" a="1"/>
  <c r="H46" i="11" s="1"/>
  <c r="I46" i="11" a="1"/>
  <c r="I46" i="11" s="1"/>
  <c r="B47" i="11" a="1"/>
  <c r="B47" i="11" s="1"/>
  <c r="C47" i="11" a="1"/>
  <c r="C47" i="11" s="1"/>
  <c r="D47" i="11" a="1"/>
  <c r="D47" i="11" s="1"/>
  <c r="E47" i="11" a="1"/>
  <c r="E47" i="11" s="1"/>
  <c r="G47" i="11" a="1"/>
  <c r="G47" i="11" s="1"/>
  <c r="H47" i="11" a="1"/>
  <c r="H47" i="11" s="1"/>
  <c r="I47" i="11" a="1"/>
  <c r="I47" i="11" s="1"/>
  <c r="J47" i="11" a="1"/>
  <c r="J47" i="11" s="1"/>
  <c r="B48" i="11" a="1"/>
  <c r="B48" i="11" s="1"/>
  <c r="C48" i="11" a="1"/>
  <c r="C48" i="11" s="1"/>
  <c r="D48" i="11" a="1"/>
  <c r="D48" i="11" s="1"/>
  <c r="E48" i="11" a="1"/>
  <c r="E48" i="11" s="1"/>
  <c r="F48" i="11" a="1"/>
  <c r="F48" i="11" s="1"/>
  <c r="G48" i="11" a="1"/>
  <c r="G48" i="11" s="1"/>
  <c r="H48" i="11" a="1"/>
  <c r="H48" i="11" s="1"/>
  <c r="J48" i="11" a="1"/>
  <c r="J48" i="11" s="1"/>
  <c r="B49" i="11" a="1"/>
  <c r="B49" i="11"/>
  <c r="C49" i="11" a="1"/>
  <c r="C49" i="11" s="1"/>
  <c r="D49" i="11" a="1"/>
  <c r="D49" i="11" s="1"/>
  <c r="E49" i="11" a="1"/>
  <c r="E49" i="11"/>
  <c r="F49" i="11" a="1"/>
  <c r="F49" i="11" s="1"/>
  <c r="G49" i="11" a="1"/>
  <c r="G49" i="11" s="1"/>
  <c r="H49" i="11" a="1"/>
  <c r="H49" i="11" s="1"/>
  <c r="I49" i="11" a="1"/>
  <c r="I49" i="11" s="1"/>
  <c r="J49" i="11" a="1"/>
  <c r="J49" i="11" s="1"/>
  <c r="B50" i="11" a="1"/>
  <c r="B50" i="11" s="1"/>
  <c r="C50" i="11" a="1"/>
  <c r="C50" i="11" s="1"/>
  <c r="E50" i="11" a="1"/>
  <c r="E50" i="11" s="1"/>
  <c r="F50" i="11" a="1"/>
  <c r="F50" i="11" s="1"/>
  <c r="G50" i="11" a="1"/>
  <c r="G50" i="11"/>
  <c r="H50" i="11" a="1"/>
  <c r="H50" i="11" s="1"/>
  <c r="I50" i="11" a="1"/>
  <c r="I50" i="11" s="1"/>
  <c r="J50" i="11" a="1"/>
  <c r="J50" i="11" s="1"/>
  <c r="B51" i="11" a="1"/>
  <c r="B51" i="11" s="1"/>
  <c r="D51" i="11" a="1"/>
  <c r="D51" i="11" s="1"/>
  <c r="E51" i="11" a="1"/>
  <c r="E51" i="11" s="1"/>
  <c r="F51" i="11" a="1"/>
  <c r="F51" i="11" s="1"/>
  <c r="G51" i="11" a="1"/>
  <c r="G51" i="11" s="1"/>
  <c r="H51" i="11" a="1"/>
  <c r="H51" i="11" s="1"/>
  <c r="I51" i="11" a="1"/>
  <c r="I51" i="11" s="1"/>
  <c r="J51" i="11" a="1"/>
  <c r="J51" i="11" s="1"/>
  <c r="B52" i="11" a="1"/>
  <c r="B52" i="11" s="1"/>
  <c r="C52" i="11" a="1"/>
  <c r="C52" i="11" s="1"/>
  <c r="D52" i="11" a="1"/>
  <c r="D52" i="11" s="1"/>
  <c r="E52" i="11" a="1"/>
  <c r="E52" i="11" s="1"/>
  <c r="F52" i="11" a="1"/>
  <c r="F52" i="11" s="1"/>
  <c r="G52" i="11" a="1"/>
  <c r="G52" i="11"/>
  <c r="I52" i="11" a="1"/>
  <c r="I52" i="11" s="1"/>
  <c r="J52" i="11" a="1"/>
  <c r="J52" i="11" s="1"/>
  <c r="J57" i="11"/>
  <c r="I57" i="11"/>
  <c r="H57" i="11"/>
  <c r="G57" i="11"/>
  <c r="F57" i="11"/>
  <c r="E57" i="11"/>
  <c r="D57" i="11"/>
  <c r="C57" i="11"/>
  <c r="B57" i="11"/>
  <c r="M55" i="11"/>
  <c r="L55" i="11"/>
  <c r="K55" i="11"/>
  <c r="M54" i="11"/>
  <c r="L54" i="11"/>
  <c r="K54" i="11"/>
  <c r="J31" i="11" a="1"/>
  <c r="J31" i="11" s="1"/>
  <c r="I31" i="11" a="1"/>
  <c r="I31" i="11" s="1"/>
  <c r="H31" i="11" a="1"/>
  <c r="H31" i="11" s="1"/>
  <c r="G31" i="11" a="1"/>
  <c r="G31" i="11" s="1"/>
  <c r="F31" i="11" a="1"/>
  <c r="F31" i="11" s="1"/>
  <c r="E31" i="11" a="1"/>
  <c r="E31" i="11" s="1"/>
  <c r="D31" i="11" a="1"/>
  <c r="D31" i="11" s="1"/>
  <c r="C31" i="11" a="1"/>
  <c r="C31" i="11" s="1"/>
  <c r="B31" i="11" a="1"/>
  <c r="B31" i="11" s="1"/>
  <c r="J30" i="11" a="1"/>
  <c r="J30" i="11" s="1"/>
  <c r="I30" i="11" a="1"/>
  <c r="I30" i="11" s="1"/>
  <c r="H30" i="11" a="1"/>
  <c r="H30" i="11" s="1"/>
  <c r="G30" i="11" a="1"/>
  <c r="G30" i="11" s="1"/>
  <c r="F30" i="11" a="1"/>
  <c r="F30" i="11" s="1"/>
  <c r="E30" i="11" a="1"/>
  <c r="E30" i="11" s="1"/>
  <c r="D30" i="11" a="1"/>
  <c r="D30" i="11" s="1"/>
  <c r="C30" i="11" a="1"/>
  <c r="C30" i="11" s="1"/>
  <c r="B30" i="11" a="1"/>
  <c r="B30" i="11" s="1"/>
  <c r="J26" i="11" a="1"/>
  <c r="J26" i="11" s="1"/>
  <c r="I26" i="11" a="1"/>
  <c r="I26" i="11" s="1"/>
  <c r="H26" i="11" a="1"/>
  <c r="H26" i="11" s="1"/>
  <c r="G26" i="11" a="1"/>
  <c r="G26" i="11" s="1"/>
  <c r="F26" i="11" a="1"/>
  <c r="F26" i="11" s="1"/>
  <c r="E26" i="11" a="1"/>
  <c r="E26" i="11" s="1"/>
  <c r="D26" i="11" a="1"/>
  <c r="D26" i="11" s="1"/>
  <c r="C26" i="11" a="1"/>
  <c r="C26" i="11" s="1"/>
  <c r="B26" i="11" a="1"/>
  <c r="B26" i="11" s="1"/>
  <c r="K45" i="10" a="1"/>
  <c r="K45" i="10" s="1"/>
  <c r="I54" i="10" a="1"/>
  <c r="I54" i="10" s="1"/>
  <c r="H50" i="10" a="1"/>
  <c r="H50" i="10" s="1"/>
  <c r="G47" i="10" a="1"/>
  <c r="G47" i="10" s="1"/>
  <c r="F48" i="10" a="1"/>
  <c r="F48" i="10" s="1"/>
  <c r="E51" i="10" a="1"/>
  <c r="E51" i="10" s="1"/>
  <c r="D44" i="10"/>
  <c r="D44" i="10" a="1"/>
  <c r="C53" i="10" a="1"/>
  <c r="C53" i="10" s="1"/>
  <c r="B52" i="10"/>
  <c r="B52" i="10" a="1"/>
  <c r="K54" i="10" a="1"/>
  <c r="K54" i="10" s="1"/>
  <c r="J54" i="10" a="1"/>
  <c r="J54" i="10" s="1"/>
  <c r="H54" i="10" a="1"/>
  <c r="H54" i="10" s="1"/>
  <c r="G54" i="10" a="1"/>
  <c r="G54" i="10" s="1"/>
  <c r="F54" i="10" a="1"/>
  <c r="F54" i="10" s="1"/>
  <c r="E54" i="10" a="1"/>
  <c r="E54" i="10" s="1"/>
  <c r="D54" i="10" a="1"/>
  <c r="D54" i="10" s="1"/>
  <c r="C54" i="10" a="1"/>
  <c r="C54" i="10" s="1"/>
  <c r="B54" i="10" a="1"/>
  <c r="B54" i="10" s="1"/>
  <c r="K51" i="10" a="1"/>
  <c r="K51" i="10" s="1"/>
  <c r="J51" i="10" a="1"/>
  <c r="J51" i="10" s="1"/>
  <c r="I51" i="10" a="1"/>
  <c r="I51" i="10" s="1"/>
  <c r="H51" i="10" a="1"/>
  <c r="H51" i="10" s="1"/>
  <c r="G51" i="10" a="1"/>
  <c r="G51" i="10" s="1"/>
  <c r="F51" i="10" a="1"/>
  <c r="F51" i="10" s="1"/>
  <c r="D51" i="10" a="1"/>
  <c r="D51" i="10" s="1"/>
  <c r="C51" i="10" a="1"/>
  <c r="C51" i="10" s="1"/>
  <c r="B51" i="10" a="1"/>
  <c r="B51" i="10" s="1"/>
  <c r="K52" i="10" a="1"/>
  <c r="K52" i="10" s="1"/>
  <c r="J52" i="10" a="1"/>
  <c r="J52" i="10" s="1"/>
  <c r="I52" i="10" a="1"/>
  <c r="I52" i="10" s="1"/>
  <c r="H52" i="10" a="1"/>
  <c r="H52" i="10" s="1"/>
  <c r="G52" i="10" a="1"/>
  <c r="G52" i="10" s="1"/>
  <c r="F52" i="10" a="1"/>
  <c r="F52" i="10" s="1"/>
  <c r="E52" i="10" a="1"/>
  <c r="E52" i="10" s="1"/>
  <c r="D52" i="10" a="1"/>
  <c r="D52" i="10" s="1"/>
  <c r="C52" i="10" a="1"/>
  <c r="C52" i="10" s="1"/>
  <c r="K50" i="10" a="1"/>
  <c r="K50" i="10" s="1"/>
  <c r="J50" i="10" a="1"/>
  <c r="J50" i="10" s="1"/>
  <c r="I50" i="10" a="1"/>
  <c r="I50" i="10" s="1"/>
  <c r="G50" i="10" a="1"/>
  <c r="G50" i="10" s="1"/>
  <c r="F50" i="10" a="1"/>
  <c r="F50" i="10" s="1"/>
  <c r="E50" i="10" a="1"/>
  <c r="E50" i="10" s="1"/>
  <c r="D50" i="10" a="1"/>
  <c r="D50" i="10" s="1"/>
  <c r="C50" i="10"/>
  <c r="C50" i="10" a="1"/>
  <c r="B50" i="10" a="1"/>
  <c r="B50" i="10" s="1"/>
  <c r="K53" i="10" a="1"/>
  <c r="K53" i="10" s="1"/>
  <c r="J53" i="10" a="1"/>
  <c r="J53" i="10" s="1"/>
  <c r="I53" i="10" a="1"/>
  <c r="I53" i="10" s="1"/>
  <c r="H53" i="10" a="1"/>
  <c r="H53" i="10" s="1"/>
  <c r="G53" i="10" a="1"/>
  <c r="G53" i="10" s="1"/>
  <c r="F53" i="10" a="1"/>
  <c r="F53" i="10" s="1"/>
  <c r="E53" i="10" a="1"/>
  <c r="E53" i="10" s="1"/>
  <c r="D53" i="10" a="1"/>
  <c r="D53" i="10" s="1"/>
  <c r="B53" i="10" a="1"/>
  <c r="B53" i="10" s="1"/>
  <c r="K48" i="10" a="1"/>
  <c r="K48" i="10" s="1"/>
  <c r="J48" i="10" a="1"/>
  <c r="J48" i="10" s="1"/>
  <c r="I48" i="10" a="1"/>
  <c r="I48" i="10" s="1"/>
  <c r="H48" i="10" a="1"/>
  <c r="H48" i="10" s="1"/>
  <c r="G48" i="10" a="1"/>
  <c r="G48" i="10" s="1"/>
  <c r="E48" i="10" a="1"/>
  <c r="E48" i="10" s="1"/>
  <c r="D48" i="10" a="1"/>
  <c r="D48" i="10" s="1"/>
  <c r="C48" i="10" a="1"/>
  <c r="C48" i="10" s="1"/>
  <c r="B48" i="10" a="1"/>
  <c r="B48" i="10" s="1"/>
  <c r="K47" i="10" a="1"/>
  <c r="K47" i="10" s="1"/>
  <c r="J47" i="10" a="1"/>
  <c r="J47" i="10" s="1"/>
  <c r="I47" i="10" a="1"/>
  <c r="I47" i="10" s="1"/>
  <c r="H47" i="10" a="1"/>
  <c r="H47" i="10" s="1"/>
  <c r="F47" i="10" a="1"/>
  <c r="F47" i="10" s="1"/>
  <c r="E47" i="10" a="1"/>
  <c r="E47" i="10" s="1"/>
  <c r="D47" i="10" a="1"/>
  <c r="D47" i="10" s="1"/>
  <c r="C47" i="10" a="1"/>
  <c r="C47" i="10" s="1"/>
  <c r="B47" i="10" a="1"/>
  <c r="B47" i="10" s="1"/>
  <c r="J45" i="10" a="1"/>
  <c r="J45" i="10" s="1"/>
  <c r="I45" i="10" a="1"/>
  <c r="I45" i="10" s="1"/>
  <c r="H45" i="10" a="1"/>
  <c r="H45" i="10" s="1"/>
  <c r="G45" i="10" a="1"/>
  <c r="G45" i="10" s="1"/>
  <c r="F45" i="10" a="1"/>
  <c r="F45" i="10" s="1"/>
  <c r="E45" i="10" a="1"/>
  <c r="E45" i="10" s="1"/>
  <c r="D45" i="10" a="1"/>
  <c r="D45" i="10" s="1"/>
  <c r="C45" i="10" a="1"/>
  <c r="C45" i="10" s="1"/>
  <c r="B45" i="10" a="1"/>
  <c r="B45" i="10" s="1"/>
  <c r="K44" i="10" a="1"/>
  <c r="K44" i="10" s="1"/>
  <c r="J44" i="10" a="1"/>
  <c r="J44" i="10" s="1"/>
  <c r="I44" i="10" a="1"/>
  <c r="I44" i="10" s="1"/>
  <c r="H44" i="10" a="1"/>
  <c r="H44" i="10" s="1"/>
  <c r="G44" i="10" a="1"/>
  <c r="G44" i="10" s="1"/>
  <c r="F44" i="10"/>
  <c r="F44" i="10" a="1"/>
  <c r="E44" i="10" a="1"/>
  <c r="E44" i="10" s="1"/>
  <c r="C44" i="10" a="1"/>
  <c r="C44" i="10" s="1"/>
  <c r="B44" i="10" a="1"/>
  <c r="B44" i="10" s="1"/>
  <c r="K40" i="10" a="1"/>
  <c r="K40" i="10" s="1"/>
  <c r="J40" i="10" a="1"/>
  <c r="J40" i="10" s="1"/>
  <c r="I40" i="10" a="1"/>
  <c r="I40" i="10" s="1"/>
  <c r="H40" i="10" a="1"/>
  <c r="H40" i="10" s="1"/>
  <c r="G40" i="10" a="1"/>
  <c r="G40" i="10" s="1"/>
  <c r="F40" i="10" a="1"/>
  <c r="F40" i="10" s="1"/>
  <c r="E40" i="10" a="1"/>
  <c r="E40" i="10" s="1"/>
  <c r="D40" i="10" a="1"/>
  <c r="D40" i="10" s="1"/>
  <c r="C40" i="10" a="1"/>
  <c r="C40" i="10" s="1"/>
  <c r="K43" i="10" a="1"/>
  <c r="K43" i="10" s="1"/>
  <c r="J43" i="10" a="1"/>
  <c r="J43" i="10" s="1"/>
  <c r="I43" i="10" a="1"/>
  <c r="I43" i="10" s="1"/>
  <c r="H43" i="10" a="1"/>
  <c r="H43" i="10" s="1"/>
  <c r="G43" i="10" a="1"/>
  <c r="G43" i="10" s="1"/>
  <c r="F43" i="10" a="1"/>
  <c r="F43" i="10" s="1"/>
  <c r="E43" i="10" a="1"/>
  <c r="E43" i="10" s="1"/>
  <c r="D43" i="10" a="1"/>
  <c r="D43" i="10" s="1"/>
  <c r="C43" i="10" a="1"/>
  <c r="C43" i="10" s="1"/>
  <c r="B43" i="10" a="1"/>
  <c r="B43" i="10" s="1"/>
  <c r="K49" i="10" a="1"/>
  <c r="K49" i="10" s="1"/>
  <c r="J49" i="10" a="1"/>
  <c r="J49" i="10" s="1"/>
  <c r="I49" i="10" a="1"/>
  <c r="I49" i="10" s="1"/>
  <c r="H49" i="10" a="1"/>
  <c r="H49" i="10" s="1"/>
  <c r="G49" i="10" a="1"/>
  <c r="G49" i="10" s="1"/>
  <c r="F49" i="10" a="1"/>
  <c r="F49" i="10" s="1"/>
  <c r="E49" i="10" a="1"/>
  <c r="E49" i="10" s="1"/>
  <c r="D49" i="10" a="1"/>
  <c r="D49" i="10" s="1"/>
  <c r="C49" i="10" a="1"/>
  <c r="C49" i="10" s="1"/>
  <c r="B49" i="10" a="1"/>
  <c r="B49" i="10" s="1"/>
  <c r="K41" i="10" a="1"/>
  <c r="K41" i="10" s="1"/>
  <c r="J41" i="10" a="1"/>
  <c r="J41" i="10" s="1"/>
  <c r="I41" i="10" a="1"/>
  <c r="I41" i="10" s="1"/>
  <c r="H41" i="10" a="1"/>
  <c r="H41" i="10" s="1"/>
  <c r="G41" i="10" a="1"/>
  <c r="G41" i="10" s="1"/>
  <c r="F41" i="10" a="1"/>
  <c r="F41" i="10" s="1"/>
  <c r="E41" i="10" a="1"/>
  <c r="E41" i="10" s="1"/>
  <c r="D41" i="10" a="1"/>
  <c r="D41" i="10" s="1"/>
  <c r="C41" i="10" a="1"/>
  <c r="C41" i="10" s="1"/>
  <c r="B41" i="10" a="1"/>
  <c r="B41" i="10" s="1"/>
  <c r="K46" i="10" a="1"/>
  <c r="K46" i="10" s="1"/>
  <c r="J46" i="10" a="1"/>
  <c r="J46" i="10" s="1"/>
  <c r="I46" i="10" a="1"/>
  <c r="I46" i="10" s="1"/>
  <c r="H46" i="10" a="1"/>
  <c r="H46" i="10" s="1"/>
  <c r="G46" i="10" a="1"/>
  <c r="G46" i="10" s="1"/>
  <c r="F46" i="10" a="1"/>
  <c r="F46" i="10" s="1"/>
  <c r="E46" i="10" a="1"/>
  <c r="E46" i="10" s="1"/>
  <c r="D46" i="10" a="1"/>
  <c r="D46" i="10" s="1"/>
  <c r="C46" i="10" a="1"/>
  <c r="C46" i="10" s="1"/>
  <c r="B46" i="10" a="1"/>
  <c r="B46" i="10" s="1"/>
  <c r="K36" i="10" a="1"/>
  <c r="K36" i="10" s="1"/>
  <c r="J36" i="10" a="1"/>
  <c r="J36" i="10" s="1"/>
  <c r="I36" i="10" a="1"/>
  <c r="I36" i="10" s="1"/>
  <c r="H36" i="10" a="1"/>
  <c r="H36" i="10" s="1"/>
  <c r="G36" i="10" a="1"/>
  <c r="G36" i="10" s="1"/>
  <c r="F36" i="10" a="1"/>
  <c r="F36" i="10" s="1"/>
  <c r="E36" i="10" a="1"/>
  <c r="E36" i="10" s="1"/>
  <c r="D36" i="10" a="1"/>
  <c r="D36" i="10" s="1"/>
  <c r="C36" i="10" a="1"/>
  <c r="C36" i="10" s="1"/>
  <c r="B36" i="10" a="1"/>
  <c r="B36" i="10" s="1"/>
  <c r="K32" i="10" a="1"/>
  <c r="K32" i="10" s="1"/>
  <c r="J32" i="10" a="1"/>
  <c r="J32" i="10" s="1"/>
  <c r="I32" i="10" a="1"/>
  <c r="I32" i="10" s="1"/>
  <c r="H32" i="10" a="1"/>
  <c r="H32" i="10" s="1"/>
  <c r="G32" i="10" a="1"/>
  <c r="G32" i="10" s="1"/>
  <c r="F32" i="10" a="1"/>
  <c r="F32" i="10" s="1"/>
  <c r="E32" i="10" a="1"/>
  <c r="E32" i="10" s="1"/>
  <c r="D32" i="10" a="1"/>
  <c r="D32" i="10" s="1"/>
  <c r="C32" i="10" a="1"/>
  <c r="C32" i="10" s="1"/>
  <c r="B32" i="10" a="1"/>
  <c r="B32" i="10" s="1"/>
  <c r="K37" i="10" a="1"/>
  <c r="K37" i="10" s="1"/>
  <c r="J37" i="10" a="1"/>
  <c r="J37" i="10" s="1"/>
  <c r="I37" i="10" a="1"/>
  <c r="I37" i="10" s="1"/>
  <c r="H37" i="10" a="1"/>
  <c r="H37" i="10" s="1"/>
  <c r="G37" i="10" a="1"/>
  <c r="G37" i="10" s="1"/>
  <c r="F37" i="10" a="1"/>
  <c r="F37" i="10" s="1"/>
  <c r="E37" i="10" a="1"/>
  <c r="E37" i="10" s="1"/>
  <c r="D37" i="10" a="1"/>
  <c r="D37" i="10" s="1"/>
  <c r="C37" i="10" a="1"/>
  <c r="C37" i="10" s="1"/>
  <c r="B37" i="10" a="1"/>
  <c r="B37" i="10" s="1"/>
  <c r="K33" i="10" a="1"/>
  <c r="K33" i="10" s="1"/>
  <c r="J33" i="10" a="1"/>
  <c r="J33" i="10" s="1"/>
  <c r="I33" i="10" a="1"/>
  <c r="I33" i="10" s="1"/>
  <c r="H33" i="10" a="1"/>
  <c r="H33" i="10" s="1"/>
  <c r="G33" i="10" a="1"/>
  <c r="G33" i="10" s="1"/>
  <c r="F33" i="10" a="1"/>
  <c r="F33" i="10" s="1"/>
  <c r="E33" i="10" a="1"/>
  <c r="E33" i="10" s="1"/>
  <c r="D33" i="10" a="1"/>
  <c r="D33" i="10" s="1"/>
  <c r="C33" i="10" a="1"/>
  <c r="C33" i="10" s="1"/>
  <c r="B33" i="10" a="1"/>
  <c r="B33" i="10" s="1"/>
  <c r="K42" i="10" a="1"/>
  <c r="K42" i="10" s="1"/>
  <c r="J42" i="10" a="1"/>
  <c r="J42" i="10" s="1"/>
  <c r="I42" i="10" a="1"/>
  <c r="I42" i="10" s="1"/>
  <c r="H42" i="10" a="1"/>
  <c r="H42" i="10" s="1"/>
  <c r="G42" i="10" a="1"/>
  <c r="G42" i="10" s="1"/>
  <c r="F42" i="10" a="1"/>
  <c r="F42" i="10" s="1"/>
  <c r="E42" i="10" a="1"/>
  <c r="E42" i="10" s="1"/>
  <c r="D42" i="10" a="1"/>
  <c r="D42" i="10" s="1"/>
  <c r="C42" i="10" a="1"/>
  <c r="C42" i="10" s="1"/>
  <c r="B42" i="10" a="1"/>
  <c r="B42" i="10" s="1"/>
  <c r="K39" i="10" a="1"/>
  <c r="K39" i="10" s="1"/>
  <c r="J39" i="10" a="1"/>
  <c r="J39" i="10" s="1"/>
  <c r="I39" i="10" a="1"/>
  <c r="I39" i="10" s="1"/>
  <c r="H39" i="10" a="1"/>
  <c r="H39" i="10" s="1"/>
  <c r="G39" i="10" a="1"/>
  <c r="G39" i="10" s="1"/>
  <c r="F39" i="10" a="1"/>
  <c r="F39" i="10" s="1"/>
  <c r="E39" i="10" a="1"/>
  <c r="E39" i="10" s="1"/>
  <c r="D39" i="10" a="1"/>
  <c r="D39" i="10" s="1"/>
  <c r="C39" i="10" a="1"/>
  <c r="C39" i="10" s="1"/>
  <c r="B39" i="10" a="1"/>
  <c r="B39" i="10" s="1"/>
  <c r="K38" i="10" a="1"/>
  <c r="K38" i="10" s="1"/>
  <c r="J38" i="10" a="1"/>
  <c r="J38" i="10" s="1"/>
  <c r="I38" i="10" a="1"/>
  <c r="I38" i="10" s="1"/>
  <c r="H38" i="10" a="1"/>
  <c r="H38" i="10" s="1"/>
  <c r="G38" i="10" a="1"/>
  <c r="G38" i="10" s="1"/>
  <c r="F38" i="10" a="1"/>
  <c r="F38" i="10" s="1"/>
  <c r="E38" i="10" a="1"/>
  <c r="E38" i="10" s="1"/>
  <c r="D38" i="10" a="1"/>
  <c r="D38" i="10" s="1"/>
  <c r="C38" i="10" a="1"/>
  <c r="C38" i="10" s="1"/>
  <c r="B38" i="10" a="1"/>
  <c r="B38" i="10" s="1"/>
  <c r="K34" i="10" a="1"/>
  <c r="K34" i="10" s="1"/>
  <c r="J34" i="10" a="1"/>
  <c r="J34" i="10" s="1"/>
  <c r="I34" i="10" a="1"/>
  <c r="I34" i="10" s="1"/>
  <c r="H34" i="10" a="1"/>
  <c r="H34" i="10" s="1"/>
  <c r="G34" i="10" a="1"/>
  <c r="G34" i="10" s="1"/>
  <c r="F34" i="10" a="1"/>
  <c r="F34" i="10" s="1"/>
  <c r="E34" i="10" a="1"/>
  <c r="E34" i="10" s="1"/>
  <c r="D34" i="10" a="1"/>
  <c r="D34" i="10" s="1"/>
  <c r="C34" i="10" a="1"/>
  <c r="C34" i="10" s="1"/>
  <c r="B34" i="10" a="1"/>
  <c r="B34" i="10" s="1"/>
  <c r="K35" i="10" a="1"/>
  <c r="K35" i="10" s="1"/>
  <c r="J35" i="10" a="1"/>
  <c r="J35" i="10" s="1"/>
  <c r="I35" i="10" a="1"/>
  <c r="I35" i="10" s="1"/>
  <c r="H35" i="10" a="1"/>
  <c r="H35" i="10" s="1"/>
  <c r="G35" i="10" a="1"/>
  <c r="G35" i="10" s="1"/>
  <c r="F35" i="10" a="1"/>
  <c r="F35" i="10" s="1"/>
  <c r="E35" i="10" a="1"/>
  <c r="E35" i="10" s="1"/>
  <c r="D35" i="10" a="1"/>
  <c r="D35" i="10" s="1"/>
  <c r="C35" i="10" a="1"/>
  <c r="C35" i="10" s="1"/>
  <c r="B35" i="10" a="1"/>
  <c r="B35" i="10" s="1"/>
  <c r="K31" i="10" a="1"/>
  <c r="K31" i="10" s="1"/>
  <c r="J31" i="10" a="1"/>
  <c r="J31" i="10" s="1"/>
  <c r="I31" i="10" a="1"/>
  <c r="I31" i="10" s="1"/>
  <c r="H31" i="10" a="1"/>
  <c r="H31" i="10" s="1"/>
  <c r="G31" i="10" a="1"/>
  <c r="G31" i="10" s="1"/>
  <c r="F31" i="10" a="1"/>
  <c r="F31" i="10" s="1"/>
  <c r="E31" i="10" a="1"/>
  <c r="E31" i="10" s="1"/>
  <c r="D31" i="10" a="1"/>
  <c r="D31" i="10" s="1"/>
  <c r="C31" i="10" a="1"/>
  <c r="C31" i="10" s="1"/>
  <c r="B31" i="10" a="1"/>
  <c r="B31" i="10" s="1"/>
  <c r="B40" i="10" a="1"/>
  <c r="B40" i="10" s="1"/>
  <c r="K59" i="10"/>
  <c r="J59" i="10"/>
  <c r="I59" i="10"/>
  <c r="H59" i="10"/>
  <c r="G59" i="10"/>
  <c r="F59" i="10"/>
  <c r="E59" i="10"/>
  <c r="D59" i="10"/>
  <c r="C59" i="10"/>
  <c r="B59" i="10"/>
  <c r="N57" i="10"/>
  <c r="M57" i="10"/>
  <c r="L57" i="10"/>
  <c r="N56" i="10"/>
  <c r="M56" i="10"/>
  <c r="L56" i="10"/>
  <c r="K27" i="10" a="1"/>
  <c r="K27" i="10" s="1"/>
  <c r="J27" i="10" a="1"/>
  <c r="J27" i="10" s="1"/>
  <c r="I27" i="10" a="1"/>
  <c r="I27" i="10" s="1"/>
  <c r="H27" i="10" a="1"/>
  <c r="H27" i="10" s="1"/>
  <c r="G27" i="10" a="1"/>
  <c r="G27" i="10" s="1"/>
  <c r="F27" i="10" a="1"/>
  <c r="F27" i="10" s="1"/>
  <c r="E27" i="10" a="1"/>
  <c r="E27" i="10" s="1"/>
  <c r="D27" i="10" a="1"/>
  <c r="D27" i="10" s="1"/>
  <c r="C27" i="10" a="1"/>
  <c r="C27" i="10" s="1"/>
  <c r="B27" i="10" a="1"/>
  <c r="B27" i="10" s="1"/>
  <c r="J83" i="9"/>
  <c r="J83" i="9" a="1"/>
  <c r="G77" i="9" a="1"/>
  <c r="G77" i="9" s="1"/>
  <c r="E74" i="9" a="1"/>
  <c r="E74" i="9" s="1"/>
  <c r="D78" i="9" a="1"/>
  <c r="D78" i="9" s="1"/>
  <c r="D80" i="9" a="1"/>
  <c r="D80" i="9" s="1"/>
  <c r="H83" i="9" a="1"/>
  <c r="H83" i="9" s="1"/>
  <c r="H76" i="9" a="1"/>
  <c r="H76" i="9" s="1"/>
  <c r="B76" i="9" a="1"/>
  <c r="B76" i="9" s="1"/>
  <c r="B80" i="9" a="1"/>
  <c r="B80" i="9" s="1"/>
  <c r="C81" i="9" a="1"/>
  <c r="C81" i="9" s="1"/>
  <c r="I79" i="9"/>
  <c r="I79" i="9" a="1"/>
  <c r="F82" i="9" a="1"/>
  <c r="F82" i="9" s="1"/>
  <c r="L75" i="9"/>
  <c r="L75" i="9" a="1"/>
  <c r="K72" i="9"/>
  <c r="K72" i="9" a="1"/>
  <c r="C68" i="9" a="1"/>
  <c r="C68" i="9"/>
  <c r="D68" i="9" a="1"/>
  <c r="D68" i="9" s="1"/>
  <c r="E68" i="9" a="1"/>
  <c r="E68" i="9" s="1"/>
  <c r="F68" i="9" a="1"/>
  <c r="F68" i="9" s="1"/>
  <c r="G68" i="9" a="1"/>
  <c r="G68" i="9"/>
  <c r="H68" i="9" a="1"/>
  <c r="H68" i="9"/>
  <c r="I68" i="9" a="1"/>
  <c r="I68" i="9" s="1"/>
  <c r="J68" i="9" a="1"/>
  <c r="J68" i="9"/>
  <c r="K68" i="9" a="1"/>
  <c r="K68" i="9" s="1"/>
  <c r="L68" i="9" a="1"/>
  <c r="L68" i="9"/>
  <c r="C70" i="9" a="1"/>
  <c r="C70" i="9"/>
  <c r="D70" i="9" a="1"/>
  <c r="D70" i="9" s="1"/>
  <c r="E70" i="9" a="1"/>
  <c r="E70" i="9" s="1"/>
  <c r="F70" i="9" a="1"/>
  <c r="F70" i="9"/>
  <c r="G70" i="9" a="1"/>
  <c r="G70" i="9" s="1"/>
  <c r="H70" i="9" a="1"/>
  <c r="H70" i="9" s="1"/>
  <c r="I70" i="9" a="1"/>
  <c r="I70" i="9" s="1"/>
  <c r="J70" i="9" a="1"/>
  <c r="J70" i="9"/>
  <c r="K70" i="9" a="1"/>
  <c r="K70" i="9" s="1"/>
  <c r="L70" i="9" a="1"/>
  <c r="L70" i="9" s="1"/>
  <c r="C78" i="9" a="1"/>
  <c r="C78" i="9" s="1"/>
  <c r="E78" i="9" a="1"/>
  <c r="E78" i="9" s="1"/>
  <c r="F78" i="9" a="1"/>
  <c r="F78" i="9"/>
  <c r="G78" i="9" a="1"/>
  <c r="G78" i="9"/>
  <c r="H78" i="9" a="1"/>
  <c r="H78" i="9"/>
  <c r="I78" i="9" a="1"/>
  <c r="I78" i="9" s="1"/>
  <c r="J78" i="9" a="1"/>
  <c r="J78" i="9"/>
  <c r="K78" i="9" a="1"/>
  <c r="K78" i="9" s="1"/>
  <c r="L78" i="9" a="1"/>
  <c r="L78" i="9"/>
  <c r="C80" i="9" a="1"/>
  <c r="C80" i="9"/>
  <c r="E80" i="9" a="1"/>
  <c r="E80" i="9" s="1"/>
  <c r="F80" i="9" a="1"/>
  <c r="F80" i="9" s="1"/>
  <c r="G80" i="9" a="1"/>
  <c r="G80" i="9"/>
  <c r="H80" i="9" a="1"/>
  <c r="H80" i="9"/>
  <c r="I80" i="9" a="1"/>
  <c r="I80" i="9" s="1"/>
  <c r="J80" i="9" a="1"/>
  <c r="J80" i="9" s="1"/>
  <c r="K80" i="9" a="1"/>
  <c r="K80" i="9" s="1"/>
  <c r="L80" i="9" a="1"/>
  <c r="L80" i="9" s="1"/>
  <c r="C66" i="9" a="1"/>
  <c r="C66" i="9" s="1"/>
  <c r="D66" i="9" a="1"/>
  <c r="D66" i="9" s="1"/>
  <c r="E66" i="9" a="1"/>
  <c r="E66" i="9" s="1"/>
  <c r="F66" i="9" a="1"/>
  <c r="F66" i="9"/>
  <c r="G66" i="9" a="1"/>
  <c r="G66" i="9" s="1"/>
  <c r="H66" i="9" a="1"/>
  <c r="H66" i="9" s="1"/>
  <c r="I66" i="9" a="1"/>
  <c r="I66" i="9" s="1"/>
  <c r="J66" i="9" a="1"/>
  <c r="J66" i="9"/>
  <c r="K66" i="9" a="1"/>
  <c r="K66" i="9" s="1"/>
  <c r="L66" i="9" a="1"/>
  <c r="L66" i="9"/>
  <c r="C69" i="9" a="1"/>
  <c r="C69" i="9"/>
  <c r="D69" i="9" a="1"/>
  <c r="D69" i="9" s="1"/>
  <c r="E69" i="9" a="1"/>
  <c r="E69" i="9" s="1"/>
  <c r="F69" i="9" a="1"/>
  <c r="F69" i="9" s="1"/>
  <c r="G69" i="9" a="1"/>
  <c r="G69" i="9"/>
  <c r="H69" i="9" a="1"/>
  <c r="H69" i="9"/>
  <c r="I69" i="9" a="1"/>
  <c r="I69" i="9" s="1"/>
  <c r="J69" i="9" a="1"/>
  <c r="J69" i="9"/>
  <c r="K69" i="9" a="1"/>
  <c r="K69" i="9" s="1"/>
  <c r="L69" i="9" a="1"/>
  <c r="L69" i="9"/>
  <c r="C63" i="9" a="1"/>
  <c r="C63" i="9"/>
  <c r="D63" i="9" a="1"/>
  <c r="D63" i="9" s="1"/>
  <c r="E63" i="9" a="1"/>
  <c r="E63" i="9" s="1"/>
  <c r="F63" i="9" a="1"/>
  <c r="F63" i="9"/>
  <c r="G63" i="9" a="1"/>
  <c r="G63" i="9" s="1"/>
  <c r="H63" i="9" a="1"/>
  <c r="H63" i="9" s="1"/>
  <c r="I63" i="9" a="1"/>
  <c r="I63" i="9" s="1"/>
  <c r="J63" i="9" a="1"/>
  <c r="J63" i="9"/>
  <c r="K63" i="9" a="1"/>
  <c r="K63" i="9" s="1"/>
  <c r="L63" i="9" a="1"/>
  <c r="L63" i="9" s="1"/>
  <c r="C67" i="9" a="1"/>
  <c r="C67" i="9" s="1"/>
  <c r="D67" i="9" a="1"/>
  <c r="D67" i="9" s="1"/>
  <c r="E67" i="9" a="1"/>
  <c r="E67" i="9" s="1"/>
  <c r="F67" i="9" a="1"/>
  <c r="F67" i="9"/>
  <c r="G67" i="9" a="1"/>
  <c r="G67" i="9"/>
  <c r="H67" i="9" a="1"/>
  <c r="H67" i="9"/>
  <c r="I67" i="9" a="1"/>
  <c r="I67" i="9" s="1"/>
  <c r="J67" i="9" a="1"/>
  <c r="J67" i="9"/>
  <c r="K67" i="9" a="1"/>
  <c r="K67" i="9" s="1"/>
  <c r="L67" i="9" a="1"/>
  <c r="L67" i="9"/>
  <c r="C74" i="9" a="1"/>
  <c r="C74" i="9"/>
  <c r="D74" i="9" a="1"/>
  <c r="D74" i="9" s="1"/>
  <c r="F74" i="9" a="1"/>
  <c r="F74" i="9" s="1"/>
  <c r="G74" i="9" a="1"/>
  <c r="G74" i="9"/>
  <c r="H74" i="9" a="1"/>
  <c r="H74" i="9"/>
  <c r="I74" i="9" a="1"/>
  <c r="I74" i="9" s="1"/>
  <c r="J74" i="9" a="1"/>
  <c r="J74" i="9" s="1"/>
  <c r="K74" i="9" a="1"/>
  <c r="K74" i="9" s="1"/>
  <c r="L74" i="9" a="1"/>
  <c r="L74" i="9" s="1"/>
  <c r="C75" i="9" a="1"/>
  <c r="C75" i="9" s="1"/>
  <c r="D75" i="9" a="1"/>
  <c r="D75" i="9" s="1"/>
  <c r="E75" i="9" a="1"/>
  <c r="E75" i="9" s="1"/>
  <c r="F75" i="9" a="1"/>
  <c r="F75" i="9"/>
  <c r="G75" i="9" a="1"/>
  <c r="G75" i="9" s="1"/>
  <c r="H75" i="9" a="1"/>
  <c r="H75" i="9" s="1"/>
  <c r="I75" i="9" a="1"/>
  <c r="I75" i="9" s="1"/>
  <c r="J75" i="9" a="1"/>
  <c r="J75" i="9"/>
  <c r="K75" i="9" a="1"/>
  <c r="K75" i="9" s="1"/>
  <c r="C83" i="9" a="1"/>
  <c r="C83" i="9"/>
  <c r="D83" i="9" a="1"/>
  <c r="D83" i="9" s="1"/>
  <c r="E83" i="9" a="1"/>
  <c r="E83" i="9" s="1"/>
  <c r="F83" i="9" a="1"/>
  <c r="F83" i="9" s="1"/>
  <c r="G83" i="9" a="1"/>
  <c r="G83" i="9"/>
  <c r="I83" i="9" a="1"/>
  <c r="I83" i="9" s="1"/>
  <c r="K83" i="9" a="1"/>
  <c r="K83" i="9" s="1"/>
  <c r="L83" i="9" a="1"/>
  <c r="L83" i="9"/>
  <c r="C62" i="9" a="1"/>
  <c r="C62" i="9"/>
  <c r="D62" i="9" a="1"/>
  <c r="D62" i="9" s="1"/>
  <c r="E62" i="9" a="1"/>
  <c r="E62" i="9" s="1"/>
  <c r="F62" i="9" a="1"/>
  <c r="F62" i="9"/>
  <c r="G62" i="9" a="1"/>
  <c r="G62" i="9" s="1"/>
  <c r="H62" i="9" a="1"/>
  <c r="H62" i="9" s="1"/>
  <c r="I62" i="9" a="1"/>
  <c r="I62" i="9" s="1"/>
  <c r="J62" i="9" a="1"/>
  <c r="J62" i="9"/>
  <c r="K62" i="9" a="1"/>
  <c r="K62" i="9" s="1"/>
  <c r="L62" i="9" a="1"/>
  <c r="L62" i="9" s="1"/>
  <c r="D81" i="9" a="1"/>
  <c r="D81" i="9" s="1"/>
  <c r="E81" i="9" a="1"/>
  <c r="E81" i="9" s="1"/>
  <c r="F81" i="9" a="1"/>
  <c r="F81" i="9"/>
  <c r="G81" i="9" a="1"/>
  <c r="G81" i="9"/>
  <c r="H81" i="9" a="1"/>
  <c r="H81" i="9"/>
  <c r="I81" i="9" a="1"/>
  <c r="I81" i="9" s="1"/>
  <c r="J81" i="9" a="1"/>
  <c r="J81" i="9"/>
  <c r="K81" i="9" a="1"/>
  <c r="K81" i="9" s="1"/>
  <c r="L81" i="9" a="1"/>
  <c r="L81" i="9"/>
  <c r="C64" i="9" a="1"/>
  <c r="C64" i="9"/>
  <c r="D64" i="9" a="1"/>
  <c r="D64" i="9" s="1"/>
  <c r="E64" i="9" a="1"/>
  <c r="E64" i="9" s="1"/>
  <c r="F64" i="9" a="1"/>
  <c r="F64" i="9" s="1"/>
  <c r="G64" i="9" a="1"/>
  <c r="G64" i="9"/>
  <c r="H64" i="9" a="1"/>
  <c r="H64" i="9"/>
  <c r="I64" i="9" a="1"/>
  <c r="I64" i="9" s="1"/>
  <c r="J64" i="9" a="1"/>
  <c r="J64" i="9" s="1"/>
  <c r="K64" i="9" a="1"/>
  <c r="K64" i="9" s="1"/>
  <c r="L64" i="9" a="1"/>
  <c r="L64" i="9" s="1"/>
  <c r="C59" i="9" a="1"/>
  <c r="C59" i="9" s="1"/>
  <c r="D59" i="9" a="1"/>
  <c r="D59" i="9" s="1"/>
  <c r="E59" i="9" a="1"/>
  <c r="E59" i="9" s="1"/>
  <c r="F59" i="9" a="1"/>
  <c r="F59" i="9"/>
  <c r="G59" i="9" a="1"/>
  <c r="G59" i="9" s="1"/>
  <c r="H59" i="9" a="1"/>
  <c r="H59" i="9" s="1"/>
  <c r="I59" i="9" a="1"/>
  <c r="I59" i="9" s="1"/>
  <c r="J59" i="9" a="1"/>
  <c r="J59" i="9"/>
  <c r="K59" i="9" a="1"/>
  <c r="K59" i="9" s="1"/>
  <c r="L59" i="9" a="1"/>
  <c r="L59" i="9"/>
  <c r="C65" i="9" a="1"/>
  <c r="C65" i="9"/>
  <c r="D65" i="9" a="1"/>
  <c r="D65" i="9" s="1"/>
  <c r="E65" i="9" a="1"/>
  <c r="E65" i="9" s="1"/>
  <c r="F65" i="9" a="1"/>
  <c r="F65" i="9" s="1"/>
  <c r="G65" i="9" a="1"/>
  <c r="G65" i="9"/>
  <c r="H65" i="9" a="1"/>
  <c r="H65" i="9"/>
  <c r="I65" i="9" a="1"/>
  <c r="I65" i="9" s="1"/>
  <c r="J65" i="9" a="1"/>
  <c r="J65" i="9"/>
  <c r="K65" i="9" a="1"/>
  <c r="K65" i="9" s="1"/>
  <c r="L65" i="9" a="1"/>
  <c r="L65" i="9"/>
  <c r="C72" i="9" a="1"/>
  <c r="C72" i="9" s="1"/>
  <c r="D72" i="9" a="1"/>
  <c r="D72" i="9" s="1"/>
  <c r="E72" i="9" a="1"/>
  <c r="E72" i="9" s="1"/>
  <c r="F72" i="9" a="1"/>
  <c r="F72" i="9" s="1"/>
  <c r="G72" i="9" a="1"/>
  <c r="G72" i="9"/>
  <c r="H72" i="9" a="1"/>
  <c r="H72" i="9"/>
  <c r="I72" i="9" a="1"/>
  <c r="I72" i="9" s="1"/>
  <c r="J72" i="9" a="1"/>
  <c r="J72" i="9"/>
  <c r="L72" i="9" a="1"/>
  <c r="L72" i="9" s="1"/>
  <c r="C60" i="9" a="1"/>
  <c r="C60" i="9" s="1"/>
  <c r="D60" i="9" a="1"/>
  <c r="D60" i="9" s="1"/>
  <c r="E60" i="9" a="1"/>
  <c r="E60" i="9" s="1"/>
  <c r="F60" i="9" a="1"/>
  <c r="F60" i="9"/>
  <c r="G60" i="9" a="1"/>
  <c r="G60" i="9"/>
  <c r="H60" i="9" a="1"/>
  <c r="H60" i="9"/>
  <c r="I60" i="9" a="1"/>
  <c r="I60" i="9" s="1"/>
  <c r="J60" i="9" a="1"/>
  <c r="J60" i="9"/>
  <c r="K60" i="9" a="1"/>
  <c r="K60" i="9" s="1"/>
  <c r="L60" i="9" a="1"/>
  <c r="L60" i="9" s="1"/>
  <c r="C79" i="9" a="1"/>
  <c r="C79" i="9" s="1"/>
  <c r="D79" i="9" a="1"/>
  <c r="D79" i="9" s="1"/>
  <c r="E79" i="9" a="1"/>
  <c r="E79" i="9" s="1"/>
  <c r="F79" i="9" a="1"/>
  <c r="F79" i="9" s="1"/>
  <c r="G79" i="9" a="1"/>
  <c r="G79" i="9"/>
  <c r="H79" i="9" a="1"/>
  <c r="H79" i="9"/>
  <c r="J79" i="9" a="1"/>
  <c r="J79" i="9"/>
  <c r="K79" i="9" a="1"/>
  <c r="K79" i="9" s="1"/>
  <c r="L79" i="9" a="1"/>
  <c r="L79" i="9" s="1"/>
  <c r="C71" i="9" a="1"/>
  <c r="C71" i="9" s="1"/>
  <c r="D71" i="9" a="1"/>
  <c r="D71" i="9" s="1"/>
  <c r="E71" i="9" a="1"/>
  <c r="E71" i="9" s="1"/>
  <c r="F71" i="9" a="1"/>
  <c r="F71" i="9" s="1"/>
  <c r="G71" i="9" a="1"/>
  <c r="G71" i="9"/>
  <c r="H71" i="9" a="1"/>
  <c r="H71" i="9"/>
  <c r="I71" i="9" a="1"/>
  <c r="I71" i="9" s="1"/>
  <c r="J71" i="9" a="1"/>
  <c r="J71" i="9"/>
  <c r="K71" i="9" a="1"/>
  <c r="K71" i="9" s="1"/>
  <c r="L71" i="9" a="1"/>
  <c r="L71" i="9"/>
  <c r="C77" i="9" a="1"/>
  <c r="C77" i="9" s="1"/>
  <c r="D77" i="9" a="1"/>
  <c r="D77" i="9" s="1"/>
  <c r="E77" i="9" a="1"/>
  <c r="E77" i="9" s="1"/>
  <c r="F77" i="9" a="1"/>
  <c r="F77" i="9" s="1"/>
  <c r="H77" i="9" a="1"/>
  <c r="H77" i="9"/>
  <c r="I77" i="9" a="1"/>
  <c r="I77" i="9" s="1"/>
  <c r="J77" i="9" a="1"/>
  <c r="J77" i="9"/>
  <c r="K77" i="9" a="1"/>
  <c r="K77" i="9" s="1"/>
  <c r="L77" i="9" a="1"/>
  <c r="L77" i="9" s="1"/>
  <c r="C82" i="9" a="1"/>
  <c r="C82" i="9" s="1"/>
  <c r="D82" i="9" a="1"/>
  <c r="D82" i="9" s="1"/>
  <c r="E82" i="9" a="1"/>
  <c r="E82" i="9" s="1"/>
  <c r="G82" i="9" a="1"/>
  <c r="G82" i="9"/>
  <c r="H82" i="9" a="1"/>
  <c r="H82" i="9"/>
  <c r="I82" i="9" a="1"/>
  <c r="I82" i="9" s="1"/>
  <c r="J82" i="9" a="1"/>
  <c r="J82" i="9"/>
  <c r="K82" i="9" a="1"/>
  <c r="K82" i="9" s="1"/>
  <c r="L82" i="9" a="1"/>
  <c r="L82" i="9" s="1"/>
  <c r="C76" i="9" a="1"/>
  <c r="C76" i="9" s="1"/>
  <c r="D76" i="9" a="1"/>
  <c r="D76" i="9" s="1"/>
  <c r="E76" i="9" a="1"/>
  <c r="E76" i="9" s="1"/>
  <c r="F76" i="9" a="1"/>
  <c r="F76" i="9" s="1"/>
  <c r="G76" i="9" a="1"/>
  <c r="G76" i="9"/>
  <c r="I76" i="9" a="1"/>
  <c r="I76" i="9" s="1"/>
  <c r="J76" i="9" a="1"/>
  <c r="J76" i="9"/>
  <c r="K76" i="9" a="1"/>
  <c r="K76" i="9" s="1"/>
  <c r="L76" i="9" a="1"/>
  <c r="L76" i="9" s="1"/>
  <c r="C61" i="9" a="1"/>
  <c r="C61" i="9" s="1"/>
  <c r="D61" i="9" a="1"/>
  <c r="D61" i="9" s="1"/>
  <c r="E61" i="9" a="1"/>
  <c r="E61" i="9" s="1"/>
  <c r="F61" i="9" a="1"/>
  <c r="F61" i="9" s="1"/>
  <c r="G61" i="9" a="1"/>
  <c r="G61" i="9"/>
  <c r="H61" i="9" a="1"/>
  <c r="H61" i="9"/>
  <c r="I61" i="9" a="1"/>
  <c r="I61" i="9" s="1"/>
  <c r="J61" i="9" a="1"/>
  <c r="J61" i="9"/>
  <c r="K61" i="9" a="1"/>
  <c r="K61" i="9" s="1"/>
  <c r="L61" i="9" a="1"/>
  <c r="L61" i="9"/>
  <c r="C73" i="9" a="1"/>
  <c r="C73" i="9" s="1"/>
  <c r="D73" i="9" a="1"/>
  <c r="D73" i="9" s="1"/>
  <c r="E73" i="9" a="1"/>
  <c r="E73" i="9" s="1"/>
  <c r="F73" i="9" a="1"/>
  <c r="F73" i="9" s="1"/>
  <c r="G73" i="9" a="1"/>
  <c r="G73" i="9"/>
  <c r="H73" i="9" a="1"/>
  <c r="H73" i="9"/>
  <c r="I73" i="9" a="1"/>
  <c r="I73" i="9" s="1"/>
  <c r="J73" i="9" a="1"/>
  <c r="J73" i="9"/>
  <c r="K73" i="9" a="1"/>
  <c r="K73" i="9" s="1"/>
  <c r="L73" i="9" a="1"/>
  <c r="L73" i="9" s="1"/>
  <c r="B70" i="9" a="1"/>
  <c r="B70" i="9"/>
  <c r="B78" i="9" a="1"/>
  <c r="B78" i="9"/>
  <c r="B66" i="9" a="1"/>
  <c r="B66" i="9" s="1"/>
  <c r="B69" i="9" a="1"/>
  <c r="B69" i="9" s="1"/>
  <c r="B63" i="9" a="1"/>
  <c r="B63" i="9" s="1"/>
  <c r="B67" i="9" a="1"/>
  <c r="B67" i="9" s="1"/>
  <c r="B74" i="9" a="1"/>
  <c r="B74" i="9" s="1"/>
  <c r="B75" i="9" a="1"/>
  <c r="B75" i="9"/>
  <c r="B83" i="9" a="1"/>
  <c r="B83" i="9" s="1"/>
  <c r="B62" i="9" a="1"/>
  <c r="B62" i="9" s="1"/>
  <c r="B81" i="9" a="1"/>
  <c r="B81" i="9"/>
  <c r="B64" i="9" a="1"/>
  <c r="B64" i="9" s="1"/>
  <c r="B59" i="9" a="1"/>
  <c r="B59" i="9" s="1"/>
  <c r="B65" i="9" a="1"/>
  <c r="B65" i="9" s="1"/>
  <c r="B72" i="9" a="1"/>
  <c r="B72" i="9" s="1"/>
  <c r="B60" i="9" a="1"/>
  <c r="B60" i="9" s="1"/>
  <c r="B79" i="9" a="1"/>
  <c r="B79" i="9" s="1"/>
  <c r="B71" i="9" a="1"/>
  <c r="B71" i="9"/>
  <c r="B77" i="9" a="1"/>
  <c r="B77" i="9" s="1"/>
  <c r="B82" i="9" a="1"/>
  <c r="B82" i="9"/>
  <c r="B61" i="9" a="1"/>
  <c r="B61" i="9" s="1"/>
  <c r="B73" i="9" a="1"/>
  <c r="B73" i="9" s="1"/>
  <c r="L88" i="9"/>
  <c r="K88" i="9"/>
  <c r="J88" i="9"/>
  <c r="I88" i="9"/>
  <c r="H88" i="9"/>
  <c r="G88" i="9"/>
  <c r="F88" i="9"/>
  <c r="E88" i="9"/>
  <c r="D88" i="9"/>
  <c r="C88" i="9"/>
  <c r="B88" i="9"/>
  <c r="O86" i="9"/>
  <c r="N86" i="9"/>
  <c r="M86" i="9"/>
  <c r="O85" i="9"/>
  <c r="N85" i="9"/>
  <c r="M85" i="9"/>
  <c r="B68" i="9" a="1"/>
  <c r="B68" i="9" s="1"/>
  <c r="L55" i="9" a="1"/>
  <c r="L55" i="9" s="1"/>
  <c r="K55" i="9" a="1"/>
  <c r="K55" i="9" s="1"/>
  <c r="J55" i="9" a="1"/>
  <c r="J55" i="9" s="1"/>
  <c r="I55" i="9" a="1"/>
  <c r="I55" i="9" s="1"/>
  <c r="H55" i="9" a="1"/>
  <c r="H55" i="9" s="1"/>
  <c r="G55" i="9" a="1"/>
  <c r="G55" i="9" s="1"/>
  <c r="F55" i="9" a="1"/>
  <c r="F55" i="9" s="1"/>
  <c r="E55" i="9" a="1"/>
  <c r="E55" i="9" s="1"/>
  <c r="D55" i="9" a="1"/>
  <c r="D55" i="9" s="1"/>
  <c r="C55" i="9" a="1"/>
  <c r="C55" i="9" s="1"/>
  <c r="B55" i="9" a="1"/>
  <c r="B55" i="9" s="1"/>
  <c r="L54" i="9" a="1"/>
  <c r="L54" i="9" s="1"/>
  <c r="K54" i="9" a="1"/>
  <c r="K54" i="9" s="1"/>
  <c r="J54" i="9" a="1"/>
  <c r="J54" i="9" s="1"/>
  <c r="I54" i="9" a="1"/>
  <c r="I54" i="9" s="1"/>
  <c r="H54" i="9" a="1"/>
  <c r="H54" i="9" s="1"/>
  <c r="G54" i="9" a="1"/>
  <c r="G54" i="9" s="1"/>
  <c r="F54" i="9" a="1"/>
  <c r="F54" i="9" s="1"/>
  <c r="E54" i="9" a="1"/>
  <c r="E54" i="9" s="1"/>
  <c r="D54" i="9" a="1"/>
  <c r="D54" i="9" s="1"/>
  <c r="C54" i="9" a="1"/>
  <c r="C54" i="9" s="1"/>
  <c r="B54" i="9" a="1"/>
  <c r="B54" i="9" s="1"/>
  <c r="L53" i="9" a="1"/>
  <c r="L53" i="9" s="1"/>
  <c r="K53" i="9" a="1"/>
  <c r="K53" i="9" s="1"/>
  <c r="J53" i="9" a="1"/>
  <c r="J53" i="9" s="1"/>
  <c r="I53" i="9" a="1"/>
  <c r="I53" i="9" s="1"/>
  <c r="H53" i="9" a="1"/>
  <c r="H53" i="9" s="1"/>
  <c r="G53" i="9" a="1"/>
  <c r="G53" i="9" s="1"/>
  <c r="F53" i="9" a="1"/>
  <c r="F53" i="9" s="1"/>
  <c r="E53" i="9" a="1"/>
  <c r="E53" i="9" s="1"/>
  <c r="D53" i="9" a="1"/>
  <c r="D53" i="9" s="1"/>
  <c r="C53" i="9" a="1"/>
  <c r="C53" i="9" s="1"/>
  <c r="B53" i="9" a="1"/>
  <c r="B53" i="9" s="1"/>
  <c r="L52" i="9" a="1"/>
  <c r="L52" i="9" s="1"/>
  <c r="K52" i="9" a="1"/>
  <c r="K52" i="9" s="1"/>
  <c r="J52" i="9" a="1"/>
  <c r="J52" i="9" s="1"/>
  <c r="I52" i="9" a="1"/>
  <c r="I52" i="9" s="1"/>
  <c r="H52" i="9" a="1"/>
  <c r="H52" i="9" s="1"/>
  <c r="G52" i="9" a="1"/>
  <c r="G52" i="9" s="1"/>
  <c r="F52" i="9" a="1"/>
  <c r="F52" i="9" s="1"/>
  <c r="E52" i="9" a="1"/>
  <c r="E52" i="9" s="1"/>
  <c r="D52" i="9" a="1"/>
  <c r="D52" i="9" s="1"/>
  <c r="C52" i="9" a="1"/>
  <c r="C52" i="9" s="1"/>
  <c r="B52" i="9" a="1"/>
  <c r="B52" i="9" s="1"/>
  <c r="L51" i="9" a="1"/>
  <c r="L51" i="9" s="1"/>
  <c r="K51" i="9" a="1"/>
  <c r="K51" i="9" s="1"/>
  <c r="J51" i="9" a="1"/>
  <c r="J51" i="9" s="1"/>
  <c r="I51" i="9" a="1"/>
  <c r="I51" i="9" s="1"/>
  <c r="H51" i="9" a="1"/>
  <c r="H51" i="9" s="1"/>
  <c r="G51" i="9" a="1"/>
  <c r="G51" i="9" s="1"/>
  <c r="F51" i="9" a="1"/>
  <c r="F51" i="9" s="1"/>
  <c r="E51" i="9" a="1"/>
  <c r="E51" i="9" s="1"/>
  <c r="D51" i="9" a="1"/>
  <c r="D51" i="9" s="1"/>
  <c r="C51" i="9" a="1"/>
  <c r="C51" i="9" s="1"/>
  <c r="B51" i="9" a="1"/>
  <c r="B51" i="9" s="1"/>
  <c r="L50" i="9" a="1"/>
  <c r="L50" i="9" s="1"/>
  <c r="K50" i="9" a="1"/>
  <c r="K50" i="9" s="1"/>
  <c r="J50" i="9" a="1"/>
  <c r="J50" i="9" s="1"/>
  <c r="I50" i="9" a="1"/>
  <c r="I50" i="9" s="1"/>
  <c r="H50" i="9" a="1"/>
  <c r="H50" i="9" s="1"/>
  <c r="G50" i="9" a="1"/>
  <c r="G50" i="9" s="1"/>
  <c r="F50" i="9" a="1"/>
  <c r="F50" i="9" s="1"/>
  <c r="E50" i="9" a="1"/>
  <c r="E50" i="9" s="1"/>
  <c r="D50" i="9" a="1"/>
  <c r="D50" i="9" s="1"/>
  <c r="C50" i="9" a="1"/>
  <c r="C50" i="9" s="1"/>
  <c r="B50" i="9" a="1"/>
  <c r="B50" i="9" s="1"/>
  <c r="L49" i="9" a="1"/>
  <c r="L49" i="9" s="1"/>
  <c r="K49" i="9" a="1"/>
  <c r="K49" i="9" s="1"/>
  <c r="J49" i="9" a="1"/>
  <c r="J49" i="9" s="1"/>
  <c r="I49" i="9" a="1"/>
  <c r="I49" i="9" s="1"/>
  <c r="H49" i="9" a="1"/>
  <c r="H49" i="9" s="1"/>
  <c r="G49" i="9" a="1"/>
  <c r="G49" i="9" s="1"/>
  <c r="F49" i="9" a="1"/>
  <c r="F49" i="9" s="1"/>
  <c r="E49" i="9" a="1"/>
  <c r="E49" i="9" s="1"/>
  <c r="D49" i="9" a="1"/>
  <c r="D49" i="9" s="1"/>
  <c r="C49" i="9" a="1"/>
  <c r="C49" i="9" s="1"/>
  <c r="B49" i="9" a="1"/>
  <c r="B49" i="9" s="1"/>
  <c r="L48" i="9" a="1"/>
  <c r="L48" i="9" s="1"/>
  <c r="K48" i="9" a="1"/>
  <c r="K48" i="9" s="1"/>
  <c r="J48" i="9" a="1"/>
  <c r="J48" i="9" s="1"/>
  <c r="I48" i="9" a="1"/>
  <c r="I48" i="9" s="1"/>
  <c r="H48" i="9" a="1"/>
  <c r="H48" i="9" s="1"/>
  <c r="G48" i="9" a="1"/>
  <c r="G48" i="9" s="1"/>
  <c r="F48" i="9" a="1"/>
  <c r="F48" i="9" s="1"/>
  <c r="E48" i="9" a="1"/>
  <c r="E48" i="9" s="1"/>
  <c r="D48" i="9" a="1"/>
  <c r="D48" i="9" s="1"/>
  <c r="C48" i="9" a="1"/>
  <c r="C48" i="9" s="1"/>
  <c r="B48" i="9" a="1"/>
  <c r="B48" i="9" s="1"/>
  <c r="L47" i="9" a="1"/>
  <c r="L47" i="9" s="1"/>
  <c r="K47" i="9" a="1"/>
  <c r="K47" i="9" s="1"/>
  <c r="J47" i="9" a="1"/>
  <c r="J47" i="9" s="1"/>
  <c r="I47" i="9" a="1"/>
  <c r="I47" i="9" s="1"/>
  <c r="H47" i="9" a="1"/>
  <c r="H47" i="9" s="1"/>
  <c r="G47" i="9" a="1"/>
  <c r="G47" i="9" s="1"/>
  <c r="F47" i="9" a="1"/>
  <c r="F47" i="9" s="1"/>
  <c r="E47" i="9" a="1"/>
  <c r="E47" i="9" s="1"/>
  <c r="D47" i="9" a="1"/>
  <c r="D47" i="9" s="1"/>
  <c r="C47" i="9" a="1"/>
  <c r="C47" i="9" s="1"/>
  <c r="B47" i="9" a="1"/>
  <c r="B47" i="9" s="1"/>
  <c r="L46" i="9" a="1"/>
  <c r="L46" i="9" s="1"/>
  <c r="K46" i="9" a="1"/>
  <c r="K46" i="9" s="1"/>
  <c r="J46" i="9" a="1"/>
  <c r="J46" i="9" s="1"/>
  <c r="I46" i="9" a="1"/>
  <c r="I46" i="9" s="1"/>
  <c r="H46" i="9" a="1"/>
  <c r="H46" i="9" s="1"/>
  <c r="G46" i="9" a="1"/>
  <c r="G46" i="9" s="1"/>
  <c r="F46" i="9" a="1"/>
  <c r="F46" i="9" s="1"/>
  <c r="E46" i="9" a="1"/>
  <c r="E46" i="9" s="1"/>
  <c r="D46" i="9" a="1"/>
  <c r="D46" i="9" s="1"/>
  <c r="C46" i="9" a="1"/>
  <c r="C46" i="9" s="1"/>
  <c r="B46" i="9" a="1"/>
  <c r="B46" i="9" s="1"/>
  <c r="L45" i="9" a="1"/>
  <c r="L45" i="9" s="1"/>
  <c r="K45" i="9" a="1"/>
  <c r="K45" i="9" s="1"/>
  <c r="J45" i="9" a="1"/>
  <c r="J45" i="9" s="1"/>
  <c r="I45" i="9" a="1"/>
  <c r="I45" i="9" s="1"/>
  <c r="H45" i="9" a="1"/>
  <c r="H45" i="9" s="1"/>
  <c r="G45" i="9" a="1"/>
  <c r="G45" i="9" s="1"/>
  <c r="F45" i="9" a="1"/>
  <c r="F45" i="9" s="1"/>
  <c r="E45" i="9" a="1"/>
  <c r="E45" i="9" s="1"/>
  <c r="D45" i="9" a="1"/>
  <c r="D45" i="9" s="1"/>
  <c r="C45" i="9" a="1"/>
  <c r="C45" i="9" s="1"/>
  <c r="B45" i="9" a="1"/>
  <c r="B45" i="9" s="1"/>
  <c r="L44" i="9" a="1"/>
  <c r="L44" i="9" s="1"/>
  <c r="K44" i="9" a="1"/>
  <c r="K44" i="9" s="1"/>
  <c r="J44" i="9" a="1"/>
  <c r="J44" i="9" s="1"/>
  <c r="I44" i="9" a="1"/>
  <c r="I44" i="9" s="1"/>
  <c r="H44" i="9" a="1"/>
  <c r="H44" i="9" s="1"/>
  <c r="G44" i="9" a="1"/>
  <c r="G44" i="9" s="1"/>
  <c r="F44" i="9" a="1"/>
  <c r="F44" i="9" s="1"/>
  <c r="E44" i="9" a="1"/>
  <c r="E44" i="9" s="1"/>
  <c r="D44" i="9" a="1"/>
  <c r="D44" i="9" s="1"/>
  <c r="C44" i="9" a="1"/>
  <c r="C44" i="9" s="1"/>
  <c r="B44" i="9" a="1"/>
  <c r="B44" i="9" s="1"/>
  <c r="L43" i="9" a="1"/>
  <c r="L43" i="9" s="1"/>
  <c r="K43" i="9" a="1"/>
  <c r="K43" i="9" s="1"/>
  <c r="J43" i="9" a="1"/>
  <c r="J43" i="9" s="1"/>
  <c r="I43" i="9" a="1"/>
  <c r="I43" i="9" s="1"/>
  <c r="H43" i="9" a="1"/>
  <c r="H43" i="9" s="1"/>
  <c r="G43" i="9" a="1"/>
  <c r="G43" i="9" s="1"/>
  <c r="F43" i="9" a="1"/>
  <c r="F43" i="9" s="1"/>
  <c r="E43" i="9" a="1"/>
  <c r="E43" i="9" s="1"/>
  <c r="D43" i="9" a="1"/>
  <c r="D43" i="9" s="1"/>
  <c r="C43" i="9" a="1"/>
  <c r="C43" i="9" s="1"/>
  <c r="B43" i="9" a="1"/>
  <c r="B43" i="9" s="1"/>
  <c r="L42" i="9" a="1"/>
  <c r="L42" i="9" s="1"/>
  <c r="K42" i="9" a="1"/>
  <c r="K42" i="9" s="1"/>
  <c r="J42" i="9" a="1"/>
  <c r="J42" i="9" s="1"/>
  <c r="I42" i="9" a="1"/>
  <c r="I42" i="9" s="1"/>
  <c r="H42" i="9" a="1"/>
  <c r="H42" i="9" s="1"/>
  <c r="G42" i="9" a="1"/>
  <c r="G42" i="9" s="1"/>
  <c r="F42" i="9" a="1"/>
  <c r="F42" i="9" s="1"/>
  <c r="E42" i="9" a="1"/>
  <c r="E42" i="9" s="1"/>
  <c r="D42" i="9" a="1"/>
  <c r="D42" i="9" s="1"/>
  <c r="C42" i="9" a="1"/>
  <c r="C42" i="9" s="1"/>
  <c r="B42" i="9" a="1"/>
  <c r="B42" i="9" s="1"/>
  <c r="L41" i="9" a="1"/>
  <c r="L41" i="9" s="1"/>
  <c r="K41" i="9" a="1"/>
  <c r="K41" i="9" s="1"/>
  <c r="J41" i="9" a="1"/>
  <c r="J41" i="9" s="1"/>
  <c r="I41" i="9" a="1"/>
  <c r="I41" i="9" s="1"/>
  <c r="H41" i="9" a="1"/>
  <c r="H41" i="9" s="1"/>
  <c r="G41" i="9" a="1"/>
  <c r="G41" i="9" s="1"/>
  <c r="F41" i="9" a="1"/>
  <c r="F41" i="9" s="1"/>
  <c r="E41" i="9" a="1"/>
  <c r="E41" i="9" s="1"/>
  <c r="D41" i="9" a="1"/>
  <c r="D41" i="9" s="1"/>
  <c r="C41" i="9" a="1"/>
  <c r="C41" i="9" s="1"/>
  <c r="B41" i="9" a="1"/>
  <c r="B41" i="9" s="1"/>
  <c r="L40" i="9" a="1"/>
  <c r="L40" i="9" s="1"/>
  <c r="K40" i="9" a="1"/>
  <c r="K40" i="9" s="1"/>
  <c r="J40" i="9" a="1"/>
  <c r="J40" i="9" s="1"/>
  <c r="I40" i="9" a="1"/>
  <c r="I40" i="9" s="1"/>
  <c r="H40" i="9" a="1"/>
  <c r="H40" i="9" s="1"/>
  <c r="G40" i="9" a="1"/>
  <c r="G40" i="9" s="1"/>
  <c r="F40" i="9" a="1"/>
  <c r="F40" i="9" s="1"/>
  <c r="E40" i="9" a="1"/>
  <c r="E40" i="9" s="1"/>
  <c r="D40" i="9" a="1"/>
  <c r="D40" i="9" s="1"/>
  <c r="C40" i="9" a="1"/>
  <c r="C40" i="9" s="1"/>
  <c r="B40" i="9" a="1"/>
  <c r="B40" i="9" s="1"/>
  <c r="L39" i="9" a="1"/>
  <c r="L39" i="9" s="1"/>
  <c r="K39" i="9" a="1"/>
  <c r="K39" i="9" s="1"/>
  <c r="J39" i="9" a="1"/>
  <c r="J39" i="9" s="1"/>
  <c r="I39" i="9" a="1"/>
  <c r="I39" i="9" s="1"/>
  <c r="H39" i="9" a="1"/>
  <c r="H39" i="9" s="1"/>
  <c r="G39" i="9" a="1"/>
  <c r="G39" i="9" s="1"/>
  <c r="F39" i="9" a="1"/>
  <c r="F39" i="9" s="1"/>
  <c r="E39" i="9" a="1"/>
  <c r="E39" i="9" s="1"/>
  <c r="D39" i="9" a="1"/>
  <c r="D39" i="9" s="1"/>
  <c r="C39" i="9" a="1"/>
  <c r="C39" i="9" s="1"/>
  <c r="B39" i="9" a="1"/>
  <c r="B39" i="9" s="1"/>
  <c r="L38" i="9" a="1"/>
  <c r="L38" i="9" s="1"/>
  <c r="K38" i="9" a="1"/>
  <c r="K38" i="9" s="1"/>
  <c r="J38" i="9" a="1"/>
  <c r="J38" i="9" s="1"/>
  <c r="I38" i="9" a="1"/>
  <c r="I38" i="9" s="1"/>
  <c r="H38" i="9" a="1"/>
  <c r="H38" i="9" s="1"/>
  <c r="G38" i="9" a="1"/>
  <c r="G38" i="9" s="1"/>
  <c r="F38" i="9" a="1"/>
  <c r="F38" i="9" s="1"/>
  <c r="E38" i="9" a="1"/>
  <c r="E38" i="9" s="1"/>
  <c r="D38" i="9" a="1"/>
  <c r="D38" i="9" s="1"/>
  <c r="C38" i="9" a="1"/>
  <c r="C38" i="9" s="1"/>
  <c r="B38" i="9" a="1"/>
  <c r="B38" i="9" s="1"/>
  <c r="L37" i="9" a="1"/>
  <c r="L37" i="9" s="1"/>
  <c r="K37" i="9" a="1"/>
  <c r="K37" i="9" s="1"/>
  <c r="J37" i="9" a="1"/>
  <c r="J37" i="9" s="1"/>
  <c r="I37" i="9" a="1"/>
  <c r="I37" i="9" s="1"/>
  <c r="H37" i="9" a="1"/>
  <c r="H37" i="9" s="1"/>
  <c r="G37" i="9" a="1"/>
  <c r="G37" i="9" s="1"/>
  <c r="F37" i="9" a="1"/>
  <c r="F37" i="9" s="1"/>
  <c r="E37" i="9" a="1"/>
  <c r="E37" i="9" s="1"/>
  <c r="D37" i="9" a="1"/>
  <c r="D37" i="9" s="1"/>
  <c r="C37" i="9" a="1"/>
  <c r="C37" i="9" s="1"/>
  <c r="B37" i="9" a="1"/>
  <c r="B37" i="9" s="1"/>
  <c r="L36" i="9" a="1"/>
  <c r="L36" i="9" s="1"/>
  <c r="K36" i="9" a="1"/>
  <c r="K36" i="9" s="1"/>
  <c r="J36" i="9" a="1"/>
  <c r="J36" i="9" s="1"/>
  <c r="I36" i="9" a="1"/>
  <c r="I36" i="9" s="1"/>
  <c r="H36" i="9" a="1"/>
  <c r="H36" i="9" s="1"/>
  <c r="G36" i="9" a="1"/>
  <c r="G36" i="9" s="1"/>
  <c r="F36" i="9" a="1"/>
  <c r="F36" i="9" s="1"/>
  <c r="E36" i="9" a="1"/>
  <c r="E36" i="9" s="1"/>
  <c r="D36" i="9" a="1"/>
  <c r="D36" i="9" s="1"/>
  <c r="C36" i="9" a="1"/>
  <c r="C36" i="9" s="1"/>
  <c r="B36" i="9" a="1"/>
  <c r="B36" i="9" s="1"/>
  <c r="L35" i="9" a="1"/>
  <c r="L35" i="9" s="1"/>
  <c r="K35" i="9" a="1"/>
  <c r="K35" i="9" s="1"/>
  <c r="J35" i="9" a="1"/>
  <c r="J35" i="9" s="1"/>
  <c r="I35" i="9" a="1"/>
  <c r="I35" i="9" s="1"/>
  <c r="H35" i="9" a="1"/>
  <c r="H35" i="9" s="1"/>
  <c r="G35" i="9" a="1"/>
  <c r="G35" i="9" s="1"/>
  <c r="F35" i="9" a="1"/>
  <c r="F35" i="9" s="1"/>
  <c r="E35" i="9" a="1"/>
  <c r="E35" i="9" s="1"/>
  <c r="D35" i="9" a="1"/>
  <c r="D35" i="9" s="1"/>
  <c r="C35" i="9" a="1"/>
  <c r="C35" i="9" s="1"/>
  <c r="B35" i="9" a="1"/>
  <c r="B35" i="9" s="1"/>
  <c r="L34" i="9" a="1"/>
  <c r="L34" i="9" s="1"/>
  <c r="K34" i="9" a="1"/>
  <c r="K34" i="9" s="1"/>
  <c r="J34" i="9" a="1"/>
  <c r="J34" i="9" s="1"/>
  <c r="I34" i="9" a="1"/>
  <c r="I34" i="9" s="1"/>
  <c r="H34" i="9" a="1"/>
  <c r="H34" i="9" s="1"/>
  <c r="G34" i="9" a="1"/>
  <c r="G34" i="9" s="1"/>
  <c r="F34" i="9" a="1"/>
  <c r="F34" i="9" s="1"/>
  <c r="E34" i="9" a="1"/>
  <c r="E34" i="9" s="1"/>
  <c r="D34" i="9" a="1"/>
  <c r="D34" i="9" s="1"/>
  <c r="C34" i="9" a="1"/>
  <c r="C34" i="9" s="1"/>
  <c r="B34" i="9" a="1"/>
  <c r="B34" i="9" s="1"/>
  <c r="L33" i="9" a="1"/>
  <c r="L33" i="9" s="1"/>
  <c r="K33" i="9" a="1"/>
  <c r="K33" i="9" s="1"/>
  <c r="J33" i="9" a="1"/>
  <c r="J33" i="9" s="1"/>
  <c r="I33" i="9" a="1"/>
  <c r="I33" i="9" s="1"/>
  <c r="H33" i="9" a="1"/>
  <c r="H33" i="9" s="1"/>
  <c r="G33" i="9" a="1"/>
  <c r="G33" i="9" s="1"/>
  <c r="F33" i="9" a="1"/>
  <c r="F33" i="9" s="1"/>
  <c r="E33" i="9" a="1"/>
  <c r="E33" i="9" s="1"/>
  <c r="D33" i="9" a="1"/>
  <c r="D33" i="9" s="1"/>
  <c r="C33" i="9" a="1"/>
  <c r="C33" i="9" s="1"/>
  <c r="B33" i="9" a="1"/>
  <c r="B33" i="9" s="1"/>
  <c r="L32" i="9" a="1"/>
  <c r="L32" i="9" s="1"/>
  <c r="K32" i="9" a="1"/>
  <c r="K32" i="9" s="1"/>
  <c r="J32" i="9" a="1"/>
  <c r="J32" i="9" s="1"/>
  <c r="I32" i="9" a="1"/>
  <c r="I32" i="9" s="1"/>
  <c r="H32" i="9" a="1"/>
  <c r="H32" i="9" s="1"/>
  <c r="G32" i="9" a="1"/>
  <c r="G32" i="9" s="1"/>
  <c r="F32" i="9" a="1"/>
  <c r="F32" i="9" s="1"/>
  <c r="E32" i="9" a="1"/>
  <c r="E32" i="9" s="1"/>
  <c r="D32" i="9" a="1"/>
  <c r="D32" i="9" s="1"/>
  <c r="C32" i="9" a="1"/>
  <c r="C32" i="9" s="1"/>
  <c r="B32" i="9" a="1"/>
  <c r="B32" i="9" s="1"/>
  <c r="L31" i="9" a="1"/>
  <c r="L31" i="9" s="1"/>
  <c r="K31" i="9" a="1"/>
  <c r="K31" i="9" s="1"/>
  <c r="J31" i="9" a="1"/>
  <c r="J31" i="9" s="1"/>
  <c r="I31" i="9" a="1"/>
  <c r="I31" i="9" s="1"/>
  <c r="H31" i="9" a="1"/>
  <c r="H31" i="9" s="1"/>
  <c r="G31" i="9" a="1"/>
  <c r="G31" i="9" s="1"/>
  <c r="F31" i="9" a="1"/>
  <c r="F31" i="9" s="1"/>
  <c r="E31" i="9" a="1"/>
  <c r="E31" i="9" s="1"/>
  <c r="D31" i="9" a="1"/>
  <c r="D31" i="9" s="1"/>
  <c r="C31" i="9" a="1"/>
  <c r="C31" i="9" s="1"/>
  <c r="B31" i="9" a="1"/>
  <c r="B31" i="9" s="1"/>
  <c r="L30" i="9" a="1"/>
  <c r="L30" i="9" s="1"/>
  <c r="K30" i="9" a="1"/>
  <c r="K30" i="9" s="1"/>
  <c r="J30" i="9" a="1"/>
  <c r="J30" i="9" s="1"/>
  <c r="I30" i="9" a="1"/>
  <c r="I30" i="9" s="1"/>
  <c r="H30" i="9" a="1"/>
  <c r="H30" i="9" s="1"/>
  <c r="G30" i="9" a="1"/>
  <c r="G30" i="9" s="1"/>
  <c r="F30" i="9" a="1"/>
  <c r="F30" i="9" s="1"/>
  <c r="E30" i="9" a="1"/>
  <c r="E30" i="9" s="1"/>
  <c r="D30" i="9" a="1"/>
  <c r="D30" i="9" s="1"/>
  <c r="C30" i="9" a="1"/>
  <c r="C30" i="9" s="1"/>
  <c r="B30" i="9" a="1"/>
  <c r="B30" i="9" s="1"/>
  <c r="I78" i="8" a="1"/>
  <c r="I78" i="8" s="1"/>
  <c r="C77" i="8" a="1"/>
  <c r="C77" i="8" s="1"/>
  <c r="C78" i="8" a="1"/>
  <c r="C78" i="8" s="1"/>
  <c r="M72" i="8" a="1"/>
  <c r="M72" i="8" s="1"/>
  <c r="I86" i="8" a="1"/>
  <c r="I86" i="8" s="1"/>
  <c r="M86" i="8"/>
  <c r="M86" i="8" a="1"/>
  <c r="J77" i="8" a="1"/>
  <c r="J77" i="8" s="1"/>
  <c r="J85" i="8" a="1"/>
  <c r="J85" i="8" s="1"/>
  <c r="G74" i="8" a="1"/>
  <c r="G74" i="8" s="1"/>
  <c r="G82" i="8" a="1"/>
  <c r="G82" i="8" s="1"/>
  <c r="B80" i="8" a="1"/>
  <c r="B80" i="8" s="1"/>
  <c r="B73" i="8" a="1"/>
  <c r="B73" i="8" s="1"/>
  <c r="J76" i="8" a="1"/>
  <c r="J76" i="8" s="1"/>
  <c r="L76" i="8" a="1"/>
  <c r="L76" i="8" s="1"/>
  <c r="L71" i="8" a="1"/>
  <c r="L71" i="8" s="1"/>
  <c r="B91" i="8"/>
  <c r="D69" i="8" a="1"/>
  <c r="D69" i="8" s="1"/>
  <c r="K82" i="8" a="1"/>
  <c r="K82" i="8" s="1"/>
  <c r="M61" i="8" a="1"/>
  <c r="M61" i="8" s="1"/>
  <c r="B84" i="8" a="1"/>
  <c r="B84" i="8" s="1"/>
  <c r="J71" i="8" a="1"/>
  <c r="J71" i="8" s="1"/>
  <c r="G68" i="8" a="1"/>
  <c r="G68" i="8" s="1"/>
  <c r="F64" i="8" a="1"/>
  <c r="F64" i="8" s="1"/>
  <c r="M63" i="8" a="1"/>
  <c r="M63" i="8" s="1"/>
  <c r="B75" i="8" a="1"/>
  <c r="B75" i="8" s="1"/>
  <c r="J83" i="8" a="1"/>
  <c r="J83" i="8" s="1"/>
  <c r="K78" i="8" a="1"/>
  <c r="K78" i="8" s="1"/>
  <c r="F72" i="8" a="1"/>
  <c r="F72" i="8" s="1"/>
  <c r="M79" i="8" a="1"/>
  <c r="M79" i="8" s="1"/>
  <c r="B77" i="8" a="1"/>
  <c r="B77" i="8" s="1"/>
  <c r="J73" i="8" a="1"/>
  <c r="J73" i="8" s="1"/>
  <c r="M67" i="8" a="1"/>
  <c r="M67" i="8" s="1"/>
  <c r="E81" i="8" a="1"/>
  <c r="E81" i="8" s="1"/>
  <c r="M66" i="8" a="1"/>
  <c r="M66" i="8" s="1"/>
  <c r="H62" i="8" a="1"/>
  <c r="H62" i="8" s="1"/>
  <c r="M85" i="8" a="1"/>
  <c r="M85" i="8" s="1"/>
  <c r="D65" i="8" a="1"/>
  <c r="D65" i="8" s="1"/>
  <c r="K74" i="8" a="1"/>
  <c r="K74" i="8" s="1"/>
  <c r="H70" i="8" a="1"/>
  <c r="H70" i="8" s="1"/>
  <c r="L86" i="8" a="1"/>
  <c r="L86" i="8" s="1"/>
  <c r="J70" i="8" a="1"/>
  <c r="J70" i="8" s="1"/>
  <c r="F70" i="8" a="1"/>
  <c r="F70" i="8" s="1"/>
  <c r="L85" i="8" a="1"/>
  <c r="L85" i="8" s="1"/>
  <c r="B85" i="8" a="1"/>
  <c r="B85" i="8" s="1"/>
  <c r="B67" i="8" a="1"/>
  <c r="B67" i="8" s="1"/>
  <c r="E84" i="8" a="1"/>
  <c r="E84" i="8" s="1"/>
  <c r="C84" i="8" a="1"/>
  <c r="C84" i="8" s="1"/>
  <c r="J61" i="8" a="1"/>
  <c r="J61" i="8" s="1"/>
  <c r="G69" i="8" a="1"/>
  <c r="G69" i="8" s="1"/>
  <c r="B32" i="8" a="1"/>
  <c r="B32" i="8" s="1"/>
  <c r="C32" i="8" a="1"/>
  <c r="C32" i="8" s="1"/>
  <c r="D32" i="8" a="1"/>
  <c r="D32" i="8"/>
  <c r="E32" i="8" a="1"/>
  <c r="E32" i="8" s="1"/>
  <c r="F32" i="8" a="1"/>
  <c r="F32" i="8" s="1"/>
  <c r="G32" i="8" a="1"/>
  <c r="G32" i="8"/>
  <c r="H32" i="8" a="1"/>
  <c r="H32" i="8" s="1"/>
  <c r="I32" i="8" a="1"/>
  <c r="I32" i="8" s="1"/>
  <c r="J32" i="8" a="1"/>
  <c r="J32" i="8" s="1"/>
  <c r="K32" i="8" a="1"/>
  <c r="K32" i="8" s="1"/>
  <c r="L32" i="8" a="1"/>
  <c r="L32" i="8" s="1"/>
  <c r="M32" i="8" a="1"/>
  <c r="M32" i="8" s="1"/>
  <c r="B33" i="8" a="1"/>
  <c r="B33" i="8" s="1"/>
  <c r="C33" i="8" a="1"/>
  <c r="C33" i="8" s="1"/>
  <c r="D33" i="8" a="1"/>
  <c r="D33" i="8" s="1"/>
  <c r="E33" i="8" a="1"/>
  <c r="E33" i="8"/>
  <c r="F33" i="8" a="1"/>
  <c r="F33" i="8" s="1"/>
  <c r="G33" i="8" a="1"/>
  <c r="G33" i="8" s="1"/>
  <c r="H33" i="8" a="1"/>
  <c r="H33" i="8" s="1"/>
  <c r="I33" i="8" a="1"/>
  <c r="I33" i="8" s="1"/>
  <c r="J33" i="8" a="1"/>
  <c r="J33" i="8" s="1"/>
  <c r="K33" i="8" a="1"/>
  <c r="K33" i="8" s="1"/>
  <c r="L33" i="8" a="1"/>
  <c r="L33" i="8" s="1"/>
  <c r="M33" i="8" a="1"/>
  <c r="M33" i="8" s="1"/>
  <c r="B34" i="8" a="1"/>
  <c r="B34" i="8" s="1"/>
  <c r="C34" i="8" a="1"/>
  <c r="C34" i="8"/>
  <c r="D34" i="8" a="1"/>
  <c r="D34" i="8" s="1"/>
  <c r="E34" i="8" a="1"/>
  <c r="E34" i="8" s="1"/>
  <c r="F34" i="8" a="1"/>
  <c r="F34" i="8" s="1"/>
  <c r="G34" i="8" a="1"/>
  <c r="G34" i="8" s="1"/>
  <c r="H34" i="8" a="1"/>
  <c r="H34" i="8" s="1"/>
  <c r="I34" i="8" a="1"/>
  <c r="I34" i="8" s="1"/>
  <c r="J34" i="8" a="1"/>
  <c r="J34" i="8" s="1"/>
  <c r="K34" i="8" a="1"/>
  <c r="K34" i="8" s="1"/>
  <c r="L34" i="8" a="1"/>
  <c r="L34" i="8" s="1"/>
  <c r="M34" i="8" a="1"/>
  <c r="M34" i="8" s="1"/>
  <c r="B35" i="8" a="1"/>
  <c r="B35" i="8" s="1"/>
  <c r="C35" i="8" a="1"/>
  <c r="C35" i="8" s="1"/>
  <c r="D35" i="8" a="1"/>
  <c r="D35" i="8" s="1"/>
  <c r="E35" i="8" a="1"/>
  <c r="E35" i="8" s="1"/>
  <c r="F35" i="8" a="1"/>
  <c r="F35" i="8" s="1"/>
  <c r="G35" i="8" a="1"/>
  <c r="G35" i="8" s="1"/>
  <c r="H35" i="8" a="1"/>
  <c r="H35" i="8" s="1"/>
  <c r="I35" i="8" a="1"/>
  <c r="I35" i="8" s="1"/>
  <c r="J35" i="8" a="1"/>
  <c r="J35" i="8" s="1"/>
  <c r="K35" i="8" a="1"/>
  <c r="K35" i="8" s="1"/>
  <c r="L35" i="8" a="1"/>
  <c r="L35" i="8" s="1"/>
  <c r="M35" i="8" a="1"/>
  <c r="M35" i="8" s="1"/>
  <c r="B36" i="8" a="1"/>
  <c r="B36" i="8" s="1"/>
  <c r="C36" i="8" a="1"/>
  <c r="C36" i="8" s="1"/>
  <c r="D36" i="8" a="1"/>
  <c r="D36" i="8" s="1"/>
  <c r="E36" i="8" a="1"/>
  <c r="E36" i="8" s="1"/>
  <c r="F36" i="8" a="1"/>
  <c r="F36" i="8" s="1"/>
  <c r="G36" i="8" a="1"/>
  <c r="G36" i="8" s="1"/>
  <c r="H36" i="8" a="1"/>
  <c r="H36" i="8" s="1"/>
  <c r="I36" i="8" a="1"/>
  <c r="I36" i="8" s="1"/>
  <c r="J36" i="8" a="1"/>
  <c r="J36" i="8" s="1"/>
  <c r="K36" i="8" a="1"/>
  <c r="K36" i="8" s="1"/>
  <c r="L36" i="8" a="1"/>
  <c r="L36" i="8" s="1"/>
  <c r="M36" i="8" a="1"/>
  <c r="M36" i="8" s="1"/>
  <c r="B37" i="8" a="1"/>
  <c r="B37" i="8" s="1"/>
  <c r="C37" i="8" a="1"/>
  <c r="C37" i="8" s="1"/>
  <c r="D37" i="8" a="1"/>
  <c r="D37" i="8" s="1"/>
  <c r="E37" i="8" a="1"/>
  <c r="E37" i="8" s="1"/>
  <c r="F37" i="8" a="1"/>
  <c r="F37" i="8" s="1"/>
  <c r="G37" i="8" a="1"/>
  <c r="G37" i="8"/>
  <c r="H37" i="8" a="1"/>
  <c r="H37" i="8" s="1"/>
  <c r="I37" i="8" a="1"/>
  <c r="I37" i="8" s="1"/>
  <c r="J37" i="8" a="1"/>
  <c r="J37" i="8" s="1"/>
  <c r="K37" i="8" a="1"/>
  <c r="K37" i="8" s="1"/>
  <c r="L37" i="8" a="1"/>
  <c r="L37" i="8" s="1"/>
  <c r="M37" i="8" a="1"/>
  <c r="M37" i="8" s="1"/>
  <c r="B38" i="8" a="1"/>
  <c r="B38" i="8" s="1"/>
  <c r="C38" i="8" a="1"/>
  <c r="C38" i="8" s="1"/>
  <c r="D38" i="8" a="1"/>
  <c r="D38" i="8" s="1"/>
  <c r="E38" i="8" a="1"/>
  <c r="E38" i="8" s="1"/>
  <c r="F38" i="8" a="1"/>
  <c r="F38" i="8" s="1"/>
  <c r="G38" i="8" a="1"/>
  <c r="G38" i="8" s="1"/>
  <c r="H38" i="8" a="1"/>
  <c r="H38" i="8" s="1"/>
  <c r="I38" i="8" a="1"/>
  <c r="I38" i="8" s="1"/>
  <c r="J38" i="8" a="1"/>
  <c r="J38" i="8" s="1"/>
  <c r="K38" i="8" a="1"/>
  <c r="K38" i="8" s="1"/>
  <c r="L38" i="8" a="1"/>
  <c r="L38" i="8" s="1"/>
  <c r="M38" i="8" a="1"/>
  <c r="M38" i="8" s="1"/>
  <c r="B39" i="8" a="1"/>
  <c r="B39" i="8" s="1"/>
  <c r="C39" i="8" a="1"/>
  <c r="C39" i="8" s="1"/>
  <c r="D39" i="8" a="1"/>
  <c r="D39" i="8" s="1"/>
  <c r="E39" i="8" a="1"/>
  <c r="E39" i="8" s="1"/>
  <c r="F39" i="8" a="1"/>
  <c r="F39" i="8" s="1"/>
  <c r="G39" i="8" a="1"/>
  <c r="G39" i="8" s="1"/>
  <c r="H39" i="8" a="1"/>
  <c r="H39" i="8" s="1"/>
  <c r="I39" i="8" a="1"/>
  <c r="I39" i="8" s="1"/>
  <c r="J39" i="8" a="1"/>
  <c r="J39" i="8" s="1"/>
  <c r="K39" i="8" a="1"/>
  <c r="K39" i="8" s="1"/>
  <c r="L39" i="8" a="1"/>
  <c r="L39" i="8" s="1"/>
  <c r="M39" i="8" a="1"/>
  <c r="M39" i="8" s="1"/>
  <c r="B40" i="8" a="1"/>
  <c r="B40" i="8" s="1"/>
  <c r="C40" i="8" a="1"/>
  <c r="C40" i="8" s="1"/>
  <c r="D40" i="8" a="1"/>
  <c r="D40" i="8" s="1"/>
  <c r="E40" i="8" a="1"/>
  <c r="E40" i="8" s="1"/>
  <c r="F40" i="8" a="1"/>
  <c r="F40" i="8" s="1"/>
  <c r="G40" i="8" a="1"/>
  <c r="G40" i="8" s="1"/>
  <c r="H40" i="8" a="1"/>
  <c r="H40" i="8" s="1"/>
  <c r="I40" i="8" a="1"/>
  <c r="I40" i="8" s="1"/>
  <c r="J40" i="8" a="1"/>
  <c r="J40" i="8" s="1"/>
  <c r="K40" i="8" a="1"/>
  <c r="K40" i="8" s="1"/>
  <c r="L40" i="8" a="1"/>
  <c r="L40" i="8" s="1"/>
  <c r="M40" i="8" a="1"/>
  <c r="M40" i="8" s="1"/>
  <c r="B41" i="8" a="1"/>
  <c r="B41" i="8" s="1"/>
  <c r="C41" i="8" a="1"/>
  <c r="C41" i="8" s="1"/>
  <c r="D41" i="8" a="1"/>
  <c r="D41" i="8" s="1"/>
  <c r="E41" i="8" a="1"/>
  <c r="E41" i="8" s="1"/>
  <c r="F41" i="8" a="1"/>
  <c r="F41" i="8" s="1"/>
  <c r="G41" i="8" a="1"/>
  <c r="G41" i="8" s="1"/>
  <c r="H41" i="8" a="1"/>
  <c r="H41" i="8" s="1"/>
  <c r="I41" i="8" a="1"/>
  <c r="I41" i="8" s="1"/>
  <c r="J41" i="8" a="1"/>
  <c r="J41" i="8" s="1"/>
  <c r="K41" i="8" a="1"/>
  <c r="K41" i="8" s="1"/>
  <c r="L41" i="8" a="1"/>
  <c r="L41" i="8" s="1"/>
  <c r="M41" i="8" a="1"/>
  <c r="M41" i="8" s="1"/>
  <c r="B42" i="8" a="1"/>
  <c r="B42" i="8" s="1"/>
  <c r="C42" i="8" a="1"/>
  <c r="C42" i="8" s="1"/>
  <c r="D42" i="8" a="1"/>
  <c r="D42" i="8" s="1"/>
  <c r="E42" i="8" a="1"/>
  <c r="E42" i="8" s="1"/>
  <c r="F42" i="8" a="1"/>
  <c r="F42" i="8" s="1"/>
  <c r="G42" i="8" a="1"/>
  <c r="G42" i="8" s="1"/>
  <c r="H42" i="8" a="1"/>
  <c r="H42" i="8" s="1"/>
  <c r="I42" i="8" a="1"/>
  <c r="I42" i="8" s="1"/>
  <c r="J42" i="8" a="1"/>
  <c r="J42" i="8" s="1"/>
  <c r="K42" i="8" a="1"/>
  <c r="K42" i="8" s="1"/>
  <c r="L42" i="8" a="1"/>
  <c r="L42" i="8" s="1"/>
  <c r="M42" i="8" a="1"/>
  <c r="M42" i="8" s="1"/>
  <c r="B43" i="8" a="1"/>
  <c r="B43" i="8" s="1"/>
  <c r="C43" i="8" a="1"/>
  <c r="C43" i="8" s="1"/>
  <c r="D43" i="8" a="1"/>
  <c r="D43" i="8" s="1"/>
  <c r="E43" i="8" a="1"/>
  <c r="E43" i="8" s="1"/>
  <c r="F43" i="8" a="1"/>
  <c r="F43" i="8" s="1"/>
  <c r="G43" i="8" a="1"/>
  <c r="G43" i="8" s="1"/>
  <c r="H43" i="8" a="1"/>
  <c r="H43" i="8" s="1"/>
  <c r="I43" i="8" a="1"/>
  <c r="I43" i="8" s="1"/>
  <c r="J43" i="8" a="1"/>
  <c r="J43" i="8" s="1"/>
  <c r="K43" i="8" a="1"/>
  <c r="K43" i="8" s="1"/>
  <c r="L43" i="8" a="1"/>
  <c r="L43" i="8" s="1"/>
  <c r="M43" i="8" a="1"/>
  <c r="M43" i="8" s="1"/>
  <c r="B44" i="8" a="1"/>
  <c r="B44" i="8" s="1"/>
  <c r="C44" i="8" a="1"/>
  <c r="C44" i="8" s="1"/>
  <c r="D44" i="8" a="1"/>
  <c r="D44" i="8" s="1"/>
  <c r="E44" i="8" a="1"/>
  <c r="E44" i="8" s="1"/>
  <c r="F44" i="8" a="1"/>
  <c r="F44" i="8" s="1"/>
  <c r="G44" i="8" a="1"/>
  <c r="G44" i="8" s="1"/>
  <c r="H44" i="8" a="1"/>
  <c r="H44" i="8" s="1"/>
  <c r="I44" i="8" a="1"/>
  <c r="I44" i="8" s="1"/>
  <c r="J44" i="8" a="1"/>
  <c r="J44" i="8" s="1"/>
  <c r="K44" i="8" a="1"/>
  <c r="K44" i="8" s="1"/>
  <c r="L44" i="8" a="1"/>
  <c r="L44" i="8" s="1"/>
  <c r="M44" i="8" a="1"/>
  <c r="M44" i="8" s="1"/>
  <c r="B45" i="8" a="1"/>
  <c r="B45" i="8" s="1"/>
  <c r="C45" i="8" a="1"/>
  <c r="C45" i="8" s="1"/>
  <c r="D45" i="8" a="1"/>
  <c r="D45" i="8" s="1"/>
  <c r="E45" i="8" a="1"/>
  <c r="E45" i="8" s="1"/>
  <c r="F45" i="8" a="1"/>
  <c r="F45" i="8" s="1"/>
  <c r="G45" i="8" a="1"/>
  <c r="G45" i="8" s="1"/>
  <c r="H45" i="8" a="1"/>
  <c r="H45" i="8" s="1"/>
  <c r="I45" i="8" a="1"/>
  <c r="I45" i="8" s="1"/>
  <c r="J45" i="8" a="1"/>
  <c r="J45" i="8" s="1"/>
  <c r="K45" i="8" a="1"/>
  <c r="K45" i="8" s="1"/>
  <c r="L45" i="8" a="1"/>
  <c r="L45" i="8" s="1"/>
  <c r="M45" i="8" a="1"/>
  <c r="M45" i="8" s="1"/>
  <c r="B46" i="8" a="1"/>
  <c r="B46" i="8" s="1"/>
  <c r="C46" i="8" a="1"/>
  <c r="C46" i="8" s="1"/>
  <c r="D46" i="8" a="1"/>
  <c r="D46" i="8" s="1"/>
  <c r="E46" i="8" a="1"/>
  <c r="E46" i="8" s="1"/>
  <c r="F46" i="8" a="1"/>
  <c r="F46" i="8" s="1"/>
  <c r="G46" i="8" a="1"/>
  <c r="G46" i="8" s="1"/>
  <c r="H46" i="8" a="1"/>
  <c r="H46" i="8" s="1"/>
  <c r="I46" i="8" a="1"/>
  <c r="I46" i="8"/>
  <c r="J46" i="8" a="1"/>
  <c r="J46" i="8" s="1"/>
  <c r="K46" i="8" a="1"/>
  <c r="K46" i="8" s="1"/>
  <c r="L46" i="8" a="1"/>
  <c r="L46" i="8" s="1"/>
  <c r="M46" i="8" a="1"/>
  <c r="M46" i="8" s="1"/>
  <c r="B47" i="8" a="1"/>
  <c r="B47" i="8" s="1"/>
  <c r="C47" i="8" a="1"/>
  <c r="C47" i="8" s="1"/>
  <c r="D47" i="8" a="1"/>
  <c r="D47" i="8" s="1"/>
  <c r="E47" i="8" a="1"/>
  <c r="E47" i="8" s="1"/>
  <c r="F47" i="8" a="1"/>
  <c r="F47" i="8" s="1"/>
  <c r="G47" i="8" a="1"/>
  <c r="G47" i="8"/>
  <c r="H47" i="8" a="1"/>
  <c r="H47" i="8" s="1"/>
  <c r="I47" i="8" a="1"/>
  <c r="I47" i="8" s="1"/>
  <c r="J47" i="8" a="1"/>
  <c r="J47" i="8" s="1"/>
  <c r="K47" i="8" a="1"/>
  <c r="K47" i="8" s="1"/>
  <c r="L47" i="8" a="1"/>
  <c r="L47" i="8" s="1"/>
  <c r="M47" i="8" a="1"/>
  <c r="M47" i="8" s="1"/>
  <c r="B48" i="8" a="1"/>
  <c r="B48" i="8" s="1"/>
  <c r="C48" i="8" a="1"/>
  <c r="C48" i="8" s="1"/>
  <c r="D48" i="8" a="1"/>
  <c r="D48" i="8" s="1"/>
  <c r="E48" i="8" a="1"/>
  <c r="E48" i="8"/>
  <c r="F48" i="8" a="1"/>
  <c r="F48" i="8" s="1"/>
  <c r="G48" i="8" a="1"/>
  <c r="G48" i="8" s="1"/>
  <c r="H48" i="8" a="1"/>
  <c r="H48" i="8" s="1"/>
  <c r="I48" i="8" a="1"/>
  <c r="I48" i="8" s="1"/>
  <c r="J48" i="8" a="1"/>
  <c r="J48" i="8" s="1"/>
  <c r="K48" i="8" a="1"/>
  <c r="K48" i="8" s="1"/>
  <c r="L48" i="8" a="1"/>
  <c r="L48" i="8" s="1"/>
  <c r="M48" i="8" a="1"/>
  <c r="M48" i="8" s="1"/>
  <c r="B49" i="8" a="1"/>
  <c r="B49" i="8" s="1"/>
  <c r="C49" i="8" a="1"/>
  <c r="C49" i="8" s="1"/>
  <c r="D49" i="8" a="1"/>
  <c r="D49" i="8" s="1"/>
  <c r="E49" i="8" a="1"/>
  <c r="E49" i="8" s="1"/>
  <c r="F49" i="8" a="1"/>
  <c r="F49" i="8" s="1"/>
  <c r="G49" i="8" a="1"/>
  <c r="G49" i="8" s="1"/>
  <c r="H49" i="8" a="1"/>
  <c r="H49" i="8" s="1"/>
  <c r="I49" i="8" a="1"/>
  <c r="I49" i="8" s="1"/>
  <c r="J49" i="8" a="1"/>
  <c r="J49" i="8" s="1"/>
  <c r="K49" i="8" a="1"/>
  <c r="K49" i="8" s="1"/>
  <c r="L49" i="8" a="1"/>
  <c r="L49" i="8" s="1"/>
  <c r="M49" i="8" a="1"/>
  <c r="M49" i="8" s="1"/>
  <c r="B50" i="8" a="1"/>
  <c r="B50" i="8" s="1"/>
  <c r="C50" i="8" a="1"/>
  <c r="C50" i="8" s="1"/>
  <c r="D50" i="8" a="1"/>
  <c r="D50" i="8" s="1"/>
  <c r="E50" i="8" a="1"/>
  <c r="E50" i="8" s="1"/>
  <c r="F50" i="8" a="1"/>
  <c r="F50" i="8" s="1"/>
  <c r="G50" i="8" a="1"/>
  <c r="G50" i="8" s="1"/>
  <c r="H50" i="8" a="1"/>
  <c r="H50" i="8" s="1"/>
  <c r="I50" i="8" a="1"/>
  <c r="I50" i="8" s="1"/>
  <c r="J50" i="8" a="1"/>
  <c r="J50" i="8" s="1"/>
  <c r="K50" i="8" a="1"/>
  <c r="K50" i="8"/>
  <c r="L50" i="8" a="1"/>
  <c r="L50" i="8" s="1"/>
  <c r="M50" i="8" a="1"/>
  <c r="M50" i="8" s="1"/>
  <c r="B51" i="8" a="1"/>
  <c r="B51" i="8" s="1"/>
  <c r="C51" i="8" a="1"/>
  <c r="C51" i="8" s="1"/>
  <c r="D51" i="8" a="1"/>
  <c r="D51" i="8" s="1"/>
  <c r="E51" i="8" a="1"/>
  <c r="E51" i="8" s="1"/>
  <c r="F51" i="8" a="1"/>
  <c r="F51" i="8" s="1"/>
  <c r="G51" i="8" a="1"/>
  <c r="G51" i="8" s="1"/>
  <c r="H51" i="8" a="1"/>
  <c r="H51" i="8" s="1"/>
  <c r="I51" i="8" a="1"/>
  <c r="I51" i="8"/>
  <c r="J51" i="8" a="1"/>
  <c r="J51" i="8" s="1"/>
  <c r="K51" i="8" a="1"/>
  <c r="K51" i="8" s="1"/>
  <c r="L51" i="8" a="1"/>
  <c r="L51" i="8" s="1"/>
  <c r="M51" i="8" a="1"/>
  <c r="M51" i="8" s="1"/>
  <c r="B52" i="8" a="1"/>
  <c r="B52" i="8" s="1"/>
  <c r="C52" i="8" a="1"/>
  <c r="C52" i="8" s="1"/>
  <c r="D52" i="8" a="1"/>
  <c r="D52" i="8" s="1"/>
  <c r="E52" i="8" a="1"/>
  <c r="E52" i="8" s="1"/>
  <c r="F52" i="8" a="1"/>
  <c r="F52" i="8" s="1"/>
  <c r="G52" i="8" a="1"/>
  <c r="G52" i="8" s="1"/>
  <c r="H52" i="8" a="1"/>
  <c r="H52" i="8" s="1"/>
  <c r="I52" i="8" a="1"/>
  <c r="I52" i="8" s="1"/>
  <c r="J52" i="8" a="1"/>
  <c r="J52" i="8" s="1"/>
  <c r="K52" i="8" a="1"/>
  <c r="K52" i="8" s="1"/>
  <c r="L52" i="8" a="1"/>
  <c r="L52" i="8" s="1"/>
  <c r="M52" i="8" a="1"/>
  <c r="M52" i="8" s="1"/>
  <c r="B53" i="8" a="1"/>
  <c r="B53" i="8" s="1"/>
  <c r="C53" i="8" a="1"/>
  <c r="C53" i="8" s="1"/>
  <c r="D53" i="8" a="1"/>
  <c r="D53" i="8" s="1"/>
  <c r="E53" i="8" a="1"/>
  <c r="E53" i="8"/>
  <c r="F53" i="8" a="1"/>
  <c r="F53" i="8" s="1"/>
  <c r="G53" i="8" a="1"/>
  <c r="G53" i="8" s="1"/>
  <c r="H53" i="8" a="1"/>
  <c r="H53" i="8" s="1"/>
  <c r="I53" i="8" a="1"/>
  <c r="I53" i="8" s="1"/>
  <c r="J53" i="8" a="1"/>
  <c r="J53" i="8" s="1"/>
  <c r="K53" i="8" a="1"/>
  <c r="K53" i="8" s="1"/>
  <c r="L53" i="8" a="1"/>
  <c r="L53" i="8" s="1"/>
  <c r="M53" i="8" a="1"/>
  <c r="M53" i="8" s="1"/>
  <c r="B54" i="8" a="1"/>
  <c r="B54" i="8" s="1"/>
  <c r="C54" i="8" a="1"/>
  <c r="C54" i="8"/>
  <c r="D54" i="8" a="1"/>
  <c r="D54" i="8" s="1"/>
  <c r="E54" i="8" a="1"/>
  <c r="E54" i="8" s="1"/>
  <c r="F54" i="8" a="1"/>
  <c r="F54" i="8" s="1"/>
  <c r="G54" i="8" a="1"/>
  <c r="G54" i="8" s="1"/>
  <c r="H54" i="8" a="1"/>
  <c r="H54" i="8" s="1"/>
  <c r="I54" i="8" a="1"/>
  <c r="I54" i="8" s="1"/>
  <c r="J54" i="8" a="1"/>
  <c r="J54" i="8" s="1"/>
  <c r="K54" i="8" a="1"/>
  <c r="K54" i="8" s="1"/>
  <c r="L54" i="8" a="1"/>
  <c r="L54" i="8" s="1"/>
  <c r="M54" i="8" a="1"/>
  <c r="M54" i="8"/>
  <c r="B55" i="8" a="1"/>
  <c r="B55" i="8" s="1"/>
  <c r="C55" i="8" a="1"/>
  <c r="C55" i="8" s="1"/>
  <c r="D55" i="8" a="1"/>
  <c r="D55" i="8" s="1"/>
  <c r="E55" i="8" a="1"/>
  <c r="E55" i="8" s="1"/>
  <c r="F55" i="8" a="1"/>
  <c r="F55" i="8" s="1"/>
  <c r="G55" i="8" a="1"/>
  <c r="G55" i="8" s="1"/>
  <c r="H55" i="8" a="1"/>
  <c r="H55" i="8" s="1"/>
  <c r="I55" i="8" a="1"/>
  <c r="I55" i="8" s="1"/>
  <c r="J55" i="8" a="1"/>
  <c r="J55" i="8" s="1"/>
  <c r="K55" i="8" a="1"/>
  <c r="K55" i="8" s="1"/>
  <c r="L55" i="8" a="1"/>
  <c r="L55" i="8" s="1"/>
  <c r="M55" i="8" a="1"/>
  <c r="M55" i="8" s="1"/>
  <c r="B56" i="8" a="1"/>
  <c r="B56" i="8" s="1"/>
  <c r="C56" i="8" a="1"/>
  <c r="C56" i="8" s="1"/>
  <c r="D56" i="8" a="1"/>
  <c r="D56" i="8" s="1"/>
  <c r="E56" i="8" a="1"/>
  <c r="E56" i="8" s="1"/>
  <c r="F56" i="8" a="1"/>
  <c r="F56" i="8" s="1"/>
  <c r="G56" i="8" a="1"/>
  <c r="G56" i="8" s="1"/>
  <c r="H56" i="8" a="1"/>
  <c r="H56" i="8" s="1"/>
  <c r="I56" i="8" a="1"/>
  <c r="I56" i="8"/>
  <c r="J56" i="8" a="1"/>
  <c r="J56" i="8" s="1"/>
  <c r="K56" i="8" a="1"/>
  <c r="K56" i="8" s="1"/>
  <c r="L56" i="8" a="1"/>
  <c r="L56" i="8" s="1"/>
  <c r="M56" i="8" a="1"/>
  <c r="M56" i="8" s="1"/>
  <c r="B57" i="8" a="1"/>
  <c r="B57" i="8" s="1"/>
  <c r="C57" i="8" a="1"/>
  <c r="C57" i="8" s="1"/>
  <c r="D57" i="8" a="1"/>
  <c r="D57" i="8" s="1"/>
  <c r="E57" i="8" a="1"/>
  <c r="E57" i="8" s="1"/>
  <c r="F57" i="8" a="1"/>
  <c r="F57" i="8" s="1"/>
  <c r="G57" i="8" a="1"/>
  <c r="G57" i="8" s="1"/>
  <c r="H57" i="8" a="1"/>
  <c r="H57" i="8" s="1"/>
  <c r="I57" i="8" a="1"/>
  <c r="I57" i="8" s="1"/>
  <c r="J57" i="8" a="1"/>
  <c r="J57" i="8" s="1"/>
  <c r="K57" i="8" a="1"/>
  <c r="K57" i="8" s="1"/>
  <c r="L57" i="8" a="1"/>
  <c r="L57" i="8" s="1"/>
  <c r="M57" i="8" a="1"/>
  <c r="M57" i="8" s="1"/>
  <c r="M91" i="8"/>
  <c r="L91" i="8"/>
  <c r="K91" i="8"/>
  <c r="J91" i="8"/>
  <c r="I91" i="8"/>
  <c r="H91" i="8"/>
  <c r="G91" i="8"/>
  <c r="F91" i="8"/>
  <c r="E91" i="8"/>
  <c r="D91" i="8"/>
  <c r="C91" i="8"/>
  <c r="P89" i="8"/>
  <c r="O89" i="8"/>
  <c r="N89" i="8"/>
  <c r="P88" i="8"/>
  <c r="O88" i="8"/>
  <c r="N88" i="8"/>
  <c r="M31" i="8" a="1"/>
  <c r="M31" i="8" s="1"/>
  <c r="L31" i="8" a="1"/>
  <c r="L31" i="8" s="1"/>
  <c r="K31" i="8" a="1"/>
  <c r="K31" i="8" s="1"/>
  <c r="J31" i="8" a="1"/>
  <c r="J31" i="8" s="1"/>
  <c r="I31" i="8" a="1"/>
  <c r="I31" i="8" s="1"/>
  <c r="H31" i="8" a="1"/>
  <c r="H31" i="8" s="1"/>
  <c r="G31" i="8" a="1"/>
  <c r="G31" i="8" s="1"/>
  <c r="F31" i="8" a="1"/>
  <c r="F31" i="8" s="1"/>
  <c r="E31" i="8" a="1"/>
  <c r="E31" i="8" s="1"/>
  <c r="D31" i="8" a="1"/>
  <c r="D31" i="8" s="1"/>
  <c r="C31" i="8" a="1"/>
  <c r="C31" i="8" s="1"/>
  <c r="B31" i="8" a="1"/>
  <c r="B31" i="8" s="1"/>
  <c r="E96" i="7"/>
  <c r="D96" i="7"/>
  <c r="C96" i="7"/>
  <c r="B96" i="7"/>
  <c r="N83" i="7" a="1"/>
  <c r="N83" i="7" s="1"/>
  <c r="M75" i="7" a="1"/>
  <c r="M75" i="7" s="1"/>
  <c r="L78" i="7" a="1"/>
  <c r="L78" i="7" s="1"/>
  <c r="K86" i="7" a="1"/>
  <c r="K86" i="7" s="1"/>
  <c r="J80" i="7" a="1"/>
  <c r="J80" i="7" s="1"/>
  <c r="I82" i="7" a="1"/>
  <c r="I82" i="7" s="1"/>
  <c r="H84" i="7" a="1"/>
  <c r="H84" i="7" s="1"/>
  <c r="G79" i="7" a="1"/>
  <c r="G79" i="7" s="1"/>
  <c r="F89" i="7" a="1"/>
  <c r="F89" i="7" s="1"/>
  <c r="E85" i="7" a="1"/>
  <c r="E85" i="7" s="1"/>
  <c r="D88" i="7" a="1"/>
  <c r="D88" i="7" s="1"/>
  <c r="C91" i="7" a="1"/>
  <c r="C91" i="7" s="1"/>
  <c r="N87" i="7" a="1"/>
  <c r="N87" i="7" s="1"/>
  <c r="M87" i="7" a="1"/>
  <c r="M87" i="7" s="1"/>
  <c r="L87" i="7"/>
  <c r="L87" i="7" a="1"/>
  <c r="K87" i="7" a="1"/>
  <c r="K87" i="7" s="1"/>
  <c r="J87" i="7" a="1"/>
  <c r="J87" i="7" s="1"/>
  <c r="I87" i="7" a="1"/>
  <c r="I87" i="7" s="1"/>
  <c r="H87" i="7" a="1"/>
  <c r="H87" i="7" s="1"/>
  <c r="G87" i="7" a="1"/>
  <c r="G87" i="7" s="1"/>
  <c r="F87" i="7" a="1"/>
  <c r="F87" i="7" s="1"/>
  <c r="E87" i="7" a="1"/>
  <c r="E87" i="7" s="1"/>
  <c r="D87" i="7" a="1"/>
  <c r="D87" i="7" s="1"/>
  <c r="C87" i="7"/>
  <c r="C87" i="7" a="1"/>
  <c r="B87" i="7" a="1"/>
  <c r="B87" i="7" s="1"/>
  <c r="N67" i="7" a="1"/>
  <c r="N67" i="7" s="1"/>
  <c r="M67" i="7" a="1"/>
  <c r="M67" i="7" s="1"/>
  <c r="L67" i="7" a="1"/>
  <c r="L67" i="7" s="1"/>
  <c r="K67" i="7"/>
  <c r="K67" i="7" a="1"/>
  <c r="J67" i="7" a="1"/>
  <c r="J67" i="7" s="1"/>
  <c r="I67" i="7" a="1"/>
  <c r="I67" i="7" s="1"/>
  <c r="H67" i="7" a="1"/>
  <c r="H67" i="7" s="1"/>
  <c r="G67" i="7"/>
  <c r="G67" i="7" a="1"/>
  <c r="F67" i="7" a="1"/>
  <c r="F67" i="7" s="1"/>
  <c r="E67" i="7" a="1"/>
  <c r="E67" i="7" s="1"/>
  <c r="D67" i="7" a="1"/>
  <c r="D67" i="7" s="1"/>
  <c r="C67" i="7" a="1"/>
  <c r="C67" i="7" s="1"/>
  <c r="B67" i="7" a="1"/>
  <c r="B67" i="7" s="1"/>
  <c r="N80" i="7" a="1"/>
  <c r="N80" i="7" s="1"/>
  <c r="M80" i="7" a="1"/>
  <c r="M80" i="7" s="1"/>
  <c r="L80" i="7" a="1"/>
  <c r="L80" i="7" s="1"/>
  <c r="K80" i="7" a="1"/>
  <c r="K80" i="7" s="1"/>
  <c r="I80" i="7" a="1"/>
  <c r="I80" i="7" s="1"/>
  <c r="H80" i="7" a="1"/>
  <c r="H80" i="7" s="1"/>
  <c r="G80" i="7" a="1"/>
  <c r="G80" i="7" s="1"/>
  <c r="F80" i="7" a="1"/>
  <c r="F80" i="7" s="1"/>
  <c r="E80" i="7" a="1"/>
  <c r="E80" i="7" s="1"/>
  <c r="D80" i="7" a="1"/>
  <c r="D80" i="7" s="1"/>
  <c r="C80" i="7" a="1"/>
  <c r="C80" i="7" s="1"/>
  <c r="B80" i="7" a="1"/>
  <c r="B80" i="7" s="1"/>
  <c r="N84" i="7" a="1"/>
  <c r="N84" i="7" s="1"/>
  <c r="M84" i="7" a="1"/>
  <c r="M84" i="7" s="1"/>
  <c r="L84" i="7" a="1"/>
  <c r="L84" i="7" s="1"/>
  <c r="K84" i="7" a="1"/>
  <c r="K84" i="7" s="1"/>
  <c r="J84" i="7" a="1"/>
  <c r="J84" i="7" s="1"/>
  <c r="I84" i="7" a="1"/>
  <c r="I84" i="7" s="1"/>
  <c r="G84" i="7" a="1"/>
  <c r="G84" i="7" s="1"/>
  <c r="F84" i="7" a="1"/>
  <c r="F84" i="7" s="1"/>
  <c r="E84" i="7" a="1"/>
  <c r="E84" i="7" s="1"/>
  <c r="D84" i="7"/>
  <c r="D84" i="7" a="1"/>
  <c r="C84" i="7" a="1"/>
  <c r="C84" i="7" s="1"/>
  <c r="B84" i="7" a="1"/>
  <c r="B84" i="7" s="1"/>
  <c r="N86" i="7" a="1"/>
  <c r="N86" i="7" s="1"/>
  <c r="M86" i="7" a="1"/>
  <c r="M86" i="7" s="1"/>
  <c r="L86" i="7" a="1"/>
  <c r="L86" i="7" s="1"/>
  <c r="J86" i="7" a="1"/>
  <c r="J86" i="7" s="1"/>
  <c r="I86" i="7" a="1"/>
  <c r="I86" i="7" s="1"/>
  <c r="H86" i="7" a="1"/>
  <c r="H86" i="7" s="1"/>
  <c r="G86" i="7"/>
  <c r="G86" i="7" a="1"/>
  <c r="F86" i="7" a="1"/>
  <c r="F86" i="7" s="1"/>
  <c r="E86" i="7" a="1"/>
  <c r="E86" i="7" s="1"/>
  <c r="D86" i="7"/>
  <c r="D86" i="7" a="1"/>
  <c r="C86" i="7" a="1"/>
  <c r="C86" i="7" s="1"/>
  <c r="B86" i="7" a="1"/>
  <c r="B86" i="7" s="1"/>
  <c r="N79" i="7" a="1"/>
  <c r="N79" i="7" s="1"/>
  <c r="M79" i="7" a="1"/>
  <c r="M79" i="7" s="1"/>
  <c r="L79" i="7" a="1"/>
  <c r="L79" i="7" s="1"/>
  <c r="K79" i="7" a="1"/>
  <c r="K79" i="7" s="1"/>
  <c r="J79" i="7" a="1"/>
  <c r="J79" i="7" s="1"/>
  <c r="I79" i="7"/>
  <c r="I79" i="7" a="1"/>
  <c r="H79" i="7" a="1"/>
  <c r="H79" i="7" s="1"/>
  <c r="F79" i="7" a="1"/>
  <c r="F79" i="7" s="1"/>
  <c r="E79" i="7" a="1"/>
  <c r="E79" i="7" s="1"/>
  <c r="D79" i="7" a="1"/>
  <c r="D79" i="7" s="1"/>
  <c r="C79" i="7" a="1"/>
  <c r="C79" i="7" s="1"/>
  <c r="B79" i="7" a="1"/>
  <c r="B79" i="7" s="1"/>
  <c r="N88" i="7" a="1"/>
  <c r="N88" i="7" s="1"/>
  <c r="M88" i="7" a="1"/>
  <c r="M88" i="7" s="1"/>
  <c r="L88" i="7" a="1"/>
  <c r="L88" i="7" s="1"/>
  <c r="K88" i="7" a="1"/>
  <c r="K88" i="7" s="1"/>
  <c r="J88" i="7" a="1"/>
  <c r="J88" i="7" s="1"/>
  <c r="I88" i="7" a="1"/>
  <c r="I88" i="7" s="1"/>
  <c r="H88" i="7" a="1"/>
  <c r="H88" i="7" s="1"/>
  <c r="G88" i="7" a="1"/>
  <c r="G88" i="7" s="1"/>
  <c r="F88" i="7" a="1"/>
  <c r="F88" i="7" s="1"/>
  <c r="E88" i="7" a="1"/>
  <c r="E88" i="7" s="1"/>
  <c r="C88" i="7" a="1"/>
  <c r="C88" i="7" s="1"/>
  <c r="B88" i="7" a="1"/>
  <c r="B88" i="7" s="1"/>
  <c r="N68" i="7"/>
  <c r="N68" i="7" a="1"/>
  <c r="M68" i="7" a="1"/>
  <c r="M68" i="7" s="1"/>
  <c r="L68" i="7" a="1"/>
  <c r="L68" i="7" s="1"/>
  <c r="K68" i="7" a="1"/>
  <c r="K68" i="7" s="1"/>
  <c r="J68" i="7" a="1"/>
  <c r="J68" i="7" s="1"/>
  <c r="I68" i="7"/>
  <c r="I68" i="7" a="1"/>
  <c r="H68" i="7" a="1"/>
  <c r="H68" i="7" s="1"/>
  <c r="G68" i="7" a="1"/>
  <c r="G68" i="7" s="1"/>
  <c r="F68" i="7"/>
  <c r="F68" i="7" a="1"/>
  <c r="E68" i="7" a="1"/>
  <c r="E68" i="7" s="1"/>
  <c r="D68" i="7" a="1"/>
  <c r="D68" i="7" s="1"/>
  <c r="C68" i="7" a="1"/>
  <c r="C68" i="7" s="1"/>
  <c r="B68" i="7" a="1"/>
  <c r="B68" i="7" s="1"/>
  <c r="N66" i="7" a="1"/>
  <c r="N66" i="7" s="1"/>
  <c r="M66" i="7" a="1"/>
  <c r="M66" i="7" s="1"/>
  <c r="L66" i="7" a="1"/>
  <c r="L66" i="7" s="1"/>
  <c r="K66" i="7" a="1"/>
  <c r="K66" i="7" s="1"/>
  <c r="J66" i="7" a="1"/>
  <c r="J66" i="7" s="1"/>
  <c r="I66" i="7" a="1"/>
  <c r="I66" i="7" s="1"/>
  <c r="H66" i="7"/>
  <c r="H66" i="7" a="1"/>
  <c r="G66" i="7" a="1"/>
  <c r="G66" i="7" s="1"/>
  <c r="F66" i="7"/>
  <c r="F66" i="7" a="1"/>
  <c r="E66" i="7" a="1"/>
  <c r="E66" i="7" s="1"/>
  <c r="D66" i="7" a="1"/>
  <c r="D66" i="7" s="1"/>
  <c r="C66" i="7" a="1"/>
  <c r="C66" i="7" s="1"/>
  <c r="B66" i="7" a="1"/>
  <c r="B66" i="7" s="1"/>
  <c r="N69" i="7" a="1"/>
  <c r="N69" i="7" s="1"/>
  <c r="M69" i="7" a="1"/>
  <c r="M69" i="7" s="1"/>
  <c r="L69" i="7" a="1"/>
  <c r="L69" i="7" s="1"/>
  <c r="K69" i="7" a="1"/>
  <c r="K69" i="7" s="1"/>
  <c r="J69" i="7" a="1"/>
  <c r="J69" i="7" s="1"/>
  <c r="I69" i="7" a="1"/>
  <c r="I69" i="7" s="1"/>
  <c r="H69" i="7" a="1"/>
  <c r="H69" i="7" s="1"/>
  <c r="G69" i="7" a="1"/>
  <c r="G69" i="7" s="1"/>
  <c r="F69" i="7" a="1"/>
  <c r="F69" i="7" s="1"/>
  <c r="E69" i="7" a="1"/>
  <c r="E69" i="7" s="1"/>
  <c r="D69" i="7" a="1"/>
  <c r="D69" i="7" s="1"/>
  <c r="C69" i="7" a="1"/>
  <c r="C69" i="7" s="1"/>
  <c r="B69" i="7" a="1"/>
  <c r="B69" i="7" s="1"/>
  <c r="N81" i="7" a="1"/>
  <c r="N81" i="7" s="1"/>
  <c r="M81" i="7" a="1"/>
  <c r="M81" i="7" s="1"/>
  <c r="L81" i="7" a="1"/>
  <c r="L81" i="7" s="1"/>
  <c r="K81" i="7" a="1"/>
  <c r="K81" i="7" s="1"/>
  <c r="J81" i="7" a="1"/>
  <c r="J81" i="7" s="1"/>
  <c r="I81" i="7" a="1"/>
  <c r="I81" i="7" s="1"/>
  <c r="H81" i="7" a="1"/>
  <c r="H81" i="7" s="1"/>
  <c r="G81" i="7" a="1"/>
  <c r="G81" i="7" s="1"/>
  <c r="F81" i="7" a="1"/>
  <c r="F81" i="7" s="1"/>
  <c r="E81" i="7" a="1"/>
  <c r="E81" i="7" s="1"/>
  <c r="D81" i="7" a="1"/>
  <c r="D81" i="7" s="1"/>
  <c r="C81" i="7"/>
  <c r="C81" i="7" a="1"/>
  <c r="B81" i="7" a="1"/>
  <c r="B81" i="7" s="1"/>
  <c r="N78" i="7" a="1"/>
  <c r="N78" i="7" s="1"/>
  <c r="M78" i="7" a="1"/>
  <c r="M78" i="7" s="1"/>
  <c r="K78" i="7" a="1"/>
  <c r="K78" i="7" s="1"/>
  <c r="J78" i="7" a="1"/>
  <c r="J78" i="7" s="1"/>
  <c r="I78" i="7" a="1"/>
  <c r="I78" i="7" s="1"/>
  <c r="H78" i="7" a="1"/>
  <c r="H78" i="7" s="1"/>
  <c r="G78" i="7" a="1"/>
  <c r="G78" i="7" s="1"/>
  <c r="F78" i="7" a="1"/>
  <c r="F78" i="7" s="1"/>
  <c r="E78" i="7" a="1"/>
  <c r="E78" i="7" s="1"/>
  <c r="D78" i="7" a="1"/>
  <c r="D78" i="7" s="1"/>
  <c r="C78" i="7" a="1"/>
  <c r="C78" i="7" s="1"/>
  <c r="B78" i="7" a="1"/>
  <c r="B78" i="7" s="1"/>
  <c r="N71" i="7" a="1"/>
  <c r="N71" i="7" s="1"/>
  <c r="M71" i="7" a="1"/>
  <c r="M71" i="7" s="1"/>
  <c r="L71" i="7" a="1"/>
  <c r="L71" i="7" s="1"/>
  <c r="K71" i="7" a="1"/>
  <c r="K71" i="7" s="1"/>
  <c r="J71" i="7"/>
  <c r="J71" i="7" a="1"/>
  <c r="I71" i="7" a="1"/>
  <c r="I71" i="7" s="1"/>
  <c r="H71" i="7" a="1"/>
  <c r="H71" i="7" s="1"/>
  <c r="G71" i="7" a="1"/>
  <c r="G71" i="7" s="1"/>
  <c r="F71" i="7" a="1"/>
  <c r="F71" i="7" s="1"/>
  <c r="E71" i="7" a="1"/>
  <c r="E71" i="7" s="1"/>
  <c r="D71" i="7" a="1"/>
  <c r="D71" i="7" s="1"/>
  <c r="C71" i="7" a="1"/>
  <c r="C71" i="7" s="1"/>
  <c r="B71" i="7" a="1"/>
  <c r="B71" i="7" s="1"/>
  <c r="N85" i="7" a="1"/>
  <c r="N85" i="7" s="1"/>
  <c r="M85" i="7"/>
  <c r="M85" i="7" a="1"/>
  <c r="L85" i="7" a="1"/>
  <c r="L85" i="7" s="1"/>
  <c r="K85" i="7" a="1"/>
  <c r="K85" i="7" s="1"/>
  <c r="J85" i="7" a="1"/>
  <c r="J85" i="7" s="1"/>
  <c r="I85" i="7" a="1"/>
  <c r="I85" i="7" s="1"/>
  <c r="H85" i="7" a="1"/>
  <c r="H85" i="7" s="1"/>
  <c r="G85" i="7" a="1"/>
  <c r="G85" i="7" s="1"/>
  <c r="F85" i="7" a="1"/>
  <c r="F85" i="7" s="1"/>
  <c r="D85" i="7" a="1"/>
  <c r="D85" i="7" s="1"/>
  <c r="C85" i="7" a="1"/>
  <c r="C85" i="7" s="1"/>
  <c r="B85" i="7" a="1"/>
  <c r="B85" i="7" s="1"/>
  <c r="N72" i="7" a="1"/>
  <c r="N72" i="7" s="1"/>
  <c r="M72" i="7" a="1"/>
  <c r="M72" i="7" s="1"/>
  <c r="L72" i="7" a="1"/>
  <c r="L72" i="7" s="1"/>
  <c r="K72" i="7" a="1"/>
  <c r="K72" i="7" s="1"/>
  <c r="J72" i="7"/>
  <c r="J72" i="7" a="1"/>
  <c r="I72" i="7" a="1"/>
  <c r="I72" i="7" s="1"/>
  <c r="H72" i="7" a="1"/>
  <c r="H72" i="7" s="1"/>
  <c r="G72" i="7" a="1"/>
  <c r="G72" i="7" s="1"/>
  <c r="F72" i="7" a="1"/>
  <c r="F72" i="7" s="1"/>
  <c r="E72" i="7"/>
  <c r="E72" i="7" a="1"/>
  <c r="D72" i="7" a="1"/>
  <c r="D72" i="7" s="1"/>
  <c r="C72" i="7" a="1"/>
  <c r="C72" i="7" s="1"/>
  <c r="B72" i="7" a="1"/>
  <c r="B72" i="7" s="1"/>
  <c r="N91" i="7" a="1"/>
  <c r="N91" i="7" s="1"/>
  <c r="M91" i="7"/>
  <c r="M91" i="7" a="1"/>
  <c r="L91" i="7" a="1"/>
  <c r="L91" i="7" s="1"/>
  <c r="K91" i="7" a="1"/>
  <c r="K91" i="7" s="1"/>
  <c r="J91" i="7" a="1"/>
  <c r="J91" i="7" s="1"/>
  <c r="I91" i="7" a="1"/>
  <c r="I91" i="7" s="1"/>
  <c r="H91" i="7"/>
  <c r="H91" i="7" a="1"/>
  <c r="G91" i="7" a="1"/>
  <c r="G91" i="7" s="1"/>
  <c r="F91" i="7" a="1"/>
  <c r="F91" i="7" s="1"/>
  <c r="E91" i="7" a="1"/>
  <c r="E91" i="7" s="1"/>
  <c r="D91" i="7" a="1"/>
  <c r="D91" i="7" s="1"/>
  <c r="B91" i="7" a="1"/>
  <c r="B91" i="7" s="1"/>
  <c r="N82" i="7" a="1"/>
  <c r="N82" i="7" s="1"/>
  <c r="M82" i="7" a="1"/>
  <c r="M82" i="7" s="1"/>
  <c r="L82" i="7" a="1"/>
  <c r="L82" i="7" s="1"/>
  <c r="K82" i="7" a="1"/>
  <c r="K82" i="7" s="1"/>
  <c r="J82" i="7" a="1"/>
  <c r="J82" i="7" s="1"/>
  <c r="H82" i="7" a="1"/>
  <c r="H82" i="7" s="1"/>
  <c r="G82" i="7" a="1"/>
  <c r="G82" i="7" s="1"/>
  <c r="F82" i="7" a="1"/>
  <c r="F82" i="7" s="1"/>
  <c r="E82" i="7" a="1"/>
  <c r="E82" i="7" s="1"/>
  <c r="D82" i="7" a="1"/>
  <c r="D82" i="7" s="1"/>
  <c r="C82" i="7" a="1"/>
  <c r="C82" i="7" s="1"/>
  <c r="B82" i="7" a="1"/>
  <c r="B82" i="7" s="1"/>
  <c r="N90" i="7" a="1"/>
  <c r="N90" i="7" s="1"/>
  <c r="M90" i="7" a="1"/>
  <c r="M90" i="7" s="1"/>
  <c r="L90" i="7" a="1"/>
  <c r="L90" i="7" s="1"/>
  <c r="K90" i="7" a="1"/>
  <c r="K90" i="7" s="1"/>
  <c r="J90" i="7" a="1"/>
  <c r="J90" i="7" s="1"/>
  <c r="I90" i="7" a="1"/>
  <c r="I90" i="7" s="1"/>
  <c r="H90" i="7" a="1"/>
  <c r="H90" i="7" s="1"/>
  <c r="G90" i="7" a="1"/>
  <c r="G90" i="7" s="1"/>
  <c r="F90" i="7" a="1"/>
  <c r="F90" i="7" s="1"/>
  <c r="E90" i="7" a="1"/>
  <c r="E90" i="7" s="1"/>
  <c r="D90" i="7" a="1"/>
  <c r="D90" i="7" s="1"/>
  <c r="C90" i="7" a="1"/>
  <c r="C90" i="7" s="1"/>
  <c r="B90" i="7" a="1"/>
  <c r="B90" i="7" s="1"/>
  <c r="M83" i="7" a="1"/>
  <c r="M83" i="7" s="1"/>
  <c r="L83" i="7" a="1"/>
  <c r="L83" i="7" s="1"/>
  <c r="K83" i="7" a="1"/>
  <c r="K83" i="7" s="1"/>
  <c r="J83" i="7" a="1"/>
  <c r="J83" i="7" s="1"/>
  <c r="I83" i="7" a="1"/>
  <c r="I83" i="7" s="1"/>
  <c r="H83" i="7" a="1"/>
  <c r="H83" i="7" s="1"/>
  <c r="G83" i="7" a="1"/>
  <c r="G83" i="7" s="1"/>
  <c r="F83" i="7" a="1"/>
  <c r="F83" i="7" s="1"/>
  <c r="E83" i="7" a="1"/>
  <c r="E83" i="7" s="1"/>
  <c r="D83" i="7" a="1"/>
  <c r="D83" i="7" s="1"/>
  <c r="C83" i="7" a="1"/>
  <c r="C83" i="7" s="1"/>
  <c r="B83" i="7" a="1"/>
  <c r="B83" i="7" s="1"/>
  <c r="N73" i="7" a="1"/>
  <c r="N73" i="7" s="1"/>
  <c r="M73" i="7" a="1"/>
  <c r="M73" i="7" s="1"/>
  <c r="L73" i="7" a="1"/>
  <c r="L73" i="7" s="1"/>
  <c r="K73" i="7" a="1"/>
  <c r="K73" i="7" s="1"/>
  <c r="J73" i="7" a="1"/>
  <c r="J73" i="7" s="1"/>
  <c r="I73" i="7" a="1"/>
  <c r="I73" i="7" s="1"/>
  <c r="H73" i="7" a="1"/>
  <c r="H73" i="7" s="1"/>
  <c r="G73" i="7" a="1"/>
  <c r="G73" i="7" s="1"/>
  <c r="F73" i="7" a="1"/>
  <c r="F73" i="7" s="1"/>
  <c r="E73" i="7"/>
  <c r="E73" i="7" a="1"/>
  <c r="D73" i="7" a="1"/>
  <c r="D73" i="7" s="1"/>
  <c r="C73" i="7" a="1"/>
  <c r="C73" i="7" s="1"/>
  <c r="B73" i="7" a="1"/>
  <c r="B73" i="7" s="1"/>
  <c r="N65" i="7" a="1"/>
  <c r="N65" i="7" s="1"/>
  <c r="M65" i="7" a="1"/>
  <c r="M65" i="7" s="1"/>
  <c r="L65" i="7" a="1"/>
  <c r="L65" i="7" s="1"/>
  <c r="K65" i="7" a="1"/>
  <c r="K65" i="7" s="1"/>
  <c r="J65" i="7" a="1"/>
  <c r="J65" i="7" s="1"/>
  <c r="I65" i="7" a="1"/>
  <c r="I65" i="7" s="1"/>
  <c r="H65" i="7"/>
  <c r="H65" i="7" a="1"/>
  <c r="G65" i="7" a="1"/>
  <c r="G65" i="7" s="1"/>
  <c r="F65" i="7" a="1"/>
  <c r="F65" i="7" s="1"/>
  <c r="E65" i="7" a="1"/>
  <c r="E65" i="7" s="1"/>
  <c r="D65" i="7" a="1"/>
  <c r="D65" i="7" s="1"/>
  <c r="C65" i="7"/>
  <c r="C65" i="7" a="1"/>
  <c r="B65" i="7" a="1"/>
  <c r="B65" i="7" s="1"/>
  <c r="N77" i="7" a="1"/>
  <c r="N77" i="7" s="1"/>
  <c r="M77" i="7" a="1"/>
  <c r="M77" i="7" s="1"/>
  <c r="L77" i="7" a="1"/>
  <c r="L77" i="7" s="1"/>
  <c r="K77" i="7"/>
  <c r="K77" i="7" a="1"/>
  <c r="J77" i="7" a="1"/>
  <c r="J77" i="7" s="1"/>
  <c r="I77" i="7" a="1"/>
  <c r="I77" i="7" s="1"/>
  <c r="H77" i="7" a="1"/>
  <c r="H77" i="7" s="1"/>
  <c r="G77" i="7" a="1"/>
  <c r="G77" i="7" s="1"/>
  <c r="F77" i="7"/>
  <c r="F77" i="7" a="1"/>
  <c r="E77" i="7" a="1"/>
  <c r="E77" i="7" s="1"/>
  <c r="D77" i="7" a="1"/>
  <c r="D77" i="7" s="1"/>
  <c r="C77" i="7" a="1"/>
  <c r="C77" i="7" s="1"/>
  <c r="B77" i="7" a="1"/>
  <c r="B77" i="7" s="1"/>
  <c r="N70" i="7" a="1"/>
  <c r="N70" i="7" s="1"/>
  <c r="M70" i="7" a="1"/>
  <c r="M70" i="7" s="1"/>
  <c r="L70" i="7" a="1"/>
  <c r="L70" i="7" s="1"/>
  <c r="K70" i="7" a="1"/>
  <c r="K70" i="7" s="1"/>
  <c r="J70" i="7" a="1"/>
  <c r="J70" i="7" s="1"/>
  <c r="I70" i="7"/>
  <c r="I70" i="7" a="1"/>
  <c r="H70" i="7" a="1"/>
  <c r="H70" i="7" s="1"/>
  <c r="G70" i="7" a="1"/>
  <c r="G70" i="7" s="1"/>
  <c r="F70" i="7" a="1"/>
  <c r="F70" i="7" s="1"/>
  <c r="E70" i="7" a="1"/>
  <c r="E70" i="7" s="1"/>
  <c r="D70" i="7" a="1"/>
  <c r="D70" i="7" s="1"/>
  <c r="C70" i="7" a="1"/>
  <c r="C70" i="7" s="1"/>
  <c r="B70" i="7" a="1"/>
  <c r="B70" i="7" s="1"/>
  <c r="N89" i="7" a="1"/>
  <c r="N89" i="7" s="1"/>
  <c r="M89" i="7"/>
  <c r="M89" i="7" a="1"/>
  <c r="L89" i="7" a="1"/>
  <c r="L89" i="7" s="1"/>
  <c r="K89" i="7" a="1"/>
  <c r="K89" i="7" s="1"/>
  <c r="J89" i="7" a="1"/>
  <c r="J89" i="7" s="1"/>
  <c r="I89" i="7" a="1"/>
  <c r="I89" i="7" s="1"/>
  <c r="H89" i="7" a="1"/>
  <c r="H89" i="7" s="1"/>
  <c r="G89" i="7" a="1"/>
  <c r="G89" i="7" s="1"/>
  <c r="E89" i="7" a="1"/>
  <c r="E89" i="7" s="1"/>
  <c r="D89" i="7" a="1"/>
  <c r="D89" i="7" s="1"/>
  <c r="C89" i="7" a="1"/>
  <c r="C89" i="7" s="1"/>
  <c r="B89" i="7" a="1"/>
  <c r="B89" i="7" s="1"/>
  <c r="N76" i="7" a="1"/>
  <c r="N76" i="7" s="1"/>
  <c r="M76" i="7" a="1"/>
  <c r="M76" i="7" s="1"/>
  <c r="L76" i="7" a="1"/>
  <c r="L76" i="7" s="1"/>
  <c r="K76" i="7" a="1"/>
  <c r="K76" i="7" s="1"/>
  <c r="J76" i="7"/>
  <c r="J76" i="7" a="1"/>
  <c r="I76" i="7" a="1"/>
  <c r="I76" i="7" s="1"/>
  <c r="H76" i="7" a="1"/>
  <c r="H76" i="7" s="1"/>
  <c r="G76" i="7" a="1"/>
  <c r="G76" i="7" s="1"/>
  <c r="F76" i="7" a="1"/>
  <c r="F76" i="7" s="1"/>
  <c r="E76" i="7" a="1"/>
  <c r="E76" i="7" s="1"/>
  <c r="D76" i="7" a="1"/>
  <c r="D76" i="7" s="1"/>
  <c r="C76" i="7" a="1"/>
  <c r="C76" i="7" s="1"/>
  <c r="B76" i="7" a="1"/>
  <c r="B76" i="7" s="1"/>
  <c r="N74" i="7" a="1"/>
  <c r="N74" i="7" s="1"/>
  <c r="M74" i="7" a="1"/>
  <c r="M74" i="7" s="1"/>
  <c r="L74" i="7" a="1"/>
  <c r="L74" i="7" s="1"/>
  <c r="K74" i="7" a="1"/>
  <c r="K74" i="7" s="1"/>
  <c r="J74" i="7" a="1"/>
  <c r="J74" i="7" s="1"/>
  <c r="I74" i="7" a="1"/>
  <c r="I74" i="7" s="1"/>
  <c r="H74" i="7" a="1"/>
  <c r="H74" i="7" s="1"/>
  <c r="G74" i="7" a="1"/>
  <c r="G74" i="7" s="1"/>
  <c r="F74" i="7" a="1"/>
  <c r="F74" i="7" s="1"/>
  <c r="E74" i="7" a="1"/>
  <c r="E74" i="7" s="1"/>
  <c r="D74" i="7" a="1"/>
  <c r="D74" i="7" s="1"/>
  <c r="C74" i="7" a="1"/>
  <c r="C74" i="7" s="1"/>
  <c r="B74" i="7" a="1"/>
  <c r="B74" i="7" s="1"/>
  <c r="N75" i="7" a="1"/>
  <c r="N75" i="7" s="1"/>
  <c r="L75" i="7"/>
  <c r="L75" i="7" a="1"/>
  <c r="K75" i="7" a="1"/>
  <c r="K75" i="7" s="1"/>
  <c r="J75" i="7" a="1"/>
  <c r="J75" i="7" s="1"/>
  <c r="I75" i="7" a="1"/>
  <c r="I75" i="7" s="1"/>
  <c r="H75" i="7" a="1"/>
  <c r="H75" i="7" s="1"/>
  <c r="G75" i="7" a="1"/>
  <c r="G75" i="7" s="1"/>
  <c r="F75" i="7" a="1"/>
  <c r="F75" i="7" s="1"/>
  <c r="E75" i="7" a="1"/>
  <c r="E75" i="7" s="1"/>
  <c r="D75" i="7" a="1"/>
  <c r="D75" i="7" s="1"/>
  <c r="C75" i="7" a="1"/>
  <c r="C75" i="7" s="1"/>
  <c r="B75" i="7" a="1"/>
  <c r="B75" i="7" s="1"/>
  <c r="N96" i="7"/>
  <c r="M96" i="7"/>
  <c r="L96" i="7"/>
  <c r="K96" i="7"/>
  <c r="J96" i="7"/>
  <c r="I96" i="7"/>
  <c r="H96" i="7"/>
  <c r="G96" i="7"/>
  <c r="F96" i="7"/>
  <c r="Q94" i="7"/>
  <c r="P94" i="7"/>
  <c r="O94" i="7"/>
  <c r="N58" i="7" a="1"/>
  <c r="N58" i="7" s="1"/>
  <c r="M58" i="7" a="1"/>
  <c r="M58" i="7" s="1"/>
  <c r="L58" i="7" a="1"/>
  <c r="L58" i="7" s="1"/>
  <c r="K58" i="7" a="1"/>
  <c r="K58" i="7" s="1"/>
  <c r="J58" i="7" a="1"/>
  <c r="J58" i="7" s="1"/>
  <c r="I58" i="7" a="1"/>
  <c r="I58" i="7" s="1"/>
  <c r="H58" i="7" a="1"/>
  <c r="H58" i="7" s="1"/>
  <c r="G58" i="7" a="1"/>
  <c r="G58" i="7" s="1"/>
  <c r="F58" i="7" a="1"/>
  <c r="F58" i="7" s="1"/>
  <c r="E58" i="7" a="1"/>
  <c r="E58" i="7" s="1"/>
  <c r="D58" i="7" a="1"/>
  <c r="D58" i="7" s="1"/>
  <c r="C58" i="7" a="1"/>
  <c r="C58" i="7" s="1"/>
  <c r="B58" i="7" a="1"/>
  <c r="B58" i="7" s="1"/>
  <c r="N57" i="7" a="1"/>
  <c r="N57" i="7" s="1"/>
  <c r="M57" i="7" a="1"/>
  <c r="M57" i="7" s="1"/>
  <c r="L57" i="7" a="1"/>
  <c r="L57" i="7" s="1"/>
  <c r="K57" i="7" a="1"/>
  <c r="K57" i="7" s="1"/>
  <c r="J57" i="7" a="1"/>
  <c r="J57" i="7" s="1"/>
  <c r="I57" i="7" a="1"/>
  <c r="I57" i="7" s="1"/>
  <c r="H57" i="7" a="1"/>
  <c r="H57" i="7" s="1"/>
  <c r="G57" i="7" a="1"/>
  <c r="G57" i="7" s="1"/>
  <c r="F57" i="7" a="1"/>
  <c r="F57" i="7" s="1"/>
  <c r="E57" i="7" a="1"/>
  <c r="E57" i="7" s="1"/>
  <c r="D57" i="7" a="1"/>
  <c r="D57" i="7" s="1"/>
  <c r="C57" i="7" a="1"/>
  <c r="C57" i="7" s="1"/>
  <c r="B57" i="7" a="1"/>
  <c r="B57" i="7" s="1"/>
  <c r="N56" i="7" a="1"/>
  <c r="N56" i="7" s="1"/>
  <c r="M56" i="7" a="1"/>
  <c r="M56" i="7" s="1"/>
  <c r="L56" i="7" a="1"/>
  <c r="L56" i="7" s="1"/>
  <c r="K56" i="7" a="1"/>
  <c r="K56" i="7" s="1"/>
  <c r="J56" i="7" a="1"/>
  <c r="J56" i="7" s="1"/>
  <c r="I56" i="7" a="1"/>
  <c r="I56" i="7" s="1"/>
  <c r="H56" i="7" a="1"/>
  <c r="H56" i="7" s="1"/>
  <c r="G56" i="7" a="1"/>
  <c r="G56" i="7" s="1"/>
  <c r="F56" i="7" a="1"/>
  <c r="F56" i="7" s="1"/>
  <c r="E56" i="7" a="1"/>
  <c r="E56" i="7" s="1"/>
  <c r="D56" i="7" a="1"/>
  <c r="D56" i="7" s="1"/>
  <c r="C56" i="7" a="1"/>
  <c r="C56" i="7" s="1"/>
  <c r="B56" i="7" a="1"/>
  <c r="B56" i="7" s="1"/>
  <c r="N55" i="7" a="1"/>
  <c r="N55" i="7" s="1"/>
  <c r="M55" i="7" a="1"/>
  <c r="M55" i="7" s="1"/>
  <c r="L55" i="7" a="1"/>
  <c r="L55" i="7" s="1"/>
  <c r="K55" i="7" a="1"/>
  <c r="K55" i="7" s="1"/>
  <c r="J55" i="7" a="1"/>
  <c r="J55" i="7" s="1"/>
  <c r="I55" i="7" a="1"/>
  <c r="I55" i="7" s="1"/>
  <c r="H55" i="7" a="1"/>
  <c r="H55" i="7" s="1"/>
  <c r="G55" i="7" a="1"/>
  <c r="G55" i="7" s="1"/>
  <c r="F55" i="7" a="1"/>
  <c r="F55" i="7" s="1"/>
  <c r="E55" i="7" a="1"/>
  <c r="E55" i="7" s="1"/>
  <c r="D55" i="7" a="1"/>
  <c r="D55" i="7" s="1"/>
  <c r="C55" i="7" a="1"/>
  <c r="C55" i="7" s="1"/>
  <c r="B55" i="7" a="1"/>
  <c r="B55" i="7" s="1"/>
  <c r="N54" i="7" a="1"/>
  <c r="N54" i="7" s="1"/>
  <c r="M54" i="7" a="1"/>
  <c r="M54" i="7" s="1"/>
  <c r="L54" i="7" a="1"/>
  <c r="L54" i="7" s="1"/>
  <c r="K54" i="7" a="1"/>
  <c r="K54" i="7" s="1"/>
  <c r="J54" i="7" a="1"/>
  <c r="J54" i="7" s="1"/>
  <c r="I54" i="7" a="1"/>
  <c r="I54" i="7" s="1"/>
  <c r="H54" i="7" a="1"/>
  <c r="H54" i="7" s="1"/>
  <c r="G54" i="7" a="1"/>
  <c r="G54" i="7" s="1"/>
  <c r="F54" i="7" a="1"/>
  <c r="F54" i="7" s="1"/>
  <c r="E54" i="7" a="1"/>
  <c r="E54" i="7" s="1"/>
  <c r="D54" i="7" a="1"/>
  <c r="D54" i="7" s="1"/>
  <c r="C54" i="7" a="1"/>
  <c r="C54" i="7" s="1"/>
  <c r="B54" i="7" a="1"/>
  <c r="B54" i="7" s="1"/>
  <c r="N53" i="7" a="1"/>
  <c r="N53" i="7" s="1"/>
  <c r="M53" i="7" a="1"/>
  <c r="M53" i="7" s="1"/>
  <c r="L53" i="7" a="1"/>
  <c r="L53" i="7" s="1"/>
  <c r="K53" i="7" a="1"/>
  <c r="K53" i="7" s="1"/>
  <c r="J53" i="7" a="1"/>
  <c r="J53" i="7" s="1"/>
  <c r="I53" i="7" a="1"/>
  <c r="I53" i="7" s="1"/>
  <c r="H53" i="7" a="1"/>
  <c r="H53" i="7" s="1"/>
  <c r="G53" i="7" a="1"/>
  <c r="G53" i="7" s="1"/>
  <c r="F53" i="7" a="1"/>
  <c r="F53" i="7" s="1"/>
  <c r="E53" i="7" a="1"/>
  <c r="E53" i="7" s="1"/>
  <c r="D53" i="7" a="1"/>
  <c r="D53" i="7" s="1"/>
  <c r="C53" i="7" a="1"/>
  <c r="C53" i="7" s="1"/>
  <c r="B53" i="7" a="1"/>
  <c r="B53" i="7" s="1"/>
  <c r="N52" i="7" a="1"/>
  <c r="N52" i="7" s="1"/>
  <c r="M52" i="7" a="1"/>
  <c r="M52" i="7" s="1"/>
  <c r="L52" i="7" a="1"/>
  <c r="L52" i="7" s="1"/>
  <c r="K52" i="7" a="1"/>
  <c r="K52" i="7" s="1"/>
  <c r="J52" i="7" a="1"/>
  <c r="J52" i="7" s="1"/>
  <c r="I52" i="7" a="1"/>
  <c r="I52" i="7" s="1"/>
  <c r="H52" i="7" a="1"/>
  <c r="H52" i="7" s="1"/>
  <c r="G52" i="7" a="1"/>
  <c r="G52" i="7" s="1"/>
  <c r="F52" i="7" a="1"/>
  <c r="F52" i="7" s="1"/>
  <c r="E52" i="7" a="1"/>
  <c r="E52" i="7" s="1"/>
  <c r="D52" i="7" a="1"/>
  <c r="D52" i="7" s="1"/>
  <c r="C52" i="7" a="1"/>
  <c r="C52" i="7" s="1"/>
  <c r="B52" i="7" a="1"/>
  <c r="B52" i="7" s="1"/>
  <c r="N51" i="7" a="1"/>
  <c r="N51" i="7" s="1"/>
  <c r="M51" i="7" a="1"/>
  <c r="M51" i="7" s="1"/>
  <c r="L51" i="7" a="1"/>
  <c r="L51" i="7" s="1"/>
  <c r="K51" i="7" a="1"/>
  <c r="K51" i="7" s="1"/>
  <c r="J51" i="7" a="1"/>
  <c r="J51" i="7" s="1"/>
  <c r="I51" i="7" a="1"/>
  <c r="I51" i="7" s="1"/>
  <c r="H51" i="7" a="1"/>
  <c r="H51" i="7" s="1"/>
  <c r="G51" i="7" a="1"/>
  <c r="G51" i="7" s="1"/>
  <c r="F51" i="7" a="1"/>
  <c r="F51" i="7" s="1"/>
  <c r="E51" i="7" a="1"/>
  <c r="E51" i="7" s="1"/>
  <c r="D51" i="7" a="1"/>
  <c r="D51" i="7" s="1"/>
  <c r="C51" i="7" a="1"/>
  <c r="C51" i="7" s="1"/>
  <c r="B51" i="7" a="1"/>
  <c r="B51" i="7" s="1"/>
  <c r="N50" i="7" a="1"/>
  <c r="N50" i="7" s="1"/>
  <c r="M50" i="7" a="1"/>
  <c r="M50" i="7" s="1"/>
  <c r="L50" i="7" a="1"/>
  <c r="L50" i="7" s="1"/>
  <c r="K50" i="7" a="1"/>
  <c r="K50" i="7" s="1"/>
  <c r="J50" i="7" a="1"/>
  <c r="J50" i="7" s="1"/>
  <c r="I50" i="7" a="1"/>
  <c r="I50" i="7" s="1"/>
  <c r="H50" i="7" a="1"/>
  <c r="H50" i="7" s="1"/>
  <c r="G50" i="7" a="1"/>
  <c r="G50" i="7" s="1"/>
  <c r="F50" i="7" a="1"/>
  <c r="F50" i="7" s="1"/>
  <c r="E50" i="7" a="1"/>
  <c r="E50" i="7" s="1"/>
  <c r="D50" i="7" a="1"/>
  <c r="D50" i="7" s="1"/>
  <c r="C50" i="7" a="1"/>
  <c r="C50" i="7" s="1"/>
  <c r="B50" i="7" a="1"/>
  <c r="B50" i="7" s="1"/>
  <c r="N49" i="7" a="1"/>
  <c r="N49" i="7" s="1"/>
  <c r="M49" i="7" a="1"/>
  <c r="M49" i="7" s="1"/>
  <c r="L49" i="7" a="1"/>
  <c r="L49" i="7" s="1"/>
  <c r="K49" i="7" a="1"/>
  <c r="K49" i="7" s="1"/>
  <c r="J49" i="7" a="1"/>
  <c r="J49" i="7" s="1"/>
  <c r="I49" i="7" a="1"/>
  <c r="I49" i="7" s="1"/>
  <c r="H49" i="7" a="1"/>
  <c r="H49" i="7" s="1"/>
  <c r="G49" i="7" a="1"/>
  <c r="G49" i="7" s="1"/>
  <c r="F49" i="7" a="1"/>
  <c r="F49" i="7" s="1"/>
  <c r="E49" i="7" a="1"/>
  <c r="E49" i="7" s="1"/>
  <c r="D49" i="7" a="1"/>
  <c r="D49" i="7" s="1"/>
  <c r="C49" i="7" a="1"/>
  <c r="C49" i="7" s="1"/>
  <c r="B49" i="7" a="1"/>
  <c r="B49" i="7" s="1"/>
  <c r="N48" i="7" a="1"/>
  <c r="N48" i="7" s="1"/>
  <c r="M48" i="7" a="1"/>
  <c r="M48" i="7" s="1"/>
  <c r="L48" i="7" a="1"/>
  <c r="L48" i="7" s="1"/>
  <c r="K48" i="7" a="1"/>
  <c r="K48" i="7" s="1"/>
  <c r="J48" i="7" a="1"/>
  <c r="J48" i="7" s="1"/>
  <c r="I48" i="7" a="1"/>
  <c r="I48" i="7" s="1"/>
  <c r="H48" i="7" a="1"/>
  <c r="H48" i="7" s="1"/>
  <c r="G48" i="7" a="1"/>
  <c r="G48" i="7" s="1"/>
  <c r="F48" i="7" a="1"/>
  <c r="F48" i="7" s="1"/>
  <c r="E48" i="7" a="1"/>
  <c r="E48" i="7" s="1"/>
  <c r="D48" i="7" a="1"/>
  <c r="D48" i="7" s="1"/>
  <c r="C48" i="7" a="1"/>
  <c r="C48" i="7" s="1"/>
  <c r="B48" i="7" a="1"/>
  <c r="B48" i="7" s="1"/>
  <c r="N47" i="7" a="1"/>
  <c r="N47" i="7" s="1"/>
  <c r="M47" i="7" a="1"/>
  <c r="M47" i="7" s="1"/>
  <c r="L47" i="7" a="1"/>
  <c r="L47" i="7" s="1"/>
  <c r="K47" i="7" a="1"/>
  <c r="K47" i="7" s="1"/>
  <c r="J47" i="7" a="1"/>
  <c r="J47" i="7" s="1"/>
  <c r="I47" i="7" a="1"/>
  <c r="I47" i="7" s="1"/>
  <c r="H47" i="7" a="1"/>
  <c r="H47" i="7" s="1"/>
  <c r="G47" i="7" a="1"/>
  <c r="G47" i="7" s="1"/>
  <c r="F47" i="7" a="1"/>
  <c r="F47" i="7" s="1"/>
  <c r="E47" i="7" a="1"/>
  <c r="E47" i="7" s="1"/>
  <c r="D47" i="7" a="1"/>
  <c r="D47" i="7" s="1"/>
  <c r="C47" i="7" a="1"/>
  <c r="C47" i="7" s="1"/>
  <c r="B47" i="7" a="1"/>
  <c r="B47" i="7" s="1"/>
  <c r="N46" i="7" a="1"/>
  <c r="N46" i="7" s="1"/>
  <c r="M46" i="7" a="1"/>
  <c r="M46" i="7" s="1"/>
  <c r="L46" i="7" a="1"/>
  <c r="L46" i="7" s="1"/>
  <c r="K46" i="7" a="1"/>
  <c r="K46" i="7" s="1"/>
  <c r="J46" i="7" a="1"/>
  <c r="J46" i="7" s="1"/>
  <c r="I46" i="7" a="1"/>
  <c r="I46" i="7" s="1"/>
  <c r="H46" i="7" a="1"/>
  <c r="H46" i="7" s="1"/>
  <c r="G46" i="7" a="1"/>
  <c r="G46" i="7" s="1"/>
  <c r="F46" i="7" a="1"/>
  <c r="F46" i="7" s="1"/>
  <c r="E46" i="7" a="1"/>
  <c r="E46" i="7" s="1"/>
  <c r="D46" i="7" a="1"/>
  <c r="D46" i="7" s="1"/>
  <c r="C46" i="7" a="1"/>
  <c r="C46" i="7" s="1"/>
  <c r="B46" i="7" a="1"/>
  <c r="B46" i="7" s="1"/>
  <c r="N45" i="7" a="1"/>
  <c r="N45" i="7" s="1"/>
  <c r="M45" i="7" a="1"/>
  <c r="M45" i="7" s="1"/>
  <c r="L45" i="7" a="1"/>
  <c r="L45" i="7" s="1"/>
  <c r="K45" i="7" a="1"/>
  <c r="K45" i="7" s="1"/>
  <c r="J45" i="7" a="1"/>
  <c r="J45" i="7" s="1"/>
  <c r="I45" i="7" a="1"/>
  <c r="I45" i="7" s="1"/>
  <c r="H45" i="7" a="1"/>
  <c r="H45" i="7" s="1"/>
  <c r="G45" i="7" a="1"/>
  <c r="G45" i="7" s="1"/>
  <c r="F45" i="7" a="1"/>
  <c r="F45" i="7" s="1"/>
  <c r="E45" i="7" a="1"/>
  <c r="E45" i="7" s="1"/>
  <c r="D45" i="7" a="1"/>
  <c r="D45" i="7" s="1"/>
  <c r="C45" i="7" a="1"/>
  <c r="C45" i="7" s="1"/>
  <c r="B45" i="7" a="1"/>
  <c r="B45" i="7" s="1"/>
  <c r="N44" i="7" a="1"/>
  <c r="N44" i="7" s="1"/>
  <c r="M44" i="7" a="1"/>
  <c r="M44" i="7" s="1"/>
  <c r="L44" i="7" a="1"/>
  <c r="L44" i="7" s="1"/>
  <c r="K44" i="7" a="1"/>
  <c r="K44" i="7" s="1"/>
  <c r="J44" i="7" a="1"/>
  <c r="J44" i="7" s="1"/>
  <c r="I44" i="7" a="1"/>
  <c r="I44" i="7" s="1"/>
  <c r="H44" i="7" a="1"/>
  <c r="H44" i="7" s="1"/>
  <c r="G44" i="7" a="1"/>
  <c r="G44" i="7" s="1"/>
  <c r="F44" i="7" a="1"/>
  <c r="F44" i="7" s="1"/>
  <c r="E44" i="7" a="1"/>
  <c r="E44" i="7" s="1"/>
  <c r="D44" i="7" a="1"/>
  <c r="D44" i="7" s="1"/>
  <c r="C44" i="7" a="1"/>
  <c r="C44" i="7" s="1"/>
  <c r="B44" i="7" a="1"/>
  <c r="B44" i="7" s="1"/>
  <c r="N43" i="7" a="1"/>
  <c r="N43" i="7" s="1"/>
  <c r="M43" i="7" a="1"/>
  <c r="M43" i="7" s="1"/>
  <c r="L43" i="7" a="1"/>
  <c r="L43" i="7" s="1"/>
  <c r="K43" i="7" a="1"/>
  <c r="K43" i="7" s="1"/>
  <c r="J43" i="7" a="1"/>
  <c r="J43" i="7" s="1"/>
  <c r="I43" i="7" a="1"/>
  <c r="I43" i="7" s="1"/>
  <c r="H43" i="7" a="1"/>
  <c r="H43" i="7" s="1"/>
  <c r="G43" i="7" a="1"/>
  <c r="G43" i="7" s="1"/>
  <c r="F43" i="7" a="1"/>
  <c r="F43" i="7" s="1"/>
  <c r="E43" i="7" a="1"/>
  <c r="E43" i="7" s="1"/>
  <c r="D43" i="7" a="1"/>
  <c r="D43" i="7" s="1"/>
  <c r="C43" i="7" a="1"/>
  <c r="C43" i="7" s="1"/>
  <c r="B43" i="7" a="1"/>
  <c r="B43" i="7" s="1"/>
  <c r="N42" i="7" a="1"/>
  <c r="N42" i="7" s="1"/>
  <c r="M42" i="7" a="1"/>
  <c r="M42" i="7" s="1"/>
  <c r="L42" i="7" a="1"/>
  <c r="L42" i="7" s="1"/>
  <c r="K42" i="7" a="1"/>
  <c r="K42" i="7" s="1"/>
  <c r="J42" i="7" a="1"/>
  <c r="J42" i="7" s="1"/>
  <c r="I42" i="7" a="1"/>
  <c r="I42" i="7" s="1"/>
  <c r="H42" i="7" a="1"/>
  <c r="H42" i="7" s="1"/>
  <c r="G42" i="7" a="1"/>
  <c r="G42" i="7" s="1"/>
  <c r="F42" i="7" a="1"/>
  <c r="F42" i="7" s="1"/>
  <c r="E42" i="7" a="1"/>
  <c r="E42" i="7" s="1"/>
  <c r="D42" i="7" a="1"/>
  <c r="D42" i="7" s="1"/>
  <c r="C42" i="7" a="1"/>
  <c r="C42" i="7" s="1"/>
  <c r="B42" i="7" a="1"/>
  <c r="B42" i="7" s="1"/>
  <c r="N41" i="7" a="1"/>
  <c r="N41" i="7" s="1"/>
  <c r="M41" i="7" a="1"/>
  <c r="M41" i="7" s="1"/>
  <c r="L41" i="7" a="1"/>
  <c r="L41" i="7" s="1"/>
  <c r="K41" i="7" a="1"/>
  <c r="K41" i="7" s="1"/>
  <c r="J41" i="7" a="1"/>
  <c r="J41" i="7" s="1"/>
  <c r="I41" i="7" a="1"/>
  <c r="I41" i="7" s="1"/>
  <c r="H41" i="7" a="1"/>
  <c r="H41" i="7" s="1"/>
  <c r="G41" i="7" a="1"/>
  <c r="G41" i="7" s="1"/>
  <c r="F41" i="7" a="1"/>
  <c r="F41" i="7" s="1"/>
  <c r="E41" i="7" a="1"/>
  <c r="E41" i="7" s="1"/>
  <c r="D41" i="7" a="1"/>
  <c r="D41" i="7" s="1"/>
  <c r="C41" i="7" a="1"/>
  <c r="C41" i="7" s="1"/>
  <c r="B41" i="7" a="1"/>
  <c r="B41" i="7" s="1"/>
  <c r="N40" i="7" a="1"/>
  <c r="N40" i="7" s="1"/>
  <c r="M40" i="7" a="1"/>
  <c r="M40" i="7" s="1"/>
  <c r="L40" i="7" a="1"/>
  <c r="L40" i="7" s="1"/>
  <c r="K40" i="7" a="1"/>
  <c r="K40" i="7" s="1"/>
  <c r="J40" i="7" a="1"/>
  <c r="J40" i="7" s="1"/>
  <c r="I40" i="7" a="1"/>
  <c r="I40" i="7" s="1"/>
  <c r="H40" i="7" a="1"/>
  <c r="H40" i="7" s="1"/>
  <c r="G40" i="7" a="1"/>
  <c r="G40" i="7" s="1"/>
  <c r="F40" i="7" a="1"/>
  <c r="F40" i="7" s="1"/>
  <c r="E40" i="7" a="1"/>
  <c r="E40" i="7" s="1"/>
  <c r="D40" i="7" a="1"/>
  <c r="D40" i="7" s="1"/>
  <c r="C40" i="7" a="1"/>
  <c r="C40" i="7" s="1"/>
  <c r="B40" i="7" a="1"/>
  <c r="B40" i="7" s="1"/>
  <c r="N39" i="7" a="1"/>
  <c r="N39" i="7" s="1"/>
  <c r="M39" i="7" a="1"/>
  <c r="M39" i="7" s="1"/>
  <c r="L39" i="7" a="1"/>
  <c r="L39" i="7" s="1"/>
  <c r="K39" i="7" a="1"/>
  <c r="K39" i="7" s="1"/>
  <c r="J39" i="7" a="1"/>
  <c r="J39" i="7" s="1"/>
  <c r="I39" i="7" a="1"/>
  <c r="I39" i="7" s="1"/>
  <c r="H39" i="7" a="1"/>
  <c r="H39" i="7" s="1"/>
  <c r="G39" i="7" a="1"/>
  <c r="G39" i="7" s="1"/>
  <c r="F39" i="7" a="1"/>
  <c r="F39" i="7" s="1"/>
  <c r="E39" i="7" a="1"/>
  <c r="E39" i="7" s="1"/>
  <c r="D39" i="7" a="1"/>
  <c r="D39" i="7" s="1"/>
  <c r="C39" i="7" a="1"/>
  <c r="C39" i="7" s="1"/>
  <c r="B39" i="7" a="1"/>
  <c r="B39" i="7" s="1"/>
  <c r="N38" i="7" a="1"/>
  <c r="N38" i="7" s="1"/>
  <c r="M38" i="7" a="1"/>
  <c r="M38" i="7" s="1"/>
  <c r="L38" i="7" a="1"/>
  <c r="L38" i="7" s="1"/>
  <c r="K38" i="7" a="1"/>
  <c r="K38" i="7" s="1"/>
  <c r="J38" i="7" a="1"/>
  <c r="J38" i="7" s="1"/>
  <c r="I38" i="7" a="1"/>
  <c r="I38" i="7" s="1"/>
  <c r="H38" i="7" a="1"/>
  <c r="H38" i="7" s="1"/>
  <c r="G38" i="7" a="1"/>
  <c r="G38" i="7" s="1"/>
  <c r="F38" i="7" a="1"/>
  <c r="F38" i="7" s="1"/>
  <c r="E38" i="7" a="1"/>
  <c r="E38" i="7" s="1"/>
  <c r="D38" i="7" a="1"/>
  <c r="D38" i="7" s="1"/>
  <c r="C38" i="7" a="1"/>
  <c r="C38" i="7" s="1"/>
  <c r="B38" i="7" a="1"/>
  <c r="B38" i="7" s="1"/>
  <c r="N37" i="7" a="1"/>
  <c r="N37" i="7" s="1"/>
  <c r="M37" i="7" a="1"/>
  <c r="M37" i="7" s="1"/>
  <c r="L37" i="7" a="1"/>
  <c r="L37" i="7" s="1"/>
  <c r="K37" i="7" a="1"/>
  <c r="K37" i="7" s="1"/>
  <c r="J37" i="7" a="1"/>
  <c r="J37" i="7" s="1"/>
  <c r="I37" i="7" a="1"/>
  <c r="I37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C37" i="7" a="1"/>
  <c r="C37" i="7" s="1"/>
  <c r="B37" i="7" a="1"/>
  <c r="B37" i="7" s="1"/>
  <c r="N36" i="7" a="1"/>
  <c r="N36" i="7" s="1"/>
  <c r="M36" i="7" a="1"/>
  <c r="M36" i="7" s="1"/>
  <c r="L36" i="7" a="1"/>
  <c r="L36" i="7" s="1"/>
  <c r="K36" i="7" a="1"/>
  <c r="K36" i="7" s="1"/>
  <c r="J36" i="7" a="1"/>
  <c r="J36" i="7" s="1"/>
  <c r="I36" i="7" a="1"/>
  <c r="I36" i="7" s="1"/>
  <c r="H36" i="7" a="1"/>
  <c r="H36" i="7" s="1"/>
  <c r="G36" i="7" a="1"/>
  <c r="G36" i="7" s="1"/>
  <c r="F36" i="7" a="1"/>
  <c r="F36" i="7" s="1"/>
  <c r="E36" i="7" a="1"/>
  <c r="E36" i="7" s="1"/>
  <c r="D36" i="7" a="1"/>
  <c r="D36" i="7" s="1"/>
  <c r="C36" i="7" a="1"/>
  <c r="C36" i="7" s="1"/>
  <c r="B36" i="7" a="1"/>
  <c r="B36" i="7" s="1"/>
  <c r="N35" i="7" a="1"/>
  <c r="N35" i="7" s="1"/>
  <c r="M35" i="7" a="1"/>
  <c r="M35" i="7" s="1"/>
  <c r="L35" i="7" a="1"/>
  <c r="L35" i="7" s="1"/>
  <c r="K35" i="7" a="1"/>
  <c r="K35" i="7" s="1"/>
  <c r="J35" i="7" a="1"/>
  <c r="J35" i="7" s="1"/>
  <c r="I35" i="7" a="1"/>
  <c r="I35" i="7" s="1"/>
  <c r="H35" i="7" a="1"/>
  <c r="H35" i="7" s="1"/>
  <c r="G35" i="7" a="1"/>
  <c r="G35" i="7" s="1"/>
  <c r="F35" i="7" a="1"/>
  <c r="F35" i="7" s="1"/>
  <c r="E35" i="7" a="1"/>
  <c r="E35" i="7" s="1"/>
  <c r="D35" i="7" a="1"/>
  <c r="D35" i="7" s="1"/>
  <c r="C35" i="7" a="1"/>
  <c r="C35" i="7" s="1"/>
  <c r="B35" i="7" a="1"/>
  <c r="B35" i="7" s="1"/>
  <c r="N34" i="7" a="1"/>
  <c r="N34" i="7" s="1"/>
  <c r="M34" i="7" a="1"/>
  <c r="M34" i="7" s="1"/>
  <c r="L34" i="7" a="1"/>
  <c r="L34" i="7" s="1"/>
  <c r="K34" i="7" a="1"/>
  <c r="K34" i="7" s="1"/>
  <c r="J34" i="7" a="1"/>
  <c r="J34" i="7" s="1"/>
  <c r="I34" i="7" a="1"/>
  <c r="I34" i="7" s="1"/>
  <c r="H34" i="7" a="1"/>
  <c r="H34" i="7" s="1"/>
  <c r="G34" i="7" a="1"/>
  <c r="G34" i="7" s="1"/>
  <c r="F34" i="7" a="1"/>
  <c r="F34" i="7" s="1"/>
  <c r="E34" i="7" a="1"/>
  <c r="E34" i="7" s="1"/>
  <c r="D34" i="7" a="1"/>
  <c r="D34" i="7" s="1"/>
  <c r="C34" i="7" a="1"/>
  <c r="C34" i="7" s="1"/>
  <c r="B34" i="7" a="1"/>
  <c r="B34" i="7" s="1"/>
  <c r="N33" i="7" a="1"/>
  <c r="N33" i="7" s="1"/>
  <c r="M33" i="7" a="1"/>
  <c r="M33" i="7" s="1"/>
  <c r="L33" i="7" a="1"/>
  <c r="L33" i="7" s="1"/>
  <c r="K33" i="7" a="1"/>
  <c r="K33" i="7" s="1"/>
  <c r="J33" i="7" a="1"/>
  <c r="J33" i="7" s="1"/>
  <c r="I33" i="7" a="1"/>
  <c r="I33" i="7" s="1"/>
  <c r="H33" i="7" a="1"/>
  <c r="H33" i="7" s="1"/>
  <c r="G33" i="7" a="1"/>
  <c r="G33" i="7" s="1"/>
  <c r="F33" i="7" a="1"/>
  <c r="F33" i="7" s="1"/>
  <c r="E33" i="7" a="1"/>
  <c r="E33" i="7" s="1"/>
  <c r="D33" i="7" a="1"/>
  <c r="D33" i="7" s="1"/>
  <c r="C33" i="7" a="1"/>
  <c r="C33" i="7" s="1"/>
  <c r="B33" i="7" a="1"/>
  <c r="B33" i="7" s="1"/>
  <c r="N32" i="7" a="1"/>
  <c r="N32" i="7" s="1"/>
  <c r="M32" i="7" a="1"/>
  <c r="M32" i="7" s="1"/>
  <c r="L32" i="7" a="1"/>
  <c r="L32" i="7" s="1"/>
  <c r="K32" i="7" a="1"/>
  <c r="K32" i="7" s="1"/>
  <c r="J32" i="7" a="1"/>
  <c r="J32" i="7" s="1"/>
  <c r="I32" i="7" a="1"/>
  <c r="I32" i="7" s="1"/>
  <c r="H32" i="7" a="1"/>
  <c r="H32" i="7" s="1"/>
  <c r="G32" i="7" a="1"/>
  <c r="G32" i="7" s="1"/>
  <c r="F32" i="7" a="1"/>
  <c r="F32" i="7" s="1"/>
  <c r="E32" i="7" a="1"/>
  <c r="E32" i="7" s="1"/>
  <c r="D32" i="7" a="1"/>
  <c r="D32" i="7" s="1"/>
  <c r="C32" i="7" a="1"/>
  <c r="C32" i="7" s="1"/>
  <c r="B32" i="7" a="1"/>
  <c r="B32" i="7" s="1"/>
  <c r="D94" i="6" a="1"/>
  <c r="D94" i="6" s="1"/>
  <c r="M79" i="6" a="1"/>
  <c r="M79" i="6" s="1"/>
  <c r="M94" i="6" a="1"/>
  <c r="M94" i="6" s="1"/>
  <c r="D85" i="6" a="1"/>
  <c r="D85" i="6" s="1"/>
  <c r="R97" i="6"/>
  <c r="R99" i="6" s="1"/>
  <c r="R96" i="6"/>
  <c r="Q97" i="6"/>
  <c r="Q99" i="6" s="1"/>
  <c r="Q96" i="6"/>
  <c r="P97" i="6"/>
  <c r="P99" i="6" s="1"/>
  <c r="P96" i="6"/>
  <c r="O77" i="6" a="1"/>
  <c r="O77" i="6" s="1"/>
  <c r="O86" i="6" a="1"/>
  <c r="O86" i="6" s="1"/>
  <c r="O99" i="6"/>
  <c r="N99" i="6"/>
  <c r="M99" i="6"/>
  <c r="L99" i="6"/>
  <c r="K99" i="6"/>
  <c r="J99" i="6"/>
  <c r="I99" i="6"/>
  <c r="H99" i="6"/>
  <c r="G99" i="6"/>
  <c r="F99" i="6"/>
  <c r="E99" i="6"/>
  <c r="D99" i="6"/>
  <c r="C99" i="6"/>
  <c r="B99" i="6"/>
  <c r="N84" i="6" a="1"/>
  <c r="N84" i="6" s="1"/>
  <c r="B84" i="6" a="1"/>
  <c r="B84" i="6"/>
  <c r="B93" i="6" a="1"/>
  <c r="B93" i="6" s="1"/>
  <c r="B85" i="6" a="1"/>
  <c r="B85" i="6"/>
  <c r="O94" i="6" a="1"/>
  <c r="O94" i="6" s="1"/>
  <c r="N94" i="6" a="1"/>
  <c r="N94" i="6" s="1"/>
  <c r="L94" i="6" a="1"/>
  <c r="L94" i="6" s="1"/>
  <c r="K94" i="6" a="1"/>
  <c r="K94" i="6" s="1"/>
  <c r="J94" i="6"/>
  <c r="J94" i="6" a="1"/>
  <c r="I94" i="6"/>
  <c r="I94" i="6" a="1"/>
  <c r="H94" i="6" a="1"/>
  <c r="H94" i="6" s="1"/>
  <c r="G94" i="6" a="1"/>
  <c r="G94" i="6" s="1"/>
  <c r="F94" i="6" a="1"/>
  <c r="F94" i="6" s="1"/>
  <c r="E94" i="6" a="1"/>
  <c r="E94" i="6" s="1"/>
  <c r="C94" i="6" a="1"/>
  <c r="C94" i="6" s="1"/>
  <c r="B94" i="6" a="1"/>
  <c r="B94" i="6" s="1"/>
  <c r="O93" i="6" a="1"/>
  <c r="O93" i="6" s="1"/>
  <c r="N93" i="6"/>
  <c r="N93" i="6" a="1"/>
  <c r="M93" i="6"/>
  <c r="M93" i="6" a="1"/>
  <c r="L93" i="6" a="1"/>
  <c r="L93" i="6" s="1"/>
  <c r="K93" i="6" a="1"/>
  <c r="K93" i="6" s="1"/>
  <c r="J93" i="6" a="1"/>
  <c r="J93" i="6" s="1"/>
  <c r="I93" i="6" a="1"/>
  <c r="I93" i="6" s="1"/>
  <c r="H93" i="6" a="1"/>
  <c r="H93" i="6" s="1"/>
  <c r="G93" i="6" a="1"/>
  <c r="G93" i="6" s="1"/>
  <c r="F93" i="6" a="1"/>
  <c r="F93" i="6" s="1"/>
  <c r="E93" i="6" a="1"/>
  <c r="E93" i="6" s="1"/>
  <c r="D93" i="6"/>
  <c r="D93" i="6" a="1"/>
  <c r="C93" i="6"/>
  <c r="C93" i="6" a="1"/>
  <c r="O92" i="6" a="1"/>
  <c r="O92" i="6" s="1"/>
  <c r="N92" i="6" a="1"/>
  <c r="N92" i="6" s="1"/>
  <c r="M92" i="6" a="1"/>
  <c r="M92" i="6" s="1"/>
  <c r="L92" i="6" a="1"/>
  <c r="L92" i="6" s="1"/>
  <c r="K92" i="6" a="1"/>
  <c r="K92" i="6" s="1"/>
  <c r="J92" i="6" a="1"/>
  <c r="J92" i="6" s="1"/>
  <c r="I92" i="6" a="1"/>
  <c r="I92" i="6" s="1"/>
  <c r="H92" i="6"/>
  <c r="H92" i="6" a="1"/>
  <c r="G92" i="6"/>
  <c r="G92" i="6" a="1"/>
  <c r="F92" i="6" a="1"/>
  <c r="F92" i="6" s="1"/>
  <c r="E92" i="6" a="1"/>
  <c r="E92" i="6" s="1"/>
  <c r="D92" i="6" a="1"/>
  <c r="D92" i="6" s="1"/>
  <c r="C92" i="6" a="1"/>
  <c r="C92" i="6" s="1"/>
  <c r="B92" i="6" a="1"/>
  <c r="B92" i="6" s="1"/>
  <c r="O91" i="6" a="1"/>
  <c r="O91" i="6" s="1"/>
  <c r="N91" i="6" a="1"/>
  <c r="N91" i="6" s="1"/>
  <c r="M91" i="6" a="1"/>
  <c r="M91" i="6" s="1"/>
  <c r="L91" i="6"/>
  <c r="L91" i="6" a="1"/>
  <c r="K91" i="6"/>
  <c r="K91" i="6" a="1"/>
  <c r="J91" i="6" a="1"/>
  <c r="J91" i="6" s="1"/>
  <c r="I91" i="6" a="1"/>
  <c r="I91" i="6" s="1"/>
  <c r="H91" i="6" a="1"/>
  <c r="H91" i="6" s="1"/>
  <c r="G91" i="6" a="1"/>
  <c r="G91" i="6" s="1"/>
  <c r="F91" i="6" a="1"/>
  <c r="F91" i="6" s="1"/>
  <c r="E91" i="6" a="1"/>
  <c r="E91" i="6" s="1"/>
  <c r="D91" i="6" a="1"/>
  <c r="D91" i="6" s="1"/>
  <c r="C91" i="6" a="1"/>
  <c r="C91" i="6" s="1"/>
  <c r="B91" i="6"/>
  <c r="B91" i="6" a="1"/>
  <c r="O90" i="6"/>
  <c r="O90" i="6" a="1"/>
  <c r="N90" i="6" a="1"/>
  <c r="N90" i="6" s="1"/>
  <c r="M90" i="6" a="1"/>
  <c r="M90" i="6" s="1"/>
  <c r="L90" i="6" a="1"/>
  <c r="L90" i="6" s="1"/>
  <c r="K90" i="6" a="1"/>
  <c r="K90" i="6" s="1"/>
  <c r="J90" i="6" a="1"/>
  <c r="J90" i="6" s="1"/>
  <c r="I90" i="6" a="1"/>
  <c r="I90" i="6" s="1"/>
  <c r="H90" i="6" a="1"/>
  <c r="H90" i="6" s="1"/>
  <c r="G90" i="6" a="1"/>
  <c r="G90" i="6" s="1"/>
  <c r="F90" i="6"/>
  <c r="F90" i="6" a="1"/>
  <c r="E90" i="6"/>
  <c r="E90" i="6" a="1"/>
  <c r="D90" i="6" a="1"/>
  <c r="D90" i="6" s="1"/>
  <c r="C90" i="6" a="1"/>
  <c r="C90" i="6" s="1"/>
  <c r="B90" i="6" a="1"/>
  <c r="B90" i="6" s="1"/>
  <c r="O89" i="6" a="1"/>
  <c r="O89" i="6" s="1"/>
  <c r="N89" i="6" a="1"/>
  <c r="N89" i="6" s="1"/>
  <c r="M89" i="6" a="1"/>
  <c r="M89" i="6" s="1"/>
  <c r="L89" i="6" a="1"/>
  <c r="L89" i="6" s="1"/>
  <c r="K89" i="6" a="1"/>
  <c r="K89" i="6" s="1"/>
  <c r="J89" i="6"/>
  <c r="J89" i="6" a="1"/>
  <c r="I89" i="6"/>
  <c r="I89" i="6" a="1"/>
  <c r="H89" i="6" a="1"/>
  <c r="H89" i="6" s="1"/>
  <c r="G89" i="6" a="1"/>
  <c r="G89" i="6" s="1"/>
  <c r="F89" i="6" a="1"/>
  <c r="F89" i="6" s="1"/>
  <c r="E89" i="6" a="1"/>
  <c r="E89" i="6" s="1"/>
  <c r="D89" i="6" a="1"/>
  <c r="D89" i="6" s="1"/>
  <c r="C89" i="6" a="1"/>
  <c r="C89" i="6" s="1"/>
  <c r="B89" i="6" a="1"/>
  <c r="B89" i="6" s="1"/>
  <c r="O88" i="6" a="1"/>
  <c r="O88" i="6" s="1"/>
  <c r="N88" i="6"/>
  <c r="N88" i="6" a="1"/>
  <c r="M88" i="6"/>
  <c r="M88" i="6" a="1"/>
  <c r="L88" i="6" a="1"/>
  <c r="L88" i="6" s="1"/>
  <c r="K88" i="6" a="1"/>
  <c r="K88" i="6" s="1"/>
  <c r="J88" i="6" a="1"/>
  <c r="J88" i="6" s="1"/>
  <c r="I88" i="6" a="1"/>
  <c r="I88" i="6" s="1"/>
  <c r="H88" i="6" a="1"/>
  <c r="H88" i="6" s="1"/>
  <c r="G88" i="6" a="1"/>
  <c r="G88" i="6" s="1"/>
  <c r="F88" i="6" a="1"/>
  <c r="F88" i="6" s="1"/>
  <c r="E88" i="6" a="1"/>
  <c r="E88" i="6" s="1"/>
  <c r="D88" i="6"/>
  <c r="D88" i="6" a="1"/>
  <c r="C88" i="6"/>
  <c r="C88" i="6" a="1"/>
  <c r="B88" i="6" a="1"/>
  <c r="B88" i="6" s="1"/>
  <c r="O87" i="6" a="1"/>
  <c r="O87" i="6" s="1"/>
  <c r="N87" i="6" a="1"/>
  <c r="N87" i="6" s="1"/>
  <c r="M87" i="6" a="1"/>
  <c r="M87" i="6" s="1"/>
  <c r="L87" i="6" a="1"/>
  <c r="L87" i="6" s="1"/>
  <c r="K87" i="6" a="1"/>
  <c r="K87" i="6" s="1"/>
  <c r="J87" i="6" a="1"/>
  <c r="J87" i="6" s="1"/>
  <c r="I87" i="6" a="1"/>
  <c r="I87" i="6" s="1"/>
  <c r="H87" i="6"/>
  <c r="H87" i="6" a="1"/>
  <c r="G87" i="6"/>
  <c r="G87" i="6" a="1"/>
  <c r="F87" i="6" a="1"/>
  <c r="F87" i="6" s="1"/>
  <c r="E87" i="6" a="1"/>
  <c r="E87" i="6" s="1"/>
  <c r="D87" i="6" a="1"/>
  <c r="D87" i="6" s="1"/>
  <c r="C87" i="6" a="1"/>
  <c r="C87" i="6" s="1"/>
  <c r="B87" i="6" a="1"/>
  <c r="B87" i="6" s="1"/>
  <c r="N86" i="6" a="1"/>
  <c r="N86" i="6" s="1"/>
  <c r="M86" i="6" a="1"/>
  <c r="M86" i="6" s="1"/>
  <c r="L86" i="6"/>
  <c r="L86" i="6" a="1"/>
  <c r="K86" i="6" a="1"/>
  <c r="K86" i="6" s="1"/>
  <c r="J86" i="6" a="1"/>
  <c r="J86" i="6" s="1"/>
  <c r="I86" i="6" a="1"/>
  <c r="I86" i="6" s="1"/>
  <c r="H86" i="6" a="1"/>
  <c r="H86" i="6" s="1"/>
  <c r="G86" i="6" a="1"/>
  <c r="G86" i="6" s="1"/>
  <c r="F86" i="6" a="1"/>
  <c r="F86" i="6" s="1"/>
  <c r="E86" i="6" a="1"/>
  <c r="E86" i="6" s="1"/>
  <c r="D86" i="6" a="1"/>
  <c r="D86" i="6" s="1"/>
  <c r="C86" i="6" a="1"/>
  <c r="C86" i="6" s="1"/>
  <c r="B86" i="6"/>
  <c r="B86" i="6" a="1"/>
  <c r="O85" i="6" a="1"/>
  <c r="O85" i="6" s="1"/>
  <c r="N85" i="6" a="1"/>
  <c r="N85" i="6" s="1"/>
  <c r="M85" i="6" a="1"/>
  <c r="M85" i="6" s="1"/>
  <c r="L85" i="6" a="1"/>
  <c r="L85" i="6" s="1"/>
  <c r="K85" i="6" a="1"/>
  <c r="K85" i="6" s="1"/>
  <c r="J85" i="6" a="1"/>
  <c r="J85" i="6" s="1"/>
  <c r="I85" i="6" a="1"/>
  <c r="I85" i="6" s="1"/>
  <c r="H85" i="6" a="1"/>
  <c r="H85" i="6" s="1"/>
  <c r="G85" i="6" a="1"/>
  <c r="G85" i="6" s="1"/>
  <c r="F85" i="6"/>
  <c r="F85" i="6" a="1"/>
  <c r="E85" i="6" a="1"/>
  <c r="E85" i="6" s="1"/>
  <c r="C85" i="6" a="1"/>
  <c r="C85" i="6" s="1"/>
  <c r="O84" i="6" a="1"/>
  <c r="O84" i="6" s="1"/>
  <c r="M84" i="6" a="1"/>
  <c r="M84" i="6" s="1"/>
  <c r="L84" i="6" a="1"/>
  <c r="L84" i="6" s="1"/>
  <c r="K84" i="6" a="1"/>
  <c r="K84" i="6" s="1"/>
  <c r="J84" i="6"/>
  <c r="J84" i="6" a="1"/>
  <c r="I84" i="6" a="1"/>
  <c r="I84" i="6" s="1"/>
  <c r="H84" i="6" a="1"/>
  <c r="H84" i="6" s="1"/>
  <c r="G84" i="6" a="1"/>
  <c r="G84" i="6" s="1"/>
  <c r="F84" i="6" a="1"/>
  <c r="F84" i="6" s="1"/>
  <c r="E84" i="6" a="1"/>
  <c r="E84" i="6" s="1"/>
  <c r="D84" i="6" a="1"/>
  <c r="D84" i="6" s="1"/>
  <c r="C84" i="6" a="1"/>
  <c r="C84" i="6" s="1"/>
  <c r="O83" i="6" a="1"/>
  <c r="O83" i="6" s="1"/>
  <c r="N83" i="6"/>
  <c r="N83" i="6" a="1"/>
  <c r="M83" i="6" a="1"/>
  <c r="M83" i="6" s="1"/>
  <c r="L83" i="6" a="1"/>
  <c r="L83" i="6" s="1"/>
  <c r="K83" i="6" a="1"/>
  <c r="K83" i="6" s="1"/>
  <c r="J83" i="6" a="1"/>
  <c r="J83" i="6" s="1"/>
  <c r="I83" i="6" a="1"/>
  <c r="I83" i="6" s="1"/>
  <c r="H83" i="6" a="1"/>
  <c r="H83" i="6" s="1"/>
  <c r="G83" i="6" a="1"/>
  <c r="G83" i="6" s="1"/>
  <c r="F83" i="6" a="1"/>
  <c r="F83" i="6" s="1"/>
  <c r="E83" i="6" a="1"/>
  <c r="E83" i="6" s="1"/>
  <c r="D83" i="6"/>
  <c r="D83" i="6" a="1"/>
  <c r="C83" i="6" a="1"/>
  <c r="C83" i="6" s="1"/>
  <c r="B83" i="6" a="1"/>
  <c r="B83" i="6" s="1"/>
  <c r="O82" i="6" a="1"/>
  <c r="O82" i="6" s="1"/>
  <c r="N82" i="6" a="1"/>
  <c r="N82" i="6" s="1"/>
  <c r="M82" i="6" a="1"/>
  <c r="M82" i="6" s="1"/>
  <c r="L82" i="6" a="1"/>
  <c r="L82" i="6" s="1"/>
  <c r="K82" i="6" a="1"/>
  <c r="K82" i="6" s="1"/>
  <c r="J82" i="6" a="1"/>
  <c r="J82" i="6" s="1"/>
  <c r="I82" i="6" a="1"/>
  <c r="I82" i="6" s="1"/>
  <c r="H82" i="6"/>
  <c r="H82" i="6" a="1"/>
  <c r="G82" i="6" a="1"/>
  <c r="G82" i="6" s="1"/>
  <c r="F82" i="6" a="1"/>
  <c r="F82" i="6" s="1"/>
  <c r="E82" i="6" a="1"/>
  <c r="E82" i="6" s="1"/>
  <c r="D82" i="6" a="1"/>
  <c r="D82" i="6" s="1"/>
  <c r="C82" i="6" a="1"/>
  <c r="C82" i="6" s="1"/>
  <c r="B82" i="6" a="1"/>
  <c r="B82" i="6" s="1"/>
  <c r="O81" i="6" a="1"/>
  <c r="O81" i="6" s="1"/>
  <c r="N81" i="6" a="1"/>
  <c r="N81" i="6" s="1"/>
  <c r="M81" i="6" a="1"/>
  <c r="M81" i="6" s="1"/>
  <c r="L81" i="6"/>
  <c r="L81" i="6" a="1"/>
  <c r="K81" i="6" a="1"/>
  <c r="K81" i="6" s="1"/>
  <c r="J81" i="6" a="1"/>
  <c r="J81" i="6" s="1"/>
  <c r="I81" i="6" a="1"/>
  <c r="I81" i="6" s="1"/>
  <c r="H81" i="6" a="1"/>
  <c r="H81" i="6" s="1"/>
  <c r="G81" i="6" a="1"/>
  <c r="G81" i="6" s="1"/>
  <c r="F81" i="6" a="1"/>
  <c r="F81" i="6" s="1"/>
  <c r="E81" i="6" a="1"/>
  <c r="E81" i="6" s="1"/>
  <c r="D81" i="6" a="1"/>
  <c r="D81" i="6" s="1"/>
  <c r="C81" i="6" a="1"/>
  <c r="C81" i="6" s="1"/>
  <c r="B81" i="6"/>
  <c r="B81" i="6" a="1"/>
  <c r="O80" i="6" a="1"/>
  <c r="O80" i="6" s="1"/>
  <c r="N80" i="6" a="1"/>
  <c r="N80" i="6" s="1"/>
  <c r="M80" i="6" a="1"/>
  <c r="M80" i="6" s="1"/>
  <c r="L80" i="6" a="1"/>
  <c r="L80" i="6" s="1"/>
  <c r="K80" i="6" a="1"/>
  <c r="K80" i="6" s="1"/>
  <c r="J80" i="6" a="1"/>
  <c r="J80" i="6" s="1"/>
  <c r="I80" i="6" a="1"/>
  <c r="I80" i="6" s="1"/>
  <c r="H80" i="6" a="1"/>
  <c r="H80" i="6" s="1"/>
  <c r="G80" i="6" a="1"/>
  <c r="G80" i="6" s="1"/>
  <c r="F80" i="6"/>
  <c r="F80" i="6" a="1"/>
  <c r="E80" i="6" a="1"/>
  <c r="E80" i="6" s="1"/>
  <c r="D80" i="6" a="1"/>
  <c r="D80" i="6" s="1"/>
  <c r="C80" i="6" a="1"/>
  <c r="C80" i="6" s="1"/>
  <c r="B80" i="6" a="1"/>
  <c r="B80" i="6" s="1"/>
  <c r="O79" i="6" a="1"/>
  <c r="O79" i="6" s="1"/>
  <c r="N79" i="6" a="1"/>
  <c r="N79" i="6" s="1"/>
  <c r="L79" i="6" a="1"/>
  <c r="L79" i="6" s="1"/>
  <c r="K79" i="6" a="1"/>
  <c r="K79" i="6" s="1"/>
  <c r="J79" i="6"/>
  <c r="J79" i="6" a="1"/>
  <c r="I79" i="6" a="1"/>
  <c r="I79" i="6" s="1"/>
  <c r="H79" i="6" a="1"/>
  <c r="H79" i="6" s="1"/>
  <c r="G79" i="6" a="1"/>
  <c r="G79" i="6" s="1"/>
  <c r="F79" i="6" a="1"/>
  <c r="F79" i="6" s="1"/>
  <c r="E79" i="6" a="1"/>
  <c r="E79" i="6" s="1"/>
  <c r="D79" i="6" a="1"/>
  <c r="D79" i="6" s="1"/>
  <c r="C79" i="6" a="1"/>
  <c r="C79" i="6" s="1"/>
  <c r="B79" i="6" a="1"/>
  <c r="B79" i="6" s="1"/>
  <c r="O78" i="6" a="1"/>
  <c r="O78" i="6" s="1"/>
  <c r="N78" i="6"/>
  <c r="N78" i="6" a="1"/>
  <c r="M78" i="6" a="1"/>
  <c r="M78" i="6" s="1"/>
  <c r="L78" i="6" a="1"/>
  <c r="L78" i="6" s="1"/>
  <c r="K78" i="6" a="1"/>
  <c r="K78" i="6" s="1"/>
  <c r="J78" i="6" a="1"/>
  <c r="J78" i="6" s="1"/>
  <c r="I78" i="6" a="1"/>
  <c r="I78" i="6" s="1"/>
  <c r="H78" i="6" a="1"/>
  <c r="H78" i="6" s="1"/>
  <c r="G78" i="6" a="1"/>
  <c r="G78" i="6" s="1"/>
  <c r="F78" i="6" a="1"/>
  <c r="F78" i="6" s="1"/>
  <c r="E78" i="6" a="1"/>
  <c r="E78" i="6" s="1"/>
  <c r="D78" i="6"/>
  <c r="D78" i="6" a="1"/>
  <c r="C78" i="6" a="1"/>
  <c r="C78" i="6" s="1"/>
  <c r="B78" i="6" a="1"/>
  <c r="B78" i="6" s="1"/>
  <c r="N77" i="6" a="1"/>
  <c r="N77" i="6" s="1"/>
  <c r="M77" i="6" a="1"/>
  <c r="M77" i="6" s="1"/>
  <c r="L77" i="6" a="1"/>
  <c r="L77" i="6" s="1"/>
  <c r="K77" i="6" a="1"/>
  <c r="K77" i="6" s="1"/>
  <c r="J77" i="6" a="1"/>
  <c r="J77" i="6" s="1"/>
  <c r="I77" i="6" a="1"/>
  <c r="I77" i="6" s="1"/>
  <c r="H77" i="6"/>
  <c r="H77" i="6" a="1"/>
  <c r="G77" i="6" a="1"/>
  <c r="G77" i="6" s="1"/>
  <c r="F77" i="6" a="1"/>
  <c r="F77" i="6" s="1"/>
  <c r="E77" i="6" a="1"/>
  <c r="E77" i="6" s="1"/>
  <c r="D77" i="6" a="1"/>
  <c r="D77" i="6" s="1"/>
  <c r="C77" i="6" a="1"/>
  <c r="C77" i="6" s="1"/>
  <c r="B77" i="6" a="1"/>
  <c r="B77" i="6" s="1"/>
  <c r="O76" i="6" a="1"/>
  <c r="O76" i="6" s="1"/>
  <c r="N76" i="6" a="1"/>
  <c r="N76" i="6" s="1"/>
  <c r="M76" i="6" a="1"/>
  <c r="M76" i="6" s="1"/>
  <c r="L76" i="6"/>
  <c r="L76" i="6" a="1"/>
  <c r="K76" i="6" a="1"/>
  <c r="K76" i="6" s="1"/>
  <c r="J76" i="6" a="1"/>
  <c r="J76" i="6" s="1"/>
  <c r="I76" i="6" a="1"/>
  <c r="I76" i="6" s="1"/>
  <c r="H76" i="6" a="1"/>
  <c r="H76" i="6" s="1"/>
  <c r="G76" i="6" a="1"/>
  <c r="G76" i="6" s="1"/>
  <c r="F76" i="6" a="1"/>
  <c r="F76" i="6" s="1"/>
  <c r="E76" i="6" a="1"/>
  <c r="E76" i="6" s="1"/>
  <c r="D76" i="6" a="1"/>
  <c r="D76" i="6" s="1"/>
  <c r="C76" i="6" a="1"/>
  <c r="C76" i="6" s="1"/>
  <c r="B76" i="6"/>
  <c r="B76" i="6" a="1"/>
  <c r="O75" i="6" a="1"/>
  <c r="O75" i="6" s="1"/>
  <c r="N75" i="6" a="1"/>
  <c r="N75" i="6" s="1"/>
  <c r="M75" i="6" a="1"/>
  <c r="M75" i="6" s="1"/>
  <c r="L75" i="6" a="1"/>
  <c r="L75" i="6" s="1"/>
  <c r="K75" i="6" a="1"/>
  <c r="K75" i="6" s="1"/>
  <c r="J75" i="6" a="1"/>
  <c r="J75" i="6" s="1"/>
  <c r="I75" i="6" a="1"/>
  <c r="I75" i="6" s="1"/>
  <c r="H75" i="6" a="1"/>
  <c r="H75" i="6" s="1"/>
  <c r="G75" i="6" a="1"/>
  <c r="G75" i="6" s="1"/>
  <c r="F75" i="6"/>
  <c r="F75" i="6" a="1"/>
  <c r="E75" i="6" a="1"/>
  <c r="E75" i="6" s="1"/>
  <c r="D75" i="6" a="1"/>
  <c r="D75" i="6" s="1"/>
  <c r="C75" i="6" a="1"/>
  <c r="C75" i="6" s="1"/>
  <c r="B75" i="6" a="1"/>
  <c r="B75" i="6" s="1"/>
  <c r="O74" i="6" a="1"/>
  <c r="O74" i="6" s="1"/>
  <c r="N74" i="6" a="1"/>
  <c r="N74" i="6" s="1"/>
  <c r="M74" i="6" a="1"/>
  <c r="M74" i="6" s="1"/>
  <c r="L74" i="6" a="1"/>
  <c r="L74" i="6" s="1"/>
  <c r="K74" i="6" a="1"/>
  <c r="K74" i="6" s="1"/>
  <c r="J74" i="6"/>
  <c r="J74" i="6" a="1"/>
  <c r="I74" i="6" a="1"/>
  <c r="I74" i="6" s="1"/>
  <c r="H74" i="6" a="1"/>
  <c r="H74" i="6" s="1"/>
  <c r="G74" i="6" a="1"/>
  <c r="G74" i="6" s="1"/>
  <c r="F74" i="6" a="1"/>
  <c r="F74" i="6" s="1"/>
  <c r="E74" i="6" a="1"/>
  <c r="E74" i="6" s="1"/>
  <c r="D74" i="6" a="1"/>
  <c r="D74" i="6" s="1"/>
  <c r="C74" i="6" a="1"/>
  <c r="C74" i="6" s="1"/>
  <c r="B74" i="6" a="1"/>
  <c r="B74" i="6" s="1"/>
  <c r="O73" i="6" a="1"/>
  <c r="O73" i="6" s="1"/>
  <c r="N73" i="6"/>
  <c r="N73" i="6" a="1"/>
  <c r="M73" i="6" a="1"/>
  <c r="M73" i="6" s="1"/>
  <c r="L73" i="6" a="1"/>
  <c r="L73" i="6" s="1"/>
  <c r="K73" i="6" a="1"/>
  <c r="K73" i="6" s="1"/>
  <c r="J73" i="6" a="1"/>
  <c r="J73" i="6" s="1"/>
  <c r="I73" i="6" a="1"/>
  <c r="I73" i="6" s="1"/>
  <c r="H73" i="6" a="1"/>
  <c r="H73" i="6" s="1"/>
  <c r="G73" i="6" a="1"/>
  <c r="G73" i="6" s="1"/>
  <c r="F73" i="6" a="1"/>
  <c r="F73" i="6" s="1"/>
  <c r="E73" i="6" a="1"/>
  <c r="E73" i="6" s="1"/>
  <c r="D73" i="6"/>
  <c r="D73" i="6" a="1"/>
  <c r="C73" i="6" a="1"/>
  <c r="C73" i="6" s="1"/>
  <c r="B73" i="6" a="1"/>
  <c r="B73" i="6" s="1"/>
  <c r="O72" i="6" a="1"/>
  <c r="O72" i="6" s="1"/>
  <c r="N72" i="6" a="1"/>
  <c r="N72" i="6" s="1"/>
  <c r="M72" i="6" a="1"/>
  <c r="M72" i="6" s="1"/>
  <c r="L72" i="6" a="1"/>
  <c r="L72" i="6" s="1"/>
  <c r="K72" i="6" a="1"/>
  <c r="K72" i="6" s="1"/>
  <c r="J72" i="6" a="1"/>
  <c r="J72" i="6" s="1"/>
  <c r="I72" i="6" a="1"/>
  <c r="I72" i="6" s="1"/>
  <c r="H72" i="6"/>
  <c r="H72" i="6" a="1"/>
  <c r="G72" i="6" a="1"/>
  <c r="G72" i="6" s="1"/>
  <c r="F72" i="6" a="1"/>
  <c r="F72" i="6" s="1"/>
  <c r="E72" i="6" a="1"/>
  <c r="E72" i="6" s="1"/>
  <c r="D72" i="6" a="1"/>
  <c r="D72" i="6" s="1"/>
  <c r="C72" i="6" a="1"/>
  <c r="C72" i="6" s="1"/>
  <c r="B72" i="6" a="1"/>
  <c r="B72" i="6" s="1"/>
  <c r="O71" i="6" a="1"/>
  <c r="O71" i="6" s="1"/>
  <c r="N71" i="6" a="1"/>
  <c r="N71" i="6" s="1"/>
  <c r="M71" i="6" a="1"/>
  <c r="M71" i="6" s="1"/>
  <c r="L71" i="6"/>
  <c r="L71" i="6" a="1"/>
  <c r="K71" i="6" a="1"/>
  <c r="K71" i="6" s="1"/>
  <c r="J71" i="6" a="1"/>
  <c r="J71" i="6" s="1"/>
  <c r="I71" i="6" a="1"/>
  <c r="I71" i="6" s="1"/>
  <c r="H71" i="6" a="1"/>
  <c r="H71" i="6" s="1"/>
  <c r="G71" i="6" a="1"/>
  <c r="G71" i="6" s="1"/>
  <c r="F71" i="6" a="1"/>
  <c r="F71" i="6" s="1"/>
  <c r="E71" i="6" a="1"/>
  <c r="E71" i="6" s="1"/>
  <c r="D71" i="6" a="1"/>
  <c r="D71" i="6" s="1"/>
  <c r="C71" i="6" a="1"/>
  <c r="C71" i="6" s="1"/>
  <c r="B71" i="6"/>
  <c r="B71" i="6" a="1"/>
  <c r="O70" i="6" a="1"/>
  <c r="O70" i="6" s="1"/>
  <c r="N70" i="6" a="1"/>
  <c r="N70" i="6" s="1"/>
  <c r="M70" i="6" a="1"/>
  <c r="M70" i="6" s="1"/>
  <c r="L70" i="6" a="1"/>
  <c r="L70" i="6" s="1"/>
  <c r="K70" i="6" a="1"/>
  <c r="K70" i="6" s="1"/>
  <c r="J70" i="6" a="1"/>
  <c r="J70" i="6" s="1"/>
  <c r="I70" i="6" a="1"/>
  <c r="I70" i="6" s="1"/>
  <c r="H70" i="6" a="1"/>
  <c r="H70" i="6" s="1"/>
  <c r="G70" i="6" a="1"/>
  <c r="G70" i="6" s="1"/>
  <c r="F70" i="6"/>
  <c r="F70" i="6" a="1"/>
  <c r="E70" i="6" a="1"/>
  <c r="E70" i="6" s="1"/>
  <c r="D70" i="6" a="1"/>
  <c r="D70" i="6" s="1"/>
  <c r="C70" i="6" a="1"/>
  <c r="C70" i="6" s="1"/>
  <c r="B70" i="6" a="1"/>
  <c r="B70" i="6" s="1"/>
  <c r="O69" i="6" a="1"/>
  <c r="O69" i="6" s="1"/>
  <c r="N69" i="6" a="1"/>
  <c r="N69" i="6" s="1"/>
  <c r="M69" i="6" a="1"/>
  <c r="M69" i="6" s="1"/>
  <c r="L69" i="6" a="1"/>
  <c r="L69" i="6" s="1"/>
  <c r="K69" i="6" a="1"/>
  <c r="K69" i="6" s="1"/>
  <c r="J69" i="6"/>
  <c r="J69" i="6" a="1"/>
  <c r="I69" i="6" a="1"/>
  <c r="I69" i="6" s="1"/>
  <c r="H69" i="6" a="1"/>
  <c r="H69" i="6" s="1"/>
  <c r="G69" i="6" a="1"/>
  <c r="G69" i="6" s="1"/>
  <c r="F69" i="6" a="1"/>
  <c r="F69" i="6" s="1"/>
  <c r="E69" i="6" a="1"/>
  <c r="E69" i="6" s="1"/>
  <c r="D69" i="6" a="1"/>
  <c r="D69" i="6" s="1"/>
  <c r="C69" i="6" a="1"/>
  <c r="C69" i="6" s="1"/>
  <c r="B69" i="6" a="1"/>
  <c r="B69" i="6" s="1"/>
  <c r="O68" i="6" a="1"/>
  <c r="O68" i="6" s="1"/>
  <c r="N68" i="6"/>
  <c r="N68" i="6" a="1"/>
  <c r="M68" i="6" a="1"/>
  <c r="M68" i="6" s="1"/>
  <c r="L68" i="6" a="1"/>
  <c r="L68" i="6" s="1"/>
  <c r="K68" i="6" a="1"/>
  <c r="K68" i="6" s="1"/>
  <c r="J68" i="6" a="1"/>
  <c r="J68" i="6" s="1"/>
  <c r="I68" i="6" a="1"/>
  <c r="I68" i="6" s="1"/>
  <c r="H68" i="6" a="1"/>
  <c r="H68" i="6" s="1"/>
  <c r="G68" i="6" a="1"/>
  <c r="G68" i="6" s="1"/>
  <c r="F68" i="6" a="1"/>
  <c r="F68" i="6" s="1"/>
  <c r="E68" i="6" a="1"/>
  <c r="E68" i="6" s="1"/>
  <c r="D68" i="6"/>
  <c r="D68" i="6" a="1"/>
  <c r="C68" i="6" a="1"/>
  <c r="C68" i="6" s="1"/>
  <c r="B68" i="6" a="1"/>
  <c r="B68" i="6" s="1"/>
  <c r="O67" i="6" a="1"/>
  <c r="O67" i="6" s="1"/>
  <c r="N67" i="6" a="1"/>
  <c r="N67" i="6" s="1"/>
  <c r="M67" i="6" a="1"/>
  <c r="M67" i="6" s="1"/>
  <c r="L67" i="6" a="1"/>
  <c r="L67" i="6" s="1"/>
  <c r="K67" i="6" a="1"/>
  <c r="K67" i="6" s="1"/>
  <c r="J67" i="6" a="1"/>
  <c r="J67" i="6" s="1"/>
  <c r="I67" i="6" a="1"/>
  <c r="I67" i="6" s="1"/>
  <c r="H67" i="6"/>
  <c r="H67" i="6" a="1"/>
  <c r="G67" i="6" a="1"/>
  <c r="G67" i="6" s="1"/>
  <c r="F67" i="6" a="1"/>
  <c r="F67" i="6" s="1"/>
  <c r="E67" i="6" a="1"/>
  <c r="E67" i="6" s="1"/>
  <c r="D67" i="6" a="1"/>
  <c r="D67" i="6" s="1"/>
  <c r="C67" i="6" a="1"/>
  <c r="C67" i="6" s="1"/>
  <c r="B67" i="6" a="1"/>
  <c r="B67" i="6"/>
  <c r="O40" i="6" a="1"/>
  <c r="O40" i="6" s="1"/>
  <c r="N47" i="6" a="1"/>
  <c r="N47" i="6" s="1"/>
  <c r="M42" i="6" a="1"/>
  <c r="M42" i="6" s="1"/>
  <c r="L52" i="6" a="1"/>
  <c r="L52" i="6" s="1"/>
  <c r="K43" i="6" a="1"/>
  <c r="K43" i="6" s="1"/>
  <c r="J45" i="6" a="1"/>
  <c r="J45" i="6" s="1"/>
  <c r="I50" i="6"/>
  <c r="I50" i="6" a="1"/>
  <c r="H44" i="6" a="1"/>
  <c r="H44" i="6" s="1"/>
  <c r="G54" i="6" a="1"/>
  <c r="G54" i="6" s="1"/>
  <c r="F55" i="6" a="1"/>
  <c r="F55" i="6" s="1"/>
  <c r="E51" i="6" a="1"/>
  <c r="E51" i="6" s="1"/>
  <c r="D57" i="6" a="1"/>
  <c r="D57" i="6" s="1"/>
  <c r="C53" i="6" a="1"/>
  <c r="C53" i="6" s="1"/>
  <c r="O46" i="6" a="1"/>
  <c r="O46" i="6" s="1"/>
  <c r="N46" i="6" a="1"/>
  <c r="N46" i="6" s="1"/>
  <c r="M46" i="6" a="1"/>
  <c r="M46" i="6" s="1"/>
  <c r="L46" i="6" a="1"/>
  <c r="L46" i="6" s="1"/>
  <c r="K46" i="6" a="1"/>
  <c r="K46" i="6" s="1"/>
  <c r="J46" i="6" a="1"/>
  <c r="J46" i="6" s="1"/>
  <c r="I46" i="6" a="1"/>
  <c r="I46" i="6" s="1"/>
  <c r="H46" i="6" a="1"/>
  <c r="H46" i="6" s="1"/>
  <c r="G46" i="6" a="1"/>
  <c r="G46" i="6" s="1"/>
  <c r="F46" i="6" a="1"/>
  <c r="F46" i="6" s="1"/>
  <c r="E46" i="6" a="1"/>
  <c r="E46" i="6" s="1"/>
  <c r="D46" i="6" a="1"/>
  <c r="D46" i="6" s="1"/>
  <c r="C46" i="6" a="1"/>
  <c r="C46" i="6" s="1"/>
  <c r="B46" i="6" a="1"/>
  <c r="B46" i="6" s="1"/>
  <c r="O60" i="6" a="1"/>
  <c r="O60" i="6" s="1"/>
  <c r="N60" i="6" a="1"/>
  <c r="N60" i="6" s="1"/>
  <c r="M60" i="6" a="1"/>
  <c r="M60" i="6" s="1"/>
  <c r="L60" i="6" a="1"/>
  <c r="L60" i="6" s="1"/>
  <c r="K60" i="6" a="1"/>
  <c r="K60" i="6" s="1"/>
  <c r="J60" i="6" a="1"/>
  <c r="J60" i="6" s="1"/>
  <c r="I60" i="6" a="1"/>
  <c r="I60" i="6" s="1"/>
  <c r="H60" i="6" a="1"/>
  <c r="H60" i="6" s="1"/>
  <c r="G60" i="6" a="1"/>
  <c r="G60" i="6" s="1"/>
  <c r="F60" i="6" a="1"/>
  <c r="F60" i="6" s="1"/>
  <c r="E60" i="6" a="1"/>
  <c r="E60" i="6" s="1"/>
  <c r="D60" i="6" a="1"/>
  <c r="D60" i="6" s="1"/>
  <c r="C60" i="6" a="1"/>
  <c r="C60" i="6" s="1"/>
  <c r="B60" i="6" a="1"/>
  <c r="B60" i="6" s="1"/>
  <c r="O43" i="6" a="1"/>
  <c r="O43" i="6" s="1"/>
  <c r="N43" i="6" a="1"/>
  <c r="N43" i="6" s="1"/>
  <c r="M43" i="6" a="1"/>
  <c r="M43" i="6" s="1"/>
  <c r="L43" i="6" a="1"/>
  <c r="L43" i="6" s="1"/>
  <c r="J43" i="6" a="1"/>
  <c r="J43" i="6" s="1"/>
  <c r="I43" i="6" a="1"/>
  <c r="I43" i="6" s="1"/>
  <c r="H43" i="6" a="1"/>
  <c r="H43" i="6" s="1"/>
  <c r="G43" i="6" a="1"/>
  <c r="G43" i="6" s="1"/>
  <c r="F43" i="6" a="1"/>
  <c r="F43" i="6" s="1"/>
  <c r="E43" i="6" a="1"/>
  <c r="E43" i="6" s="1"/>
  <c r="D43" i="6" a="1"/>
  <c r="D43" i="6" s="1"/>
  <c r="C43" i="6" a="1"/>
  <c r="C43" i="6" s="1"/>
  <c r="B43" i="6" a="1"/>
  <c r="B43" i="6" s="1"/>
  <c r="O50" i="6" a="1"/>
  <c r="O50" i="6" s="1"/>
  <c r="N50" i="6" a="1"/>
  <c r="N50" i="6" s="1"/>
  <c r="M50" i="6" a="1"/>
  <c r="M50" i="6" s="1"/>
  <c r="L50" i="6" a="1"/>
  <c r="L50" i="6" s="1"/>
  <c r="K50" i="6" a="1"/>
  <c r="K50" i="6" s="1"/>
  <c r="J50" i="6" a="1"/>
  <c r="J50" i="6" s="1"/>
  <c r="H50" i="6" a="1"/>
  <c r="H50" i="6" s="1"/>
  <c r="G50" i="6" a="1"/>
  <c r="G50" i="6" s="1"/>
  <c r="F50" i="6" a="1"/>
  <c r="F50" i="6" s="1"/>
  <c r="E50" i="6" a="1"/>
  <c r="E50" i="6" s="1"/>
  <c r="D50" i="6" a="1"/>
  <c r="D50" i="6" s="1"/>
  <c r="C50" i="6" a="1"/>
  <c r="C50" i="6" s="1"/>
  <c r="B50" i="6" a="1"/>
  <c r="B50" i="6" s="1"/>
  <c r="O52" i="6" a="1"/>
  <c r="O52" i="6" s="1"/>
  <c r="N52" i="6" a="1"/>
  <c r="N52" i="6" s="1"/>
  <c r="M52" i="6" a="1"/>
  <c r="M52" i="6" s="1"/>
  <c r="K52" i="6" a="1"/>
  <c r="K52" i="6" s="1"/>
  <c r="J52" i="6" a="1"/>
  <c r="J52" i="6" s="1"/>
  <c r="I52" i="6" a="1"/>
  <c r="I52" i="6" s="1"/>
  <c r="H52" i="6" a="1"/>
  <c r="H52" i="6" s="1"/>
  <c r="G52" i="6" a="1"/>
  <c r="G52" i="6" s="1"/>
  <c r="F52" i="6" a="1"/>
  <c r="F52" i="6" s="1"/>
  <c r="E52" i="6"/>
  <c r="E52" i="6" a="1"/>
  <c r="D52" i="6" a="1"/>
  <c r="D52" i="6" s="1"/>
  <c r="C52" i="6" a="1"/>
  <c r="C52" i="6" s="1"/>
  <c r="B52" i="6" a="1"/>
  <c r="B52" i="6" s="1"/>
  <c r="O44" i="6" a="1"/>
  <c r="O44" i="6" s="1"/>
  <c r="N44" i="6" a="1"/>
  <c r="N44" i="6" s="1"/>
  <c r="M44" i="6" a="1"/>
  <c r="M44" i="6" s="1"/>
  <c r="L44" i="6" a="1"/>
  <c r="L44" i="6" s="1"/>
  <c r="K44" i="6" a="1"/>
  <c r="K44" i="6" s="1"/>
  <c r="J44" i="6" a="1"/>
  <c r="J44" i="6" s="1"/>
  <c r="I44" i="6" a="1"/>
  <c r="I44" i="6" s="1"/>
  <c r="G44" i="6" a="1"/>
  <c r="G44" i="6" s="1"/>
  <c r="F44" i="6" a="1"/>
  <c r="F44" i="6" s="1"/>
  <c r="E44" i="6" a="1"/>
  <c r="E44" i="6" s="1"/>
  <c r="D44" i="6" a="1"/>
  <c r="D44" i="6" s="1"/>
  <c r="C44" i="6" a="1"/>
  <c r="C44" i="6" s="1"/>
  <c r="B44" i="6" a="1"/>
  <c r="B44" i="6" s="1"/>
  <c r="O51" i="6" a="1"/>
  <c r="O51" i="6" s="1"/>
  <c r="N51" i="6" a="1"/>
  <c r="N51" i="6" s="1"/>
  <c r="M51" i="6" a="1"/>
  <c r="M51" i="6" s="1"/>
  <c r="L51" i="6" a="1"/>
  <c r="L51" i="6" s="1"/>
  <c r="K51" i="6" a="1"/>
  <c r="K51" i="6" s="1"/>
  <c r="J51" i="6" a="1"/>
  <c r="J51" i="6" s="1"/>
  <c r="I51" i="6" a="1"/>
  <c r="I51" i="6" s="1"/>
  <c r="H51" i="6" a="1"/>
  <c r="H51" i="6" s="1"/>
  <c r="G51" i="6" a="1"/>
  <c r="G51" i="6" s="1"/>
  <c r="F51" i="6" a="1"/>
  <c r="F51" i="6" s="1"/>
  <c r="D51" i="6" a="1"/>
  <c r="D51" i="6" s="1"/>
  <c r="C51" i="6" a="1"/>
  <c r="C51" i="6" s="1"/>
  <c r="B51" i="6" a="1"/>
  <c r="B51" i="6" s="1"/>
  <c r="O34" i="6" a="1"/>
  <c r="O34" i="6" s="1"/>
  <c r="N34" i="6" a="1"/>
  <c r="N34" i="6" s="1"/>
  <c r="M34" i="6" a="1"/>
  <c r="M34" i="6" s="1"/>
  <c r="L34" i="6"/>
  <c r="L34" i="6" a="1"/>
  <c r="K34" i="6" a="1"/>
  <c r="K34" i="6" s="1"/>
  <c r="J34" i="6" a="1"/>
  <c r="J34" i="6" s="1"/>
  <c r="I34" i="6" a="1"/>
  <c r="I34" i="6" s="1"/>
  <c r="H34" i="6" a="1"/>
  <c r="H34" i="6" s="1"/>
  <c r="G34" i="6" a="1"/>
  <c r="G34" i="6" s="1"/>
  <c r="F34" i="6" a="1"/>
  <c r="F34" i="6" s="1"/>
  <c r="E34" i="6" a="1"/>
  <c r="E34" i="6" s="1"/>
  <c r="D34" i="6" a="1"/>
  <c r="D34" i="6" s="1"/>
  <c r="C34" i="6" a="1"/>
  <c r="C34" i="6" s="1"/>
  <c r="B34" i="6" a="1"/>
  <c r="B34" i="6" s="1"/>
  <c r="O59" i="6" a="1"/>
  <c r="O59" i="6" s="1"/>
  <c r="N59" i="6" a="1"/>
  <c r="N59" i="6" s="1"/>
  <c r="M59" i="6" a="1"/>
  <c r="M59" i="6" s="1"/>
  <c r="L59" i="6" a="1"/>
  <c r="L59" i="6" s="1"/>
  <c r="K59" i="6" a="1"/>
  <c r="K59" i="6" s="1"/>
  <c r="J59" i="6" a="1"/>
  <c r="J59" i="6" s="1"/>
  <c r="I59" i="6" a="1"/>
  <c r="I59" i="6" s="1"/>
  <c r="H59" i="6" a="1"/>
  <c r="H59" i="6" s="1"/>
  <c r="G59" i="6" a="1"/>
  <c r="G59" i="6" s="1"/>
  <c r="F59" i="6" a="1"/>
  <c r="F59" i="6" s="1"/>
  <c r="E59" i="6" a="1"/>
  <c r="E59" i="6" s="1"/>
  <c r="D59" i="6" a="1"/>
  <c r="D59" i="6" s="1"/>
  <c r="C59" i="6" a="1"/>
  <c r="C59" i="6" s="1"/>
  <c r="B59" i="6" a="1"/>
  <c r="B59" i="6" s="1"/>
  <c r="O35" i="6" a="1"/>
  <c r="O35" i="6" s="1"/>
  <c r="N35" i="6" a="1"/>
  <c r="N35" i="6" s="1"/>
  <c r="M35" i="6" a="1"/>
  <c r="M35" i="6" s="1"/>
  <c r="L35" i="6" a="1"/>
  <c r="L35" i="6" s="1"/>
  <c r="K35" i="6" a="1"/>
  <c r="K35" i="6" s="1"/>
  <c r="J35" i="6" a="1"/>
  <c r="J35" i="6" s="1"/>
  <c r="I35" i="6" a="1"/>
  <c r="I35" i="6" s="1"/>
  <c r="H35" i="6" a="1"/>
  <c r="H35" i="6" s="1"/>
  <c r="G35" i="6" a="1"/>
  <c r="G35" i="6" s="1"/>
  <c r="F35" i="6" a="1"/>
  <c r="F35" i="6" s="1"/>
  <c r="Q35" i="6" s="1"/>
  <c r="E35" i="6" a="1"/>
  <c r="E35" i="6" s="1"/>
  <c r="D35" i="6" a="1"/>
  <c r="D35" i="6" s="1"/>
  <c r="C35" i="6" a="1"/>
  <c r="C35" i="6" s="1"/>
  <c r="B35" i="6" a="1"/>
  <c r="B35" i="6" s="1"/>
  <c r="O48" i="6" a="1"/>
  <c r="O48" i="6" s="1"/>
  <c r="N48" i="6" a="1"/>
  <c r="N48" i="6" s="1"/>
  <c r="M48" i="6" a="1"/>
  <c r="M48" i="6" s="1"/>
  <c r="L48" i="6" a="1"/>
  <c r="L48" i="6" s="1"/>
  <c r="K48" i="6" a="1"/>
  <c r="K48" i="6" s="1"/>
  <c r="J48" i="6" a="1"/>
  <c r="J48" i="6" s="1"/>
  <c r="I48" i="6" a="1"/>
  <c r="I48" i="6" s="1"/>
  <c r="H48" i="6" a="1"/>
  <c r="H48" i="6" s="1"/>
  <c r="G48" i="6" a="1"/>
  <c r="G48" i="6" s="1"/>
  <c r="F48" i="6" a="1"/>
  <c r="F48" i="6" s="1"/>
  <c r="E48" i="6" a="1"/>
  <c r="E48" i="6" s="1"/>
  <c r="D48" i="6" a="1"/>
  <c r="D48" i="6" s="1"/>
  <c r="C48" i="6" a="1"/>
  <c r="C48" i="6" s="1"/>
  <c r="B48" i="6" a="1"/>
  <c r="B48" i="6" s="1"/>
  <c r="O42" i="6" a="1"/>
  <c r="O42" i="6" s="1"/>
  <c r="N42" i="6" a="1"/>
  <c r="N42" i="6" s="1"/>
  <c r="L42" i="6" a="1"/>
  <c r="L42" i="6" s="1"/>
  <c r="K42" i="6" a="1"/>
  <c r="K42" i="6" s="1"/>
  <c r="J42" i="6" a="1"/>
  <c r="J42" i="6" s="1"/>
  <c r="I42" i="6" a="1"/>
  <c r="I42" i="6" s="1"/>
  <c r="H42" i="6" a="1"/>
  <c r="H42" i="6" s="1"/>
  <c r="G42" i="6" a="1"/>
  <c r="G42" i="6" s="1"/>
  <c r="F42" i="6" a="1"/>
  <c r="F42" i="6" s="1"/>
  <c r="E42" i="6" a="1"/>
  <c r="E42" i="6" s="1"/>
  <c r="D42" i="6" a="1"/>
  <c r="D42" i="6" s="1"/>
  <c r="C42" i="6" a="1"/>
  <c r="C42" i="6" s="1"/>
  <c r="B42" i="6" a="1"/>
  <c r="B42" i="6" s="1"/>
  <c r="O36" i="6" a="1"/>
  <c r="O36" i="6" s="1"/>
  <c r="N36" i="6" a="1"/>
  <c r="N36" i="6" s="1"/>
  <c r="M36" i="6" a="1"/>
  <c r="M36" i="6" s="1"/>
  <c r="L36" i="6" a="1"/>
  <c r="L36" i="6" s="1"/>
  <c r="K36" i="6" a="1"/>
  <c r="K36" i="6" s="1"/>
  <c r="J36" i="6" a="1"/>
  <c r="J36" i="6" s="1"/>
  <c r="I36" i="6" a="1"/>
  <c r="I36" i="6" s="1"/>
  <c r="H36" i="6" a="1"/>
  <c r="H36" i="6" s="1"/>
  <c r="G36" i="6" a="1"/>
  <c r="G36" i="6" s="1"/>
  <c r="F36" i="6" a="1"/>
  <c r="F36" i="6" s="1"/>
  <c r="E36" i="6" a="1"/>
  <c r="E36" i="6" s="1"/>
  <c r="D36" i="6" a="1"/>
  <c r="D36" i="6" s="1"/>
  <c r="C36" i="6" a="1"/>
  <c r="C36" i="6" s="1"/>
  <c r="B36" i="6" a="1"/>
  <c r="B36" i="6" s="1"/>
  <c r="O55" i="6" a="1"/>
  <c r="O55" i="6" s="1"/>
  <c r="N55" i="6" a="1"/>
  <c r="N55" i="6" s="1"/>
  <c r="M55" i="6" a="1"/>
  <c r="M55" i="6" s="1"/>
  <c r="L55" i="6" a="1"/>
  <c r="L55" i="6" s="1"/>
  <c r="K55" i="6" a="1"/>
  <c r="K55" i="6" s="1"/>
  <c r="J55" i="6" a="1"/>
  <c r="J55" i="6" s="1"/>
  <c r="I55" i="6" a="1"/>
  <c r="I55" i="6" s="1"/>
  <c r="H55" i="6" a="1"/>
  <c r="H55" i="6" s="1"/>
  <c r="G55" i="6" a="1"/>
  <c r="G55" i="6" s="1"/>
  <c r="E55" i="6" a="1"/>
  <c r="E55" i="6" s="1"/>
  <c r="D55" i="6" a="1"/>
  <c r="D55" i="6" s="1"/>
  <c r="C55" i="6" a="1"/>
  <c r="C55" i="6" s="1"/>
  <c r="B55" i="6" a="1"/>
  <c r="B55" i="6" s="1"/>
  <c r="O41" i="6" a="1"/>
  <c r="O41" i="6" s="1"/>
  <c r="N41" i="6" a="1"/>
  <c r="N41" i="6" s="1"/>
  <c r="M41" i="6" a="1"/>
  <c r="M41" i="6" s="1"/>
  <c r="L41" i="6" a="1"/>
  <c r="L41" i="6" s="1"/>
  <c r="K41" i="6" a="1"/>
  <c r="K41" i="6" s="1"/>
  <c r="J41" i="6" a="1"/>
  <c r="J41" i="6" s="1"/>
  <c r="I41" i="6" a="1"/>
  <c r="I41" i="6" s="1"/>
  <c r="H41" i="6" a="1"/>
  <c r="H41" i="6" s="1"/>
  <c r="G41" i="6" a="1"/>
  <c r="G41" i="6" s="1"/>
  <c r="F41" i="6" a="1"/>
  <c r="F41" i="6" s="1"/>
  <c r="E41" i="6" a="1"/>
  <c r="E41" i="6" s="1"/>
  <c r="D41" i="6" a="1"/>
  <c r="D41" i="6" s="1"/>
  <c r="C41" i="6" a="1"/>
  <c r="C41" i="6" s="1"/>
  <c r="B41" i="6" a="1"/>
  <c r="B41" i="6" s="1"/>
  <c r="O57" i="6" a="1"/>
  <c r="O57" i="6" s="1"/>
  <c r="N57" i="6" a="1"/>
  <c r="N57" i="6" s="1"/>
  <c r="M57" i="6" a="1"/>
  <c r="M57" i="6" s="1"/>
  <c r="L57" i="6" a="1"/>
  <c r="L57" i="6" s="1"/>
  <c r="K57" i="6" a="1"/>
  <c r="K57" i="6" s="1"/>
  <c r="J57" i="6" a="1"/>
  <c r="J57" i="6" s="1"/>
  <c r="I57" i="6" a="1"/>
  <c r="I57" i="6" s="1"/>
  <c r="H57" i="6" a="1"/>
  <c r="H57" i="6" s="1"/>
  <c r="G57" i="6" a="1"/>
  <c r="G57" i="6" s="1"/>
  <c r="F57" i="6" a="1"/>
  <c r="F57" i="6" s="1"/>
  <c r="E57" i="6" a="1"/>
  <c r="E57" i="6" s="1"/>
  <c r="C57" i="6" a="1"/>
  <c r="C57" i="6" s="1"/>
  <c r="B57" i="6" a="1"/>
  <c r="B57" i="6" s="1"/>
  <c r="O49" i="6" a="1"/>
  <c r="O49" i="6" s="1"/>
  <c r="N49" i="6" a="1"/>
  <c r="N49" i="6" s="1"/>
  <c r="M49" i="6" a="1"/>
  <c r="M49" i="6" s="1"/>
  <c r="L49" i="6" a="1"/>
  <c r="L49" i="6" s="1"/>
  <c r="K49" i="6" a="1"/>
  <c r="K49" i="6" s="1"/>
  <c r="J49" i="6" a="1"/>
  <c r="J49" i="6" s="1"/>
  <c r="I49" i="6" a="1"/>
  <c r="I49" i="6" s="1"/>
  <c r="H49" i="6" a="1"/>
  <c r="H49" i="6" s="1"/>
  <c r="G49" i="6" a="1"/>
  <c r="G49" i="6" s="1"/>
  <c r="F49" i="6" a="1"/>
  <c r="F49" i="6" s="1"/>
  <c r="E49" i="6" a="1"/>
  <c r="E49" i="6" s="1"/>
  <c r="D49" i="6" a="1"/>
  <c r="D49" i="6" s="1"/>
  <c r="C49" i="6" a="1"/>
  <c r="C49" i="6" s="1"/>
  <c r="B49" i="6" a="1"/>
  <c r="B49" i="6" s="1"/>
  <c r="O53" i="6" a="1"/>
  <c r="O53" i="6" s="1"/>
  <c r="N53" i="6" a="1"/>
  <c r="N53" i="6" s="1"/>
  <c r="M53" i="6" a="1"/>
  <c r="M53" i="6" s="1"/>
  <c r="L53" i="6" a="1"/>
  <c r="L53" i="6" s="1"/>
  <c r="K53" i="6" a="1"/>
  <c r="K53" i="6" s="1"/>
  <c r="J53" i="6" a="1"/>
  <c r="J53" i="6" s="1"/>
  <c r="I53" i="6" a="1"/>
  <c r="I53" i="6" s="1"/>
  <c r="H53" i="6" a="1"/>
  <c r="H53" i="6" s="1"/>
  <c r="G53" i="6" a="1"/>
  <c r="G53" i="6" s="1"/>
  <c r="F53" i="6" a="1"/>
  <c r="F53" i="6" s="1"/>
  <c r="E53" i="6" a="1"/>
  <c r="E53" i="6" s="1"/>
  <c r="D53" i="6" a="1"/>
  <c r="D53" i="6" s="1"/>
  <c r="B53" i="6" a="1"/>
  <c r="B53" i="6" s="1"/>
  <c r="O56" i="6" a="1"/>
  <c r="O56" i="6" s="1"/>
  <c r="N56" i="6" a="1"/>
  <c r="N56" i="6" s="1"/>
  <c r="M56" i="6" a="1"/>
  <c r="M56" i="6" s="1"/>
  <c r="L56" i="6" a="1"/>
  <c r="L56" i="6" s="1"/>
  <c r="K56" i="6" a="1"/>
  <c r="K56" i="6" s="1"/>
  <c r="J56" i="6" a="1"/>
  <c r="J56" i="6" s="1"/>
  <c r="I56" i="6" a="1"/>
  <c r="I56" i="6" s="1"/>
  <c r="H56" i="6" a="1"/>
  <c r="H56" i="6" s="1"/>
  <c r="G56" i="6" a="1"/>
  <c r="G56" i="6" s="1"/>
  <c r="F56" i="6" a="1"/>
  <c r="F56" i="6" s="1"/>
  <c r="E56" i="6" a="1"/>
  <c r="E56" i="6" s="1"/>
  <c r="D56" i="6" a="1"/>
  <c r="D56" i="6" s="1"/>
  <c r="C56" i="6" a="1"/>
  <c r="C56" i="6" s="1"/>
  <c r="B56" i="6" a="1"/>
  <c r="B56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D40" i="6" a="1"/>
  <c r="D40" i="6" s="1"/>
  <c r="C40" i="6" a="1"/>
  <c r="C40" i="6" s="1"/>
  <c r="B40" i="6" a="1"/>
  <c r="B40" i="6" s="1"/>
  <c r="O38" i="6" a="1"/>
  <c r="O38" i="6" s="1"/>
  <c r="N38" i="6" a="1"/>
  <c r="N38" i="6" s="1"/>
  <c r="M38" i="6" a="1"/>
  <c r="M38" i="6" s="1"/>
  <c r="L38" i="6" a="1"/>
  <c r="L38" i="6" s="1"/>
  <c r="K38" i="6" a="1"/>
  <c r="K38" i="6" s="1"/>
  <c r="J38" i="6" a="1"/>
  <c r="J38" i="6" s="1"/>
  <c r="I38" i="6" a="1"/>
  <c r="I38" i="6" s="1"/>
  <c r="H38" i="6" a="1"/>
  <c r="H38" i="6" s="1"/>
  <c r="G38" i="6" a="1"/>
  <c r="G38" i="6" s="1"/>
  <c r="F38" i="6" a="1"/>
  <c r="F38" i="6" s="1"/>
  <c r="E38" i="6" a="1"/>
  <c r="E38" i="6" s="1"/>
  <c r="D38" i="6" a="1"/>
  <c r="D38" i="6" s="1"/>
  <c r="C38" i="6" a="1"/>
  <c r="C38" i="6" s="1"/>
  <c r="B38" i="6" a="1"/>
  <c r="B38" i="6" s="1"/>
  <c r="Q38" i="6" s="1"/>
  <c r="O58" i="6" a="1"/>
  <c r="O58" i="6" s="1"/>
  <c r="N58" i="6" a="1"/>
  <c r="N58" i="6" s="1"/>
  <c r="M58" i="6" a="1"/>
  <c r="M58" i="6" s="1"/>
  <c r="L58" i="6" a="1"/>
  <c r="L58" i="6" s="1"/>
  <c r="K58" i="6" a="1"/>
  <c r="K58" i="6" s="1"/>
  <c r="J58" i="6" a="1"/>
  <c r="J58" i="6" s="1"/>
  <c r="I58" i="6" a="1"/>
  <c r="I58" i="6" s="1"/>
  <c r="H58" i="6" a="1"/>
  <c r="H58" i="6" s="1"/>
  <c r="G58" i="6" a="1"/>
  <c r="G58" i="6" s="1"/>
  <c r="F58" i="6" a="1"/>
  <c r="F58" i="6" s="1"/>
  <c r="E58" i="6" a="1"/>
  <c r="E58" i="6" s="1"/>
  <c r="D58" i="6" a="1"/>
  <c r="D58" i="6" s="1"/>
  <c r="C58" i="6" a="1"/>
  <c r="C58" i="6" s="1"/>
  <c r="B58" i="6" a="1"/>
  <c r="B58" i="6" s="1"/>
  <c r="O39" i="6" a="1"/>
  <c r="O39" i="6" s="1"/>
  <c r="N39" i="6" a="1"/>
  <c r="N39" i="6" s="1"/>
  <c r="M39" i="6" a="1"/>
  <c r="M39" i="6" s="1"/>
  <c r="L39" i="6" a="1"/>
  <c r="L39" i="6" s="1"/>
  <c r="K39" i="6" a="1"/>
  <c r="K39" i="6" s="1"/>
  <c r="J39" i="6" a="1"/>
  <c r="J39" i="6" s="1"/>
  <c r="I39" i="6" a="1"/>
  <c r="I39" i="6" s="1"/>
  <c r="H39" i="6" a="1"/>
  <c r="H39" i="6" s="1"/>
  <c r="G39" i="6" a="1"/>
  <c r="G39" i="6" s="1"/>
  <c r="F39" i="6" a="1"/>
  <c r="F39" i="6" s="1"/>
  <c r="E39" i="6" a="1"/>
  <c r="E39" i="6" s="1"/>
  <c r="D39" i="6" a="1"/>
  <c r="D39" i="6" s="1"/>
  <c r="C39" i="6" a="1"/>
  <c r="C39" i="6" s="1"/>
  <c r="B39" i="6" a="1"/>
  <c r="B39" i="6" s="1"/>
  <c r="O33" i="6" a="1"/>
  <c r="O33" i="6" s="1"/>
  <c r="N33" i="6" a="1"/>
  <c r="N33" i="6" s="1"/>
  <c r="M33" i="6" a="1"/>
  <c r="M33" i="6" s="1"/>
  <c r="L33" i="6" a="1"/>
  <c r="L33" i="6" s="1"/>
  <c r="K33" i="6" a="1"/>
  <c r="K33" i="6" s="1"/>
  <c r="J33" i="6" a="1"/>
  <c r="J33" i="6" s="1"/>
  <c r="I33" i="6" a="1"/>
  <c r="I33" i="6" s="1"/>
  <c r="H33" i="6" a="1"/>
  <c r="H33" i="6" s="1"/>
  <c r="G33" i="6" a="1"/>
  <c r="G33" i="6" s="1"/>
  <c r="F33" i="6" a="1"/>
  <c r="F33" i="6" s="1"/>
  <c r="E33" i="6" a="1"/>
  <c r="E33" i="6" s="1"/>
  <c r="D33" i="6" a="1"/>
  <c r="D33" i="6" s="1"/>
  <c r="C33" i="6" a="1"/>
  <c r="C33" i="6" s="1"/>
  <c r="B33" i="6" a="1"/>
  <c r="B33" i="6" s="1"/>
  <c r="O54" i="6" a="1"/>
  <c r="O54" i="6" s="1"/>
  <c r="N54" i="6" a="1"/>
  <c r="N54" i="6" s="1"/>
  <c r="M54" i="6" a="1"/>
  <c r="M54" i="6" s="1"/>
  <c r="L54" i="6" a="1"/>
  <c r="L54" i="6" s="1"/>
  <c r="K54" i="6" a="1"/>
  <c r="K54" i="6" s="1"/>
  <c r="J54" i="6" a="1"/>
  <c r="J54" i="6" s="1"/>
  <c r="I54" i="6" a="1"/>
  <c r="I54" i="6" s="1"/>
  <c r="H54" i="6" a="1"/>
  <c r="H54" i="6" s="1"/>
  <c r="F54" i="6" a="1"/>
  <c r="F54" i="6" s="1"/>
  <c r="E54" i="6" a="1"/>
  <c r="E54" i="6" s="1"/>
  <c r="D54" i="6" a="1"/>
  <c r="D54" i="6" s="1"/>
  <c r="C54" i="6" a="1"/>
  <c r="C54" i="6" s="1"/>
  <c r="B54" i="6" a="1"/>
  <c r="B54" i="6" s="1"/>
  <c r="O45" i="6" a="1"/>
  <c r="O45" i="6" s="1"/>
  <c r="N45" i="6" a="1"/>
  <c r="N45" i="6" s="1"/>
  <c r="M45" i="6" a="1"/>
  <c r="M45" i="6" s="1"/>
  <c r="L45" i="6" a="1"/>
  <c r="L45" i="6" s="1"/>
  <c r="K45" i="6" a="1"/>
  <c r="K45" i="6" s="1"/>
  <c r="I45" i="6" a="1"/>
  <c r="I45" i="6" s="1"/>
  <c r="H45" i="6" a="1"/>
  <c r="H45" i="6" s="1"/>
  <c r="G45" i="6" a="1"/>
  <c r="G45" i="6" s="1"/>
  <c r="F45" i="6" a="1"/>
  <c r="F45" i="6" s="1"/>
  <c r="E45" i="6" a="1"/>
  <c r="E45" i="6" s="1"/>
  <c r="D45" i="6" a="1"/>
  <c r="D45" i="6" s="1"/>
  <c r="C45" i="6" a="1"/>
  <c r="C45" i="6" s="1"/>
  <c r="B45" i="6" a="1"/>
  <c r="B45" i="6" s="1"/>
  <c r="O37" i="6" a="1"/>
  <c r="O37" i="6" s="1"/>
  <c r="N37" i="6" a="1"/>
  <c r="N37" i="6" s="1"/>
  <c r="M37" i="6" a="1"/>
  <c r="M37" i="6" s="1"/>
  <c r="L37" i="6" a="1"/>
  <c r="L37" i="6" s="1"/>
  <c r="K37" i="6" a="1"/>
  <c r="K37" i="6" s="1"/>
  <c r="J37" i="6" a="1"/>
  <c r="J37" i="6" s="1"/>
  <c r="I37" i="6" a="1"/>
  <c r="I37" i="6" s="1"/>
  <c r="H37" i="6" a="1"/>
  <c r="H37" i="6" s="1"/>
  <c r="G37" i="6" a="1"/>
  <c r="G37" i="6" s="1"/>
  <c r="F37" i="6" a="1"/>
  <c r="F37" i="6" s="1"/>
  <c r="E37" i="6" a="1"/>
  <c r="E37" i="6" s="1"/>
  <c r="D37" i="6" a="1"/>
  <c r="D37" i="6" s="1"/>
  <c r="C37" i="6" a="1"/>
  <c r="C37" i="6" s="1"/>
  <c r="O47" i="6" a="1"/>
  <c r="O47" i="6" s="1"/>
  <c r="M47" i="6" a="1"/>
  <c r="M47" i="6" s="1"/>
  <c r="L47" i="6" a="1"/>
  <c r="L47" i="6" s="1"/>
  <c r="K47" i="6" a="1"/>
  <c r="K47" i="6" s="1"/>
  <c r="J47" i="6" a="1"/>
  <c r="J47" i="6" s="1"/>
  <c r="I47" i="6" a="1"/>
  <c r="I47" i="6" s="1"/>
  <c r="H47" i="6" a="1"/>
  <c r="H47" i="6" s="1"/>
  <c r="G47" i="6" a="1"/>
  <c r="G47" i="6" s="1"/>
  <c r="F47" i="6" a="1"/>
  <c r="F47" i="6" s="1"/>
  <c r="E47" i="6" a="1"/>
  <c r="E47" i="6" s="1"/>
  <c r="D47" i="6" a="1"/>
  <c r="D47" i="6" s="1"/>
  <c r="C47" i="6" a="1"/>
  <c r="C47" i="6" s="1"/>
  <c r="B47" i="6" a="1"/>
  <c r="B47" i="6" s="1"/>
  <c r="B37" i="6" a="1"/>
  <c r="B37" i="6" s="1"/>
  <c r="D45" i="5" a="1"/>
  <c r="D45" i="5" s="1"/>
  <c r="C47" i="5" a="1"/>
  <c r="C47" i="5" s="1"/>
  <c r="B49" i="5" a="1"/>
  <c r="B49" i="5" s="1"/>
  <c r="C49" i="5" a="1"/>
  <c r="C49" i="5"/>
  <c r="D49" i="5" a="1"/>
  <c r="D49" i="5" s="1"/>
  <c r="E49" i="5" a="1"/>
  <c r="E49" i="5"/>
  <c r="F49" i="5" a="1"/>
  <c r="F49" i="5"/>
  <c r="G49" i="5" a="1"/>
  <c r="G49" i="5"/>
  <c r="H49" i="5" a="1"/>
  <c r="H49" i="5" s="1"/>
  <c r="I49" i="5" a="1"/>
  <c r="I49" i="5"/>
  <c r="J49" i="5" a="1"/>
  <c r="J49" i="5"/>
  <c r="K49" i="5" a="1"/>
  <c r="K49" i="5"/>
  <c r="L49" i="5" a="1"/>
  <c r="L49" i="5" s="1"/>
  <c r="M49" i="5" a="1"/>
  <c r="M49" i="5" s="1"/>
  <c r="N49" i="5" a="1"/>
  <c r="N49" i="5" s="1"/>
  <c r="O49" i="5" a="1"/>
  <c r="O49" i="5"/>
  <c r="P49" i="5" a="1"/>
  <c r="P49" i="5"/>
  <c r="P56" i="5" a="1"/>
  <c r="P56" i="5" s="1"/>
  <c r="O56" i="5" a="1"/>
  <c r="O56" i="5" s="1"/>
  <c r="N56" i="5" a="1"/>
  <c r="N56" i="5" s="1"/>
  <c r="M56" i="5" a="1"/>
  <c r="M56" i="5" s="1"/>
  <c r="L56" i="5" a="1"/>
  <c r="L56" i="5" s="1"/>
  <c r="K56" i="5" a="1"/>
  <c r="K56" i="5" s="1"/>
  <c r="J56" i="5" a="1"/>
  <c r="J56" i="5" s="1"/>
  <c r="I56" i="5" a="1"/>
  <c r="I56" i="5" s="1"/>
  <c r="H56" i="5" a="1"/>
  <c r="H56" i="5" s="1"/>
  <c r="G56" i="5" a="1"/>
  <c r="G56" i="5" s="1"/>
  <c r="F56" i="5" a="1"/>
  <c r="F56" i="5" s="1"/>
  <c r="E56" i="5" a="1"/>
  <c r="E56" i="5" s="1"/>
  <c r="D56" i="5" a="1"/>
  <c r="D56" i="5" s="1"/>
  <c r="C56" i="5" a="1"/>
  <c r="C56" i="5" s="1"/>
  <c r="B56" i="5" a="1"/>
  <c r="B56" i="5" s="1"/>
  <c r="P53" i="5" a="1"/>
  <c r="P53" i="5" s="1"/>
  <c r="O53" i="5" a="1"/>
  <c r="O53" i="5" s="1"/>
  <c r="N53" i="5" a="1"/>
  <c r="N53" i="5" s="1"/>
  <c r="M53" i="5" a="1"/>
  <c r="M53" i="5" s="1"/>
  <c r="L53" i="5" a="1"/>
  <c r="L53" i="5" s="1"/>
  <c r="K53" i="5" a="1"/>
  <c r="K53" i="5" s="1"/>
  <c r="J53" i="5" a="1"/>
  <c r="J53" i="5" s="1"/>
  <c r="I53" i="5" a="1"/>
  <c r="I53" i="5" s="1"/>
  <c r="H53" i="5" a="1"/>
  <c r="H53" i="5" s="1"/>
  <c r="G53" i="5" a="1"/>
  <c r="G53" i="5" s="1"/>
  <c r="F53" i="5" a="1"/>
  <c r="F53" i="5" s="1"/>
  <c r="E53" i="5" a="1"/>
  <c r="E53" i="5" s="1"/>
  <c r="D53" i="5" a="1"/>
  <c r="D53" i="5" s="1"/>
  <c r="C53" i="5" a="1"/>
  <c r="C53" i="5" s="1"/>
  <c r="B53" i="5" a="1"/>
  <c r="B53" i="5" s="1"/>
  <c r="P55" i="5" a="1"/>
  <c r="P55" i="5" s="1"/>
  <c r="O55" i="5" a="1"/>
  <c r="O55" i="5" s="1"/>
  <c r="N55" i="5" a="1"/>
  <c r="N55" i="5" s="1"/>
  <c r="M55" i="5" a="1"/>
  <c r="M55" i="5" s="1"/>
  <c r="L55" i="5" a="1"/>
  <c r="L55" i="5" s="1"/>
  <c r="K55" i="5" a="1"/>
  <c r="K55" i="5" s="1"/>
  <c r="J55" i="5" a="1"/>
  <c r="J55" i="5" s="1"/>
  <c r="I55" i="5" a="1"/>
  <c r="I55" i="5" s="1"/>
  <c r="H55" i="5" a="1"/>
  <c r="H55" i="5" s="1"/>
  <c r="G55" i="5" a="1"/>
  <c r="G55" i="5" s="1"/>
  <c r="F55" i="5" a="1"/>
  <c r="F55" i="5" s="1"/>
  <c r="E55" i="5" a="1"/>
  <c r="E55" i="5" s="1"/>
  <c r="D55" i="5" a="1"/>
  <c r="D55" i="5" s="1"/>
  <c r="C55" i="5" a="1"/>
  <c r="C55" i="5" s="1"/>
  <c r="B55" i="5" a="1"/>
  <c r="B55" i="5" s="1"/>
  <c r="P54" i="5" a="1"/>
  <c r="P54" i="5" s="1"/>
  <c r="O54" i="5" a="1"/>
  <c r="O54" i="5" s="1"/>
  <c r="N54" i="5" a="1"/>
  <c r="N54" i="5" s="1"/>
  <c r="M54" i="5" a="1"/>
  <c r="M54" i="5" s="1"/>
  <c r="L54" i="5" a="1"/>
  <c r="L54" i="5" s="1"/>
  <c r="K54" i="5" a="1"/>
  <c r="K54" i="5" s="1"/>
  <c r="J54" i="5" a="1"/>
  <c r="J54" i="5" s="1"/>
  <c r="I54" i="5" a="1"/>
  <c r="I54" i="5" s="1"/>
  <c r="H54" i="5" a="1"/>
  <c r="H54" i="5" s="1"/>
  <c r="G54" i="5" a="1"/>
  <c r="G54" i="5" s="1"/>
  <c r="F54" i="5" a="1"/>
  <c r="F54" i="5" s="1"/>
  <c r="E54" i="5" a="1"/>
  <c r="E54" i="5" s="1"/>
  <c r="D54" i="5" a="1"/>
  <c r="D54" i="5" s="1"/>
  <c r="C54" i="5" a="1"/>
  <c r="C54" i="5" s="1"/>
  <c r="B54" i="5" a="1"/>
  <c r="B54" i="5" s="1"/>
  <c r="P58" i="5" a="1"/>
  <c r="P58" i="5" s="1"/>
  <c r="O58" i="5" a="1"/>
  <c r="O58" i="5" s="1"/>
  <c r="N58" i="5" a="1"/>
  <c r="N58" i="5" s="1"/>
  <c r="M58" i="5" a="1"/>
  <c r="M58" i="5" s="1"/>
  <c r="L58" i="5" a="1"/>
  <c r="L58" i="5" s="1"/>
  <c r="K58" i="5" a="1"/>
  <c r="K58" i="5" s="1"/>
  <c r="J58" i="5" a="1"/>
  <c r="J58" i="5" s="1"/>
  <c r="I58" i="5" a="1"/>
  <c r="I58" i="5" s="1"/>
  <c r="H58" i="5" a="1"/>
  <c r="H58" i="5" s="1"/>
  <c r="G58" i="5" a="1"/>
  <c r="G58" i="5" s="1"/>
  <c r="F58" i="5" a="1"/>
  <c r="F58" i="5" s="1"/>
  <c r="E58" i="5" a="1"/>
  <c r="E58" i="5" s="1"/>
  <c r="D58" i="5" a="1"/>
  <c r="D58" i="5" s="1"/>
  <c r="C58" i="5" a="1"/>
  <c r="C58" i="5" s="1"/>
  <c r="B58" i="5" a="1"/>
  <c r="B58" i="5" s="1"/>
  <c r="P41" i="5" a="1"/>
  <c r="P41" i="5" s="1"/>
  <c r="O41" i="5" a="1"/>
  <c r="O41" i="5" s="1"/>
  <c r="N41" i="5" a="1"/>
  <c r="N41" i="5" s="1"/>
  <c r="M41" i="5" a="1"/>
  <c r="M41" i="5" s="1"/>
  <c r="L41" i="5" a="1"/>
  <c r="L41" i="5" s="1"/>
  <c r="K41" i="5" a="1"/>
  <c r="K41" i="5" s="1"/>
  <c r="J41" i="5" a="1"/>
  <c r="J41" i="5" s="1"/>
  <c r="I41" i="5" a="1"/>
  <c r="I41" i="5" s="1"/>
  <c r="H41" i="5" a="1"/>
  <c r="H41" i="5" s="1"/>
  <c r="G41" i="5" a="1"/>
  <c r="G41" i="5" s="1"/>
  <c r="F41" i="5" a="1"/>
  <c r="F41" i="5" s="1"/>
  <c r="E41" i="5" a="1"/>
  <c r="E41" i="5" s="1"/>
  <c r="D41" i="5" a="1"/>
  <c r="D41" i="5" s="1"/>
  <c r="C41" i="5" a="1"/>
  <c r="C41" i="5" s="1"/>
  <c r="B41" i="5" a="1"/>
  <c r="B41" i="5" s="1"/>
  <c r="P52" i="5" a="1"/>
  <c r="P52" i="5" s="1"/>
  <c r="O52" i="5" a="1"/>
  <c r="O52" i="5" s="1"/>
  <c r="N52" i="5" a="1"/>
  <c r="N52" i="5" s="1"/>
  <c r="M52" i="5" a="1"/>
  <c r="M52" i="5" s="1"/>
  <c r="L52" i="5" a="1"/>
  <c r="L52" i="5" s="1"/>
  <c r="K52" i="5" a="1"/>
  <c r="K52" i="5" s="1"/>
  <c r="J52" i="5" a="1"/>
  <c r="J52" i="5" s="1"/>
  <c r="I52" i="5" a="1"/>
  <c r="I52" i="5" s="1"/>
  <c r="H52" i="5" a="1"/>
  <c r="H52" i="5" s="1"/>
  <c r="G52" i="5" a="1"/>
  <c r="G52" i="5" s="1"/>
  <c r="F52" i="5" a="1"/>
  <c r="F52" i="5" s="1"/>
  <c r="E52" i="5" a="1"/>
  <c r="E52" i="5" s="1"/>
  <c r="D52" i="5" a="1"/>
  <c r="D52" i="5" s="1"/>
  <c r="C52" i="5" a="1"/>
  <c r="C52" i="5" s="1"/>
  <c r="B52" i="5" a="1"/>
  <c r="B52" i="5" s="1"/>
  <c r="P50" i="5" a="1"/>
  <c r="P50" i="5" s="1"/>
  <c r="O50" i="5" a="1"/>
  <c r="O50" i="5" s="1"/>
  <c r="N50" i="5" a="1"/>
  <c r="N50" i="5" s="1"/>
  <c r="M50" i="5" a="1"/>
  <c r="M50" i="5" s="1"/>
  <c r="L50" i="5" a="1"/>
  <c r="L50" i="5" s="1"/>
  <c r="K50" i="5" a="1"/>
  <c r="K50" i="5" s="1"/>
  <c r="J50" i="5" a="1"/>
  <c r="J50" i="5" s="1"/>
  <c r="I50" i="5" a="1"/>
  <c r="I50" i="5" s="1"/>
  <c r="H50" i="5" a="1"/>
  <c r="H50" i="5" s="1"/>
  <c r="G50" i="5" a="1"/>
  <c r="G50" i="5" s="1"/>
  <c r="F50" i="5" a="1"/>
  <c r="F50" i="5" s="1"/>
  <c r="E50" i="5" a="1"/>
  <c r="E50" i="5" s="1"/>
  <c r="D50" i="5" a="1"/>
  <c r="D50" i="5" s="1"/>
  <c r="C50" i="5" a="1"/>
  <c r="C50" i="5" s="1"/>
  <c r="B50" i="5" a="1"/>
  <c r="B50" i="5" s="1"/>
  <c r="P46" i="5" a="1"/>
  <c r="P46" i="5" s="1"/>
  <c r="O46" i="5" a="1"/>
  <c r="O46" i="5" s="1"/>
  <c r="N46" i="5" a="1"/>
  <c r="N46" i="5" s="1"/>
  <c r="M46" i="5" a="1"/>
  <c r="M46" i="5" s="1"/>
  <c r="L46" i="5" a="1"/>
  <c r="L46" i="5" s="1"/>
  <c r="K46" i="5" a="1"/>
  <c r="K46" i="5" s="1"/>
  <c r="J46" i="5" a="1"/>
  <c r="J46" i="5" s="1"/>
  <c r="I46" i="5" a="1"/>
  <c r="I46" i="5" s="1"/>
  <c r="H46" i="5" a="1"/>
  <c r="H46" i="5" s="1"/>
  <c r="G46" i="5" a="1"/>
  <c r="G46" i="5" s="1"/>
  <c r="F46" i="5" a="1"/>
  <c r="F46" i="5" s="1"/>
  <c r="E46" i="5" a="1"/>
  <c r="E46" i="5" s="1"/>
  <c r="D46" i="5" a="1"/>
  <c r="D46" i="5" s="1"/>
  <c r="C46" i="5" a="1"/>
  <c r="C46" i="5" s="1"/>
  <c r="B46" i="5" a="1"/>
  <c r="B46" i="5" s="1"/>
  <c r="P43" i="5" a="1"/>
  <c r="P43" i="5" s="1"/>
  <c r="O43" i="5" a="1"/>
  <c r="O43" i="5" s="1"/>
  <c r="N43" i="5" a="1"/>
  <c r="N43" i="5" s="1"/>
  <c r="M43" i="5" a="1"/>
  <c r="M43" i="5" s="1"/>
  <c r="L43" i="5" a="1"/>
  <c r="L43" i="5" s="1"/>
  <c r="K43" i="5" a="1"/>
  <c r="K43" i="5" s="1"/>
  <c r="J43" i="5" a="1"/>
  <c r="J43" i="5" s="1"/>
  <c r="I43" i="5" a="1"/>
  <c r="I43" i="5" s="1"/>
  <c r="H43" i="5" a="1"/>
  <c r="H43" i="5" s="1"/>
  <c r="G43" i="5" a="1"/>
  <c r="G43" i="5" s="1"/>
  <c r="F43" i="5" a="1"/>
  <c r="F43" i="5" s="1"/>
  <c r="E43" i="5" a="1"/>
  <c r="E43" i="5" s="1"/>
  <c r="D43" i="5" a="1"/>
  <c r="D43" i="5" s="1"/>
  <c r="C43" i="5" a="1"/>
  <c r="C43" i="5" s="1"/>
  <c r="B43" i="5" a="1"/>
  <c r="B43" i="5" s="1"/>
  <c r="P45" i="5" a="1"/>
  <c r="P45" i="5" s="1"/>
  <c r="O45" i="5" a="1"/>
  <c r="O45" i="5" s="1"/>
  <c r="N45" i="5" a="1"/>
  <c r="N45" i="5" s="1"/>
  <c r="M45" i="5" a="1"/>
  <c r="M45" i="5" s="1"/>
  <c r="L45" i="5" a="1"/>
  <c r="L45" i="5" s="1"/>
  <c r="K45" i="5" a="1"/>
  <c r="K45" i="5" s="1"/>
  <c r="J45" i="5" a="1"/>
  <c r="J45" i="5" s="1"/>
  <c r="I45" i="5" a="1"/>
  <c r="I45" i="5" s="1"/>
  <c r="H45" i="5" a="1"/>
  <c r="H45" i="5" s="1"/>
  <c r="G45" i="5" a="1"/>
  <c r="G45" i="5" s="1"/>
  <c r="F45" i="5" a="1"/>
  <c r="F45" i="5" s="1"/>
  <c r="E45" i="5" a="1"/>
  <c r="E45" i="5" s="1"/>
  <c r="C45" i="5" a="1"/>
  <c r="C45" i="5" s="1"/>
  <c r="B45" i="5" a="1"/>
  <c r="B45" i="5" s="1"/>
  <c r="P62" i="5" a="1"/>
  <c r="P62" i="5" s="1"/>
  <c r="O62" i="5" a="1"/>
  <c r="O62" i="5" s="1"/>
  <c r="N62" i="5" a="1"/>
  <c r="N62" i="5" s="1"/>
  <c r="M62" i="5" a="1"/>
  <c r="M62" i="5" s="1"/>
  <c r="L62" i="5" a="1"/>
  <c r="L62" i="5" s="1"/>
  <c r="K62" i="5" a="1"/>
  <c r="K62" i="5" s="1"/>
  <c r="J62" i="5" a="1"/>
  <c r="J62" i="5" s="1"/>
  <c r="I62" i="5" a="1"/>
  <c r="I62" i="5" s="1"/>
  <c r="H62" i="5" a="1"/>
  <c r="H62" i="5" s="1"/>
  <c r="G62" i="5" a="1"/>
  <c r="G62" i="5" s="1"/>
  <c r="F62" i="5" a="1"/>
  <c r="F62" i="5" s="1"/>
  <c r="E62" i="5" a="1"/>
  <c r="E62" i="5" s="1"/>
  <c r="D62" i="5" a="1"/>
  <c r="D62" i="5" s="1"/>
  <c r="C62" i="5" a="1"/>
  <c r="C62" i="5" s="1"/>
  <c r="B62" i="5" a="1"/>
  <c r="B62" i="5" s="1"/>
  <c r="P48" i="5" a="1"/>
  <c r="P48" i="5" s="1"/>
  <c r="O48" i="5" a="1"/>
  <c r="O48" i="5" s="1"/>
  <c r="N48" i="5" a="1"/>
  <c r="N48" i="5" s="1"/>
  <c r="M48" i="5" a="1"/>
  <c r="M48" i="5" s="1"/>
  <c r="L48" i="5" a="1"/>
  <c r="L48" i="5" s="1"/>
  <c r="K48" i="5" a="1"/>
  <c r="K48" i="5" s="1"/>
  <c r="J48" i="5" a="1"/>
  <c r="J48" i="5" s="1"/>
  <c r="I48" i="5" a="1"/>
  <c r="I48" i="5" s="1"/>
  <c r="H48" i="5" a="1"/>
  <c r="H48" i="5" s="1"/>
  <c r="G48" i="5" a="1"/>
  <c r="G48" i="5" s="1"/>
  <c r="F48" i="5" a="1"/>
  <c r="F48" i="5" s="1"/>
  <c r="E48" i="5" a="1"/>
  <c r="E48" i="5" s="1"/>
  <c r="D48" i="5" a="1"/>
  <c r="D48" i="5" s="1"/>
  <c r="C48" i="5" a="1"/>
  <c r="C48" i="5" s="1"/>
  <c r="B48" i="5" a="1"/>
  <c r="B48" i="5" s="1"/>
  <c r="P47" i="5" a="1"/>
  <c r="P47" i="5" s="1"/>
  <c r="O47" i="5" a="1"/>
  <c r="O47" i="5" s="1"/>
  <c r="N47" i="5" a="1"/>
  <c r="N47" i="5" s="1"/>
  <c r="M47" i="5" a="1"/>
  <c r="M47" i="5" s="1"/>
  <c r="L47" i="5" a="1"/>
  <c r="L47" i="5" s="1"/>
  <c r="K47" i="5" a="1"/>
  <c r="K47" i="5" s="1"/>
  <c r="J47" i="5" a="1"/>
  <c r="J47" i="5" s="1"/>
  <c r="I47" i="5" a="1"/>
  <c r="I47" i="5" s="1"/>
  <c r="H47" i="5" a="1"/>
  <c r="H47" i="5" s="1"/>
  <c r="G47" i="5" a="1"/>
  <c r="G47" i="5" s="1"/>
  <c r="F47" i="5" a="1"/>
  <c r="F47" i="5" s="1"/>
  <c r="E47" i="5" a="1"/>
  <c r="E47" i="5" s="1"/>
  <c r="D47" i="5" a="1"/>
  <c r="D47" i="5" s="1"/>
  <c r="B47" i="5" a="1"/>
  <c r="B47" i="5" s="1"/>
  <c r="P61" i="5" a="1"/>
  <c r="P61" i="5" s="1"/>
  <c r="O61" i="5" a="1"/>
  <c r="O61" i="5" s="1"/>
  <c r="N61" i="5" a="1"/>
  <c r="N61" i="5" s="1"/>
  <c r="M61" i="5" a="1"/>
  <c r="M61" i="5" s="1"/>
  <c r="L61" i="5" a="1"/>
  <c r="L61" i="5" s="1"/>
  <c r="K61" i="5" a="1"/>
  <c r="K61" i="5" s="1"/>
  <c r="J61" i="5" a="1"/>
  <c r="J61" i="5" s="1"/>
  <c r="I61" i="5" a="1"/>
  <c r="I61" i="5" s="1"/>
  <c r="H61" i="5" a="1"/>
  <c r="H61" i="5" s="1"/>
  <c r="G61" i="5" a="1"/>
  <c r="G61" i="5" s="1"/>
  <c r="F61" i="5" a="1"/>
  <c r="F61" i="5" s="1"/>
  <c r="E61" i="5" a="1"/>
  <c r="E61" i="5" s="1"/>
  <c r="D61" i="5" a="1"/>
  <c r="D61" i="5" s="1"/>
  <c r="C61" i="5" a="1"/>
  <c r="C61" i="5" s="1"/>
  <c r="B61" i="5" a="1"/>
  <c r="B61" i="5" s="1"/>
  <c r="P37" i="5" a="1"/>
  <c r="P37" i="5" s="1"/>
  <c r="O37" i="5" a="1"/>
  <c r="O37" i="5" s="1"/>
  <c r="N37" i="5" a="1"/>
  <c r="N37" i="5" s="1"/>
  <c r="M37" i="5" a="1"/>
  <c r="M37" i="5" s="1"/>
  <c r="L37" i="5" a="1"/>
  <c r="L37" i="5" s="1"/>
  <c r="K37" i="5" a="1"/>
  <c r="K37" i="5" s="1"/>
  <c r="J37" i="5" a="1"/>
  <c r="J37" i="5" s="1"/>
  <c r="I37" i="5" a="1"/>
  <c r="I37" i="5" s="1"/>
  <c r="H37" i="5" a="1"/>
  <c r="H37" i="5" s="1"/>
  <c r="G37" i="5" a="1"/>
  <c r="G37" i="5" s="1"/>
  <c r="F37" i="5" a="1"/>
  <c r="F37" i="5" s="1"/>
  <c r="E37" i="5" a="1"/>
  <c r="E37" i="5" s="1"/>
  <c r="D37" i="5" a="1"/>
  <c r="D37" i="5" s="1"/>
  <c r="C37" i="5" a="1"/>
  <c r="C37" i="5" s="1"/>
  <c r="B37" i="5" a="1"/>
  <c r="B37" i="5" s="1"/>
  <c r="P42" i="5" a="1"/>
  <c r="P42" i="5" s="1"/>
  <c r="O42" i="5" a="1"/>
  <c r="O42" i="5" s="1"/>
  <c r="N42" i="5" a="1"/>
  <c r="N42" i="5" s="1"/>
  <c r="M42" i="5" a="1"/>
  <c r="M42" i="5" s="1"/>
  <c r="L42" i="5" a="1"/>
  <c r="L42" i="5" s="1"/>
  <c r="K42" i="5" a="1"/>
  <c r="K42" i="5" s="1"/>
  <c r="J42" i="5" a="1"/>
  <c r="J42" i="5" s="1"/>
  <c r="I42" i="5" a="1"/>
  <c r="I42" i="5" s="1"/>
  <c r="H42" i="5" a="1"/>
  <c r="H42" i="5" s="1"/>
  <c r="G42" i="5" a="1"/>
  <c r="G42" i="5" s="1"/>
  <c r="F42" i="5" a="1"/>
  <c r="F42" i="5" s="1"/>
  <c r="E42" i="5" a="1"/>
  <c r="E42" i="5" s="1"/>
  <c r="D42" i="5" a="1"/>
  <c r="D42" i="5" s="1"/>
  <c r="C42" i="5" a="1"/>
  <c r="C42" i="5" s="1"/>
  <c r="B42" i="5" a="1"/>
  <c r="B42" i="5" s="1"/>
  <c r="P40" i="5" a="1"/>
  <c r="P40" i="5" s="1"/>
  <c r="O40" i="5" a="1"/>
  <c r="O40" i="5" s="1"/>
  <c r="N40" i="5" a="1"/>
  <c r="N40" i="5" s="1"/>
  <c r="M40" i="5" a="1"/>
  <c r="M40" i="5" s="1"/>
  <c r="L40" i="5" a="1"/>
  <c r="L40" i="5" s="1"/>
  <c r="K40" i="5" a="1"/>
  <c r="K40" i="5" s="1"/>
  <c r="J40" i="5" a="1"/>
  <c r="J40" i="5" s="1"/>
  <c r="I40" i="5" a="1"/>
  <c r="I40" i="5" s="1"/>
  <c r="H40" i="5" a="1"/>
  <c r="H40" i="5" s="1"/>
  <c r="G40" i="5" a="1"/>
  <c r="G40" i="5" s="1"/>
  <c r="F40" i="5" a="1"/>
  <c r="F40" i="5" s="1"/>
  <c r="E40" i="5" a="1"/>
  <c r="E40" i="5" s="1"/>
  <c r="D40" i="5" a="1"/>
  <c r="D40" i="5" s="1"/>
  <c r="C40" i="5" a="1"/>
  <c r="C40" i="5" s="1"/>
  <c r="B40" i="5" a="1"/>
  <c r="B40" i="5" s="1"/>
  <c r="P38" i="5" a="1"/>
  <c r="P38" i="5" s="1"/>
  <c r="O38" i="5" a="1"/>
  <c r="O38" i="5" s="1"/>
  <c r="N38" i="5" a="1"/>
  <c r="N38" i="5" s="1"/>
  <c r="M38" i="5" a="1"/>
  <c r="M38" i="5" s="1"/>
  <c r="L38" i="5" a="1"/>
  <c r="L38" i="5" s="1"/>
  <c r="K38" i="5" a="1"/>
  <c r="K38" i="5" s="1"/>
  <c r="J38" i="5" a="1"/>
  <c r="J38" i="5" s="1"/>
  <c r="I38" i="5" a="1"/>
  <c r="I38" i="5" s="1"/>
  <c r="H38" i="5" a="1"/>
  <c r="H38" i="5" s="1"/>
  <c r="G38" i="5" a="1"/>
  <c r="G38" i="5" s="1"/>
  <c r="F38" i="5" a="1"/>
  <c r="F38" i="5" s="1"/>
  <c r="E38" i="5" a="1"/>
  <c r="E38" i="5" s="1"/>
  <c r="D38" i="5" a="1"/>
  <c r="D38" i="5" s="1"/>
  <c r="C38" i="5" a="1"/>
  <c r="C38" i="5" s="1"/>
  <c r="B38" i="5" a="1"/>
  <c r="B38" i="5" s="1"/>
  <c r="P39" i="5" a="1"/>
  <c r="P39" i="5" s="1"/>
  <c r="O39" i="5" a="1"/>
  <c r="O39" i="5" s="1"/>
  <c r="N39" i="5" a="1"/>
  <c r="N39" i="5" s="1"/>
  <c r="M39" i="5" a="1"/>
  <c r="M39" i="5" s="1"/>
  <c r="L39" i="5" a="1"/>
  <c r="L39" i="5" s="1"/>
  <c r="K39" i="5" a="1"/>
  <c r="K39" i="5" s="1"/>
  <c r="J39" i="5" a="1"/>
  <c r="J39" i="5" s="1"/>
  <c r="I39" i="5" a="1"/>
  <c r="I39" i="5" s="1"/>
  <c r="H39" i="5" a="1"/>
  <c r="H39" i="5" s="1"/>
  <c r="G39" i="5" a="1"/>
  <c r="G39" i="5" s="1"/>
  <c r="F39" i="5" a="1"/>
  <c r="F39" i="5" s="1"/>
  <c r="E39" i="5" a="1"/>
  <c r="E39" i="5" s="1"/>
  <c r="D39" i="5" a="1"/>
  <c r="D39" i="5" s="1"/>
  <c r="C39" i="5" a="1"/>
  <c r="C39" i="5" s="1"/>
  <c r="B39" i="5" a="1"/>
  <c r="B39" i="5" s="1"/>
  <c r="P51" i="5" a="1"/>
  <c r="P51" i="5" s="1"/>
  <c r="O51" i="5" a="1"/>
  <c r="O51" i="5" s="1"/>
  <c r="N51" i="5" a="1"/>
  <c r="N51" i="5" s="1"/>
  <c r="M51" i="5" a="1"/>
  <c r="M51" i="5" s="1"/>
  <c r="L51" i="5" a="1"/>
  <c r="L51" i="5" s="1"/>
  <c r="K51" i="5" a="1"/>
  <c r="K51" i="5" s="1"/>
  <c r="J51" i="5" a="1"/>
  <c r="J51" i="5" s="1"/>
  <c r="I51" i="5" a="1"/>
  <c r="I51" i="5" s="1"/>
  <c r="H51" i="5" a="1"/>
  <c r="H51" i="5" s="1"/>
  <c r="G51" i="5" a="1"/>
  <c r="G51" i="5" s="1"/>
  <c r="F51" i="5" a="1"/>
  <c r="F51" i="5" s="1"/>
  <c r="E51" i="5" a="1"/>
  <c r="E51" i="5" s="1"/>
  <c r="D51" i="5" a="1"/>
  <c r="D51" i="5" s="1"/>
  <c r="C51" i="5" a="1"/>
  <c r="C51" i="5" s="1"/>
  <c r="B51" i="5" a="1"/>
  <c r="B51" i="5" s="1"/>
  <c r="P60" i="5" a="1"/>
  <c r="P60" i="5" s="1"/>
  <c r="O60" i="5" a="1"/>
  <c r="O60" i="5" s="1"/>
  <c r="N60" i="5" a="1"/>
  <c r="N60" i="5" s="1"/>
  <c r="M60" i="5" a="1"/>
  <c r="M60" i="5" s="1"/>
  <c r="L60" i="5" a="1"/>
  <c r="L60" i="5" s="1"/>
  <c r="K60" i="5" a="1"/>
  <c r="K60" i="5" s="1"/>
  <c r="J60" i="5" a="1"/>
  <c r="J60" i="5" s="1"/>
  <c r="I60" i="5" a="1"/>
  <c r="I60" i="5" s="1"/>
  <c r="H60" i="5" a="1"/>
  <c r="H60" i="5" s="1"/>
  <c r="G60" i="5" a="1"/>
  <c r="G60" i="5" s="1"/>
  <c r="F60" i="5" a="1"/>
  <c r="F60" i="5" s="1"/>
  <c r="E60" i="5" a="1"/>
  <c r="E60" i="5" s="1"/>
  <c r="D60" i="5" a="1"/>
  <c r="D60" i="5" s="1"/>
  <c r="C60" i="5" a="1"/>
  <c r="C60" i="5" s="1"/>
  <c r="B60" i="5" a="1"/>
  <c r="B60" i="5" s="1"/>
  <c r="P57" i="5" a="1"/>
  <c r="P57" i="5" s="1"/>
  <c r="O57" i="5" a="1"/>
  <c r="O57" i="5" s="1"/>
  <c r="N57" i="5" a="1"/>
  <c r="N57" i="5" s="1"/>
  <c r="M57" i="5" a="1"/>
  <c r="M57" i="5" s="1"/>
  <c r="L57" i="5" a="1"/>
  <c r="L57" i="5" s="1"/>
  <c r="K57" i="5" a="1"/>
  <c r="K57" i="5" s="1"/>
  <c r="J57" i="5" a="1"/>
  <c r="J57" i="5" s="1"/>
  <c r="I57" i="5" a="1"/>
  <c r="I57" i="5" s="1"/>
  <c r="H57" i="5" a="1"/>
  <c r="H57" i="5" s="1"/>
  <c r="G57" i="5" a="1"/>
  <c r="G57" i="5" s="1"/>
  <c r="F57" i="5" a="1"/>
  <c r="F57" i="5" s="1"/>
  <c r="E57" i="5" a="1"/>
  <c r="E57" i="5" s="1"/>
  <c r="D57" i="5" a="1"/>
  <c r="D57" i="5" s="1"/>
  <c r="C57" i="5" a="1"/>
  <c r="C57" i="5" s="1"/>
  <c r="B57" i="5" a="1"/>
  <c r="B57" i="5" s="1"/>
  <c r="P44" i="5" a="1"/>
  <c r="P44" i="5" s="1"/>
  <c r="O44" i="5" a="1"/>
  <c r="O44" i="5" s="1"/>
  <c r="N44" i="5" a="1"/>
  <c r="N44" i="5" s="1"/>
  <c r="M44" i="5" a="1"/>
  <c r="M44" i="5" s="1"/>
  <c r="L44" i="5" a="1"/>
  <c r="L44" i="5" s="1"/>
  <c r="K44" i="5" a="1"/>
  <c r="K44" i="5" s="1"/>
  <c r="J44" i="5" a="1"/>
  <c r="J44" i="5" s="1"/>
  <c r="I44" i="5" a="1"/>
  <c r="I44" i="5" s="1"/>
  <c r="H44" i="5" a="1"/>
  <c r="H44" i="5" s="1"/>
  <c r="G44" i="5" a="1"/>
  <c r="G44" i="5" s="1"/>
  <c r="F44" i="5" a="1"/>
  <c r="F44" i="5" s="1"/>
  <c r="E44" i="5" a="1"/>
  <c r="E44" i="5" s="1"/>
  <c r="D44" i="5" a="1"/>
  <c r="D44" i="5" s="1"/>
  <c r="C44" i="5" a="1"/>
  <c r="C44" i="5" s="1"/>
  <c r="B44" i="5" a="1"/>
  <c r="B44" i="5" s="1"/>
  <c r="P59" i="5" a="1"/>
  <c r="P59" i="5" s="1"/>
  <c r="O59" i="5" a="1"/>
  <c r="O59" i="5" s="1"/>
  <c r="N59" i="5" a="1"/>
  <c r="N59" i="5" s="1"/>
  <c r="M59" i="5" a="1"/>
  <c r="M59" i="5" s="1"/>
  <c r="L59" i="5" a="1"/>
  <c r="L59" i="5" s="1"/>
  <c r="K59" i="5" a="1"/>
  <c r="K59" i="5" s="1"/>
  <c r="J59" i="5" a="1"/>
  <c r="J59" i="5" s="1"/>
  <c r="I59" i="5" a="1"/>
  <c r="I59" i="5" s="1"/>
  <c r="H59" i="5" a="1"/>
  <c r="H59" i="5" s="1"/>
  <c r="G59" i="5" a="1"/>
  <c r="G59" i="5" s="1"/>
  <c r="F59" i="5" a="1"/>
  <c r="F59" i="5" s="1"/>
  <c r="E59" i="5" a="1"/>
  <c r="E59" i="5" s="1"/>
  <c r="D59" i="5" a="1"/>
  <c r="D59" i="5" s="1"/>
  <c r="C59" i="5" a="1"/>
  <c r="C59" i="5" s="1"/>
  <c r="B59" i="5" a="1"/>
  <c r="B59" i="5" s="1"/>
  <c r="P35" i="5" a="1"/>
  <c r="P35" i="5" s="1"/>
  <c r="O35" i="5" a="1"/>
  <c r="O35" i="5" s="1"/>
  <c r="N35" i="5" a="1"/>
  <c r="N35" i="5" s="1"/>
  <c r="M35" i="5" a="1"/>
  <c r="M35" i="5" s="1"/>
  <c r="L35" i="5" a="1"/>
  <c r="L35" i="5" s="1"/>
  <c r="K35" i="5" a="1"/>
  <c r="K35" i="5" s="1"/>
  <c r="J35" i="5" a="1"/>
  <c r="J35" i="5" s="1"/>
  <c r="I35" i="5" a="1"/>
  <c r="I35" i="5" s="1"/>
  <c r="H35" i="5" a="1"/>
  <c r="H35" i="5" s="1"/>
  <c r="G35" i="5" a="1"/>
  <c r="G35" i="5" s="1"/>
  <c r="F35" i="5" a="1"/>
  <c r="F35" i="5" s="1"/>
  <c r="E35" i="5" a="1"/>
  <c r="E35" i="5" s="1"/>
  <c r="D35" i="5" a="1"/>
  <c r="D35" i="5" s="1"/>
  <c r="C35" i="5" a="1"/>
  <c r="C35" i="5" s="1"/>
  <c r="B35" i="5" a="1"/>
  <c r="B35" i="5" s="1"/>
  <c r="P36" i="5" a="1"/>
  <c r="P36" i="5" s="1"/>
  <c r="O36" i="5" a="1"/>
  <c r="O36" i="5" s="1"/>
  <c r="N36" i="5" a="1"/>
  <c r="N36" i="5" s="1"/>
  <c r="M36" i="5" a="1"/>
  <c r="M36" i="5" s="1"/>
  <c r="L36" i="5" a="1"/>
  <c r="L36" i="5" s="1"/>
  <c r="K36" i="5" a="1"/>
  <c r="K36" i="5" s="1"/>
  <c r="J36" i="5" a="1"/>
  <c r="J36" i="5" s="1"/>
  <c r="I36" i="5" a="1"/>
  <c r="I36" i="5" s="1"/>
  <c r="H36" i="5" a="1"/>
  <c r="H36" i="5" s="1"/>
  <c r="G36" i="5" a="1"/>
  <c r="G36" i="5" s="1"/>
  <c r="F36" i="5" a="1"/>
  <c r="F36" i="5" s="1"/>
  <c r="E36" i="5" a="1"/>
  <c r="E36" i="5" s="1"/>
  <c r="D36" i="5" a="1"/>
  <c r="D36" i="5" s="1"/>
  <c r="C36" i="5" a="1"/>
  <c r="C36" i="5" s="1"/>
  <c r="B36" i="5" a="1"/>
  <c r="B36" i="5" s="1"/>
  <c r="P34" i="5" a="1"/>
  <c r="P34" i="5" s="1"/>
  <c r="O34" i="5" a="1"/>
  <c r="O34" i="5" s="1"/>
  <c r="N34" i="5" a="1"/>
  <c r="N34" i="5" s="1"/>
  <c r="M34" i="5" a="1"/>
  <c r="M34" i="5" s="1"/>
  <c r="L34" i="5" a="1"/>
  <c r="L34" i="5" s="1"/>
  <c r="K34" i="5" a="1"/>
  <c r="K34" i="5" s="1"/>
  <c r="J34" i="5" a="1"/>
  <c r="J34" i="5" s="1"/>
  <c r="I34" i="5" a="1"/>
  <c r="I34" i="5" s="1"/>
  <c r="H34" i="5" a="1"/>
  <c r="H34" i="5" s="1"/>
  <c r="G34" i="5" a="1"/>
  <c r="G34" i="5" s="1"/>
  <c r="F34" i="5" a="1"/>
  <c r="F34" i="5" s="1"/>
  <c r="E34" i="5" a="1"/>
  <c r="E34" i="5" s="1"/>
  <c r="D34" i="5" a="1"/>
  <c r="D34" i="5" s="1"/>
  <c r="C34" i="5" a="1"/>
  <c r="C34" i="5" s="1"/>
  <c r="B34" i="5" a="1"/>
  <c r="B34" i="5" s="1"/>
  <c r="W104" i="3"/>
  <c r="W103" i="3"/>
  <c r="S80" i="3"/>
  <c r="S105" i="3"/>
  <c r="R105" i="3"/>
  <c r="Q105" i="3"/>
  <c r="P105" i="3"/>
  <c r="N105" i="3"/>
  <c r="M105" i="3"/>
  <c r="L105" i="3"/>
  <c r="K105" i="3"/>
  <c r="J105" i="3"/>
  <c r="H105" i="3"/>
  <c r="G105" i="3"/>
  <c r="U103" i="3"/>
  <c r="T103" i="3"/>
  <c r="V103" i="3"/>
  <c r="O104" i="3"/>
  <c r="O105" i="3" s="1"/>
  <c r="N104" i="3"/>
  <c r="M104" i="3"/>
  <c r="L104" i="3"/>
  <c r="J104" i="3"/>
  <c r="I105" i="3"/>
  <c r="H104" i="3"/>
  <c r="G104" i="3"/>
  <c r="F105" i="3"/>
  <c r="E104" i="3"/>
  <c r="E105" i="3" s="1"/>
  <c r="D104" i="3"/>
  <c r="E83" i="3"/>
  <c r="F83" i="3"/>
  <c r="H83" i="3"/>
  <c r="I83" i="3"/>
  <c r="J83" i="3"/>
  <c r="G75" i="3"/>
  <c r="H75" i="3"/>
  <c r="I75" i="3"/>
  <c r="J75" i="3"/>
  <c r="L75" i="3"/>
  <c r="M75" i="3"/>
  <c r="N75" i="3"/>
  <c r="K95" i="3"/>
  <c r="L95" i="3"/>
  <c r="M95" i="3"/>
  <c r="N95" i="3"/>
  <c r="O95" i="3"/>
  <c r="Q95" i="3"/>
  <c r="R95" i="3"/>
  <c r="O92" i="3"/>
  <c r="P92" i="3"/>
  <c r="Q92" i="3"/>
  <c r="R92" i="3"/>
  <c r="S92" i="3"/>
  <c r="E73" i="3"/>
  <c r="F73" i="3"/>
  <c r="G73" i="3"/>
  <c r="N73" i="3"/>
  <c r="Q73" i="3"/>
  <c r="S73" i="3"/>
  <c r="D78" i="3"/>
  <c r="E78" i="3"/>
  <c r="G78" i="3"/>
  <c r="I78" i="3"/>
  <c r="J78" i="3"/>
  <c r="K78" i="3"/>
  <c r="L78" i="3"/>
  <c r="R78" i="3"/>
  <c r="F72" i="3"/>
  <c r="F107" i="3" s="1"/>
  <c r="H72" i="3"/>
  <c r="H107" i="3" s="1"/>
  <c r="K72" i="3"/>
  <c r="K107" i="3" s="1"/>
  <c r="L72" i="3"/>
  <c r="N72" i="3"/>
  <c r="O72" i="3"/>
  <c r="P72" i="3"/>
  <c r="Q72" i="3"/>
  <c r="I80" i="3"/>
  <c r="J80" i="3"/>
  <c r="O80" i="3"/>
  <c r="P80" i="3"/>
  <c r="R80" i="3"/>
  <c r="D90" i="3"/>
  <c r="E90" i="3"/>
  <c r="N90" i="3"/>
  <c r="O90" i="3"/>
  <c r="S90" i="3"/>
  <c r="D91" i="3"/>
  <c r="E91" i="3"/>
  <c r="G91" i="3"/>
  <c r="H91" i="3"/>
  <c r="I91" i="3"/>
  <c r="R91" i="3"/>
  <c r="S91" i="3"/>
  <c r="G84" i="3"/>
  <c r="H84" i="3"/>
  <c r="I84" i="3"/>
  <c r="K84" i="3"/>
  <c r="L84" i="3"/>
  <c r="M84" i="3"/>
  <c r="F87" i="3"/>
  <c r="G87" i="3"/>
  <c r="K87" i="3"/>
  <c r="L87" i="3"/>
  <c r="M87" i="3"/>
  <c r="O87" i="3"/>
  <c r="P87" i="3"/>
  <c r="Q87" i="3"/>
  <c r="J86" i="3"/>
  <c r="K86" i="3"/>
  <c r="O86" i="3"/>
  <c r="P86" i="3"/>
  <c r="Q86" i="3"/>
  <c r="R86" i="3"/>
  <c r="S86" i="3"/>
  <c r="D94" i="3"/>
  <c r="E94" i="3"/>
  <c r="N94" i="3"/>
  <c r="O94" i="3"/>
  <c r="S94" i="3"/>
  <c r="D81" i="3"/>
  <c r="E81" i="3"/>
  <c r="F81" i="3"/>
  <c r="G81" i="3"/>
  <c r="H81" i="3"/>
  <c r="I81" i="3"/>
  <c r="R81" i="3"/>
  <c r="G93" i="3"/>
  <c r="H93" i="3"/>
  <c r="I93" i="3"/>
  <c r="J93" i="3"/>
  <c r="K93" i="3"/>
  <c r="L93" i="3"/>
  <c r="M93" i="3"/>
  <c r="G97" i="3"/>
  <c r="K97" i="3"/>
  <c r="L97" i="3"/>
  <c r="M97" i="3"/>
  <c r="N97" i="3"/>
  <c r="O97" i="3"/>
  <c r="P97" i="3"/>
  <c r="Q97" i="3"/>
  <c r="J82" i="3"/>
  <c r="O82" i="3"/>
  <c r="P82" i="3"/>
  <c r="Q82" i="3"/>
  <c r="R82" i="3"/>
  <c r="S82" i="3"/>
  <c r="D77" i="3"/>
  <c r="E77" i="3"/>
  <c r="N77" i="3"/>
  <c r="O77" i="3"/>
  <c r="Q77" i="3"/>
  <c r="S77" i="3"/>
  <c r="D98" i="3"/>
  <c r="E98" i="3"/>
  <c r="F98" i="3"/>
  <c r="G98" i="3"/>
  <c r="H98" i="3"/>
  <c r="I98" i="3"/>
  <c r="G99" i="3"/>
  <c r="H99" i="3"/>
  <c r="I99" i="3"/>
  <c r="J99" i="3"/>
  <c r="K99" i="3"/>
  <c r="L99" i="3"/>
  <c r="M99" i="3"/>
  <c r="F100" i="3"/>
  <c r="G100" i="3"/>
  <c r="I100" i="3"/>
  <c r="J100" i="3"/>
  <c r="K100" i="3"/>
  <c r="L100" i="3"/>
  <c r="M100" i="3"/>
  <c r="N100" i="3"/>
  <c r="O100" i="3"/>
  <c r="P100" i="3"/>
  <c r="Q100" i="3"/>
  <c r="J89" i="3"/>
  <c r="M89" i="3"/>
  <c r="N89" i="3"/>
  <c r="O89" i="3"/>
  <c r="P89" i="3"/>
  <c r="Q89" i="3"/>
  <c r="R89" i="3"/>
  <c r="S89" i="3"/>
  <c r="D74" i="3"/>
  <c r="E74" i="3"/>
  <c r="N74" i="3"/>
  <c r="O74" i="3"/>
  <c r="Q74" i="3"/>
  <c r="S74" i="3"/>
  <c r="D76" i="3"/>
  <c r="E76" i="3"/>
  <c r="F76" i="3"/>
  <c r="G76" i="3"/>
  <c r="H76" i="3"/>
  <c r="I76" i="3"/>
  <c r="R76" i="3"/>
  <c r="S76" i="3"/>
  <c r="E85" i="3"/>
  <c r="G85" i="3"/>
  <c r="H85" i="3"/>
  <c r="I85" i="3"/>
  <c r="J85" i="3"/>
  <c r="K85" i="3"/>
  <c r="L85" i="3"/>
  <c r="M85" i="3"/>
  <c r="F88" i="3"/>
  <c r="G88" i="3"/>
  <c r="K88" i="3"/>
  <c r="L88" i="3"/>
  <c r="M88" i="3"/>
  <c r="N88" i="3"/>
  <c r="O88" i="3"/>
  <c r="P88" i="3"/>
  <c r="Q88" i="3"/>
  <c r="J101" i="3"/>
  <c r="M101" i="3"/>
  <c r="O101" i="3"/>
  <c r="P101" i="3"/>
  <c r="Q101" i="3"/>
  <c r="R101" i="3"/>
  <c r="S101" i="3"/>
  <c r="D79" i="3"/>
  <c r="E79" i="3"/>
  <c r="N79" i="3"/>
  <c r="O79" i="3"/>
  <c r="S79" i="3"/>
  <c r="F78" i="4"/>
  <c r="G78" i="4"/>
  <c r="G79" i="4"/>
  <c r="S65" i="4"/>
  <c r="R65" i="4"/>
  <c r="Q65" i="4"/>
  <c r="P65" i="4"/>
  <c r="O65" i="4"/>
  <c r="N65" i="4"/>
  <c r="N77" i="4" s="1"/>
  <c r="M65" i="4"/>
  <c r="M77" i="4" s="1"/>
  <c r="L65" i="4"/>
  <c r="K65" i="4"/>
  <c r="J65" i="4"/>
  <c r="I65" i="4"/>
  <c r="H65" i="4"/>
  <c r="H77" i="4" s="1"/>
  <c r="G65" i="4"/>
  <c r="G77" i="4" s="1"/>
  <c r="F65" i="4"/>
  <c r="F77" i="4" s="1"/>
  <c r="E65" i="4"/>
  <c r="E77" i="4" s="1"/>
  <c r="D65" i="4"/>
  <c r="S64" i="4"/>
  <c r="R64" i="4"/>
  <c r="Q64" i="4"/>
  <c r="Q99" i="4" s="1"/>
  <c r="P64" i="4"/>
  <c r="P99" i="4" s="1"/>
  <c r="O64" i="4"/>
  <c r="N64" i="4"/>
  <c r="M64" i="4"/>
  <c r="L64" i="4"/>
  <c r="K64" i="4"/>
  <c r="J64" i="4"/>
  <c r="J99" i="4" s="1"/>
  <c r="I64" i="4"/>
  <c r="I99" i="4" s="1"/>
  <c r="H64" i="4"/>
  <c r="G64" i="4"/>
  <c r="F64" i="4"/>
  <c r="E64" i="4"/>
  <c r="D64" i="4"/>
  <c r="D99" i="4" s="1"/>
  <c r="S63" i="4"/>
  <c r="S86" i="4" s="1"/>
  <c r="R63" i="4"/>
  <c r="R86" i="4" s="1"/>
  <c r="Q63" i="4"/>
  <c r="Q86" i="4" s="1"/>
  <c r="P63" i="4"/>
  <c r="O63" i="4"/>
  <c r="N63" i="4"/>
  <c r="M63" i="4"/>
  <c r="M86" i="4" s="1"/>
  <c r="L63" i="4"/>
  <c r="L86" i="4" s="1"/>
  <c r="K63" i="4"/>
  <c r="J63" i="4"/>
  <c r="I63" i="4"/>
  <c r="H63" i="4"/>
  <c r="G63" i="4"/>
  <c r="F63" i="4"/>
  <c r="F86" i="4" s="1"/>
  <c r="E63" i="4"/>
  <c r="E86" i="4" s="1"/>
  <c r="D63" i="4"/>
  <c r="S62" i="4"/>
  <c r="R62" i="4"/>
  <c r="Q62" i="4"/>
  <c r="P62" i="4"/>
  <c r="P83" i="4" s="1"/>
  <c r="O62" i="4"/>
  <c r="O83" i="4" s="1"/>
  <c r="N62" i="4"/>
  <c r="N83" i="4" s="1"/>
  <c r="M62" i="4"/>
  <c r="M83" i="4" s="1"/>
  <c r="L62" i="4"/>
  <c r="K62" i="4"/>
  <c r="J62" i="4"/>
  <c r="I62" i="4"/>
  <c r="I83" i="4" s="1"/>
  <c r="H62" i="4"/>
  <c r="H83" i="4" s="1"/>
  <c r="G62" i="4"/>
  <c r="F62" i="4"/>
  <c r="E62" i="4"/>
  <c r="D62" i="4"/>
  <c r="S61" i="4"/>
  <c r="R61" i="4"/>
  <c r="R73" i="4" s="1"/>
  <c r="Q61" i="4"/>
  <c r="Q73" i="4" s="1"/>
  <c r="P61" i="4"/>
  <c r="O61" i="4"/>
  <c r="N61" i="4"/>
  <c r="M61" i="4"/>
  <c r="M73" i="4" s="1"/>
  <c r="L61" i="4"/>
  <c r="L73" i="4" s="1"/>
  <c r="K61" i="4"/>
  <c r="K73" i="4" s="1"/>
  <c r="J61" i="4"/>
  <c r="J73" i="4" s="1"/>
  <c r="I61" i="4"/>
  <c r="I73" i="4" s="1"/>
  <c r="H61" i="4"/>
  <c r="G61" i="4"/>
  <c r="F61" i="4"/>
  <c r="E61" i="4"/>
  <c r="E73" i="4" s="1"/>
  <c r="D61" i="4"/>
  <c r="D73" i="4" s="1"/>
  <c r="S60" i="4"/>
  <c r="R60" i="4"/>
  <c r="Q60" i="4"/>
  <c r="P60" i="4"/>
  <c r="O60" i="4"/>
  <c r="N60" i="4"/>
  <c r="N72" i="4" s="1"/>
  <c r="M60" i="4"/>
  <c r="M72" i="4" s="1"/>
  <c r="L60" i="4"/>
  <c r="K60" i="4"/>
  <c r="J60" i="4"/>
  <c r="I60" i="4"/>
  <c r="I72" i="4" s="1"/>
  <c r="H60" i="4"/>
  <c r="H72" i="4" s="1"/>
  <c r="G60" i="4"/>
  <c r="G72" i="4" s="1"/>
  <c r="F60" i="4"/>
  <c r="F72" i="4" s="1"/>
  <c r="E60" i="4"/>
  <c r="E72" i="4" s="1"/>
  <c r="D60" i="4"/>
  <c r="S59" i="4"/>
  <c r="R59" i="4"/>
  <c r="Q59" i="4"/>
  <c r="Q87" i="4" s="1"/>
  <c r="P59" i="4"/>
  <c r="P87" i="4" s="1"/>
  <c r="O59" i="4"/>
  <c r="N59" i="4"/>
  <c r="M59" i="4"/>
  <c r="L59" i="4"/>
  <c r="K59" i="4"/>
  <c r="J59" i="4"/>
  <c r="J87" i="4" s="1"/>
  <c r="I59" i="4"/>
  <c r="I87" i="4" s="1"/>
  <c r="H59" i="4"/>
  <c r="G59" i="4"/>
  <c r="F59" i="4"/>
  <c r="E59" i="4"/>
  <c r="E87" i="4" s="1"/>
  <c r="D59" i="4"/>
  <c r="S58" i="4"/>
  <c r="S98" i="4" s="1"/>
  <c r="R58" i="4"/>
  <c r="R98" i="4" s="1"/>
  <c r="Q58" i="4"/>
  <c r="Q98" i="4" s="1"/>
  <c r="P58" i="4"/>
  <c r="P98" i="4" s="1"/>
  <c r="O58" i="4"/>
  <c r="N58" i="4"/>
  <c r="M58" i="4"/>
  <c r="M98" i="4" s="1"/>
  <c r="L58" i="4"/>
  <c r="L98" i="4" s="1"/>
  <c r="K58" i="4"/>
  <c r="J58" i="4"/>
  <c r="I58" i="4"/>
  <c r="H58" i="4"/>
  <c r="G58" i="4"/>
  <c r="F58" i="4"/>
  <c r="E58" i="4"/>
  <c r="E98" i="4" s="1"/>
  <c r="D58" i="4"/>
  <c r="D98" i="4" s="1"/>
  <c r="S57" i="4"/>
  <c r="R57" i="4"/>
  <c r="Q57" i="4"/>
  <c r="P57" i="4"/>
  <c r="O57" i="4"/>
  <c r="O97" i="4" s="1"/>
  <c r="N57" i="4"/>
  <c r="N97" i="4" s="1"/>
  <c r="M57" i="4"/>
  <c r="M97" i="4" s="1"/>
  <c r="L57" i="4"/>
  <c r="L97" i="4" s="1"/>
  <c r="K57" i="4"/>
  <c r="K97" i="4" s="1"/>
  <c r="J57" i="4"/>
  <c r="I57" i="4"/>
  <c r="H57" i="4"/>
  <c r="H97" i="4" s="1"/>
  <c r="G57" i="4"/>
  <c r="F57" i="4"/>
  <c r="E57" i="4"/>
  <c r="D57" i="4"/>
  <c r="S56" i="4"/>
  <c r="R56" i="4"/>
  <c r="Q56" i="4"/>
  <c r="Q96" i="4" s="1"/>
  <c r="P56" i="4"/>
  <c r="P96" i="4" s="1"/>
  <c r="O56" i="4"/>
  <c r="N56" i="4"/>
  <c r="M56" i="4"/>
  <c r="L56" i="4"/>
  <c r="L96" i="4" s="1"/>
  <c r="K56" i="4"/>
  <c r="K96" i="4" s="1"/>
  <c r="J56" i="4"/>
  <c r="J96" i="4" s="1"/>
  <c r="I56" i="4"/>
  <c r="I96" i="4" s="1"/>
  <c r="H56" i="4"/>
  <c r="H96" i="4" s="1"/>
  <c r="G56" i="4"/>
  <c r="G96" i="4" s="1"/>
  <c r="F56" i="4"/>
  <c r="E56" i="4"/>
  <c r="D56" i="4"/>
  <c r="D96" i="4" s="1"/>
  <c r="S55" i="4"/>
  <c r="R55" i="4"/>
  <c r="Q55" i="4"/>
  <c r="P55" i="4"/>
  <c r="O55" i="4"/>
  <c r="N55" i="4"/>
  <c r="M55" i="4"/>
  <c r="M75" i="4" s="1"/>
  <c r="L55" i="4"/>
  <c r="L75" i="4" s="1"/>
  <c r="K55" i="4"/>
  <c r="J55" i="4"/>
  <c r="I55" i="4"/>
  <c r="H55" i="4"/>
  <c r="H75" i="4" s="1"/>
  <c r="G55" i="4"/>
  <c r="G75" i="4" s="1"/>
  <c r="F55" i="4"/>
  <c r="F75" i="4" s="1"/>
  <c r="E55" i="4"/>
  <c r="E75" i="4" s="1"/>
  <c r="D55" i="4"/>
  <c r="D75" i="4" s="1"/>
  <c r="S54" i="4"/>
  <c r="S80" i="4" s="1"/>
  <c r="R54" i="4"/>
  <c r="R80" i="4" s="1"/>
  <c r="Q54" i="4"/>
  <c r="P54" i="4"/>
  <c r="P80" i="4" s="1"/>
  <c r="O54" i="4"/>
  <c r="N54" i="4"/>
  <c r="M54" i="4"/>
  <c r="L54" i="4"/>
  <c r="K54" i="4"/>
  <c r="J54" i="4"/>
  <c r="I54" i="4"/>
  <c r="H54" i="4"/>
  <c r="H80" i="4" s="1"/>
  <c r="G54" i="4"/>
  <c r="F54" i="4"/>
  <c r="E54" i="4"/>
  <c r="E80" i="4" s="1"/>
  <c r="D54" i="4"/>
  <c r="S53" i="4"/>
  <c r="S95" i="4" s="1"/>
  <c r="R53" i="4"/>
  <c r="R95" i="4" s="1"/>
  <c r="Q53" i="4"/>
  <c r="Q95" i="4" s="1"/>
  <c r="P53" i="4"/>
  <c r="P95" i="4" s="1"/>
  <c r="O53" i="4"/>
  <c r="O95" i="4" s="1"/>
  <c r="N53" i="4"/>
  <c r="N95" i="4" s="1"/>
  <c r="M53" i="4"/>
  <c r="M95" i="4" s="1"/>
  <c r="L53" i="4"/>
  <c r="K53" i="4"/>
  <c r="J53" i="4"/>
  <c r="I53" i="4"/>
  <c r="H53" i="4"/>
  <c r="G53" i="4"/>
  <c r="F53" i="4"/>
  <c r="E53" i="4"/>
  <c r="D53" i="4"/>
  <c r="S52" i="4"/>
  <c r="R52" i="4"/>
  <c r="Q52" i="4"/>
  <c r="Q90" i="4" s="1"/>
  <c r="P52" i="4"/>
  <c r="O52" i="4"/>
  <c r="O90" i="4" s="1"/>
  <c r="N52" i="4"/>
  <c r="N90" i="4" s="1"/>
  <c r="M52" i="4"/>
  <c r="M90" i="4" s="1"/>
  <c r="L52" i="4"/>
  <c r="L90" i="4" s="1"/>
  <c r="K52" i="4"/>
  <c r="K90" i="4" s="1"/>
  <c r="J52" i="4"/>
  <c r="J90" i="4" s="1"/>
  <c r="I52" i="4"/>
  <c r="I90" i="4" s="1"/>
  <c r="H52" i="4"/>
  <c r="H90" i="4" s="1"/>
  <c r="G52" i="4"/>
  <c r="F52" i="4"/>
  <c r="E52" i="4"/>
  <c r="D52" i="4"/>
  <c r="S51" i="4"/>
  <c r="R51" i="4"/>
  <c r="Q51" i="4"/>
  <c r="P51" i="4"/>
  <c r="O51" i="4"/>
  <c r="N51" i="4"/>
  <c r="N79" i="4" s="1"/>
  <c r="M51" i="4"/>
  <c r="L51" i="4"/>
  <c r="L79" i="4" s="1"/>
  <c r="K51" i="4"/>
  <c r="K79" i="4" s="1"/>
  <c r="J51" i="4"/>
  <c r="J79" i="4" s="1"/>
  <c r="I51" i="4"/>
  <c r="I79" i="4" s="1"/>
  <c r="H51" i="4"/>
  <c r="H79" i="4" s="1"/>
  <c r="G51" i="4"/>
  <c r="F51" i="4"/>
  <c r="F79" i="4" s="1"/>
  <c r="E51" i="4"/>
  <c r="E79" i="4" s="1"/>
  <c r="D51" i="4"/>
  <c r="D79" i="4" s="1"/>
  <c r="S50" i="4"/>
  <c r="R50" i="4"/>
  <c r="Q50" i="4"/>
  <c r="P50" i="4"/>
  <c r="O50" i="4"/>
  <c r="N50" i="4"/>
  <c r="M50" i="4"/>
  <c r="L50" i="4"/>
  <c r="K50" i="4"/>
  <c r="J50" i="4"/>
  <c r="I50" i="4"/>
  <c r="H50" i="4"/>
  <c r="H92" i="4" s="1"/>
  <c r="G50" i="4"/>
  <c r="G92" i="4" s="1"/>
  <c r="F50" i="4"/>
  <c r="F92" i="4" s="1"/>
  <c r="E50" i="4"/>
  <c r="E92" i="4" s="1"/>
  <c r="D50" i="4"/>
  <c r="D92" i="4" s="1"/>
  <c r="S49" i="4"/>
  <c r="S84" i="4" s="1"/>
  <c r="R49" i="4"/>
  <c r="R84" i="4" s="1"/>
  <c r="Q49" i="4"/>
  <c r="Q84" i="4" s="1"/>
  <c r="P49" i="4"/>
  <c r="P84" i="4" s="1"/>
  <c r="O49" i="4"/>
  <c r="N49" i="4"/>
  <c r="M49" i="4"/>
  <c r="M84" i="4" s="1"/>
  <c r="L49" i="4"/>
  <c r="K49" i="4"/>
  <c r="J49" i="4"/>
  <c r="I49" i="4"/>
  <c r="H49" i="4"/>
  <c r="G49" i="4"/>
  <c r="F49" i="4"/>
  <c r="E49" i="4"/>
  <c r="D49" i="4"/>
  <c r="S48" i="4"/>
  <c r="S85" i="4" s="1"/>
  <c r="R48" i="4"/>
  <c r="R85" i="4" s="1"/>
  <c r="Q48" i="4"/>
  <c r="Q85" i="4" s="1"/>
  <c r="P48" i="4"/>
  <c r="P85" i="4" s="1"/>
  <c r="O48" i="4"/>
  <c r="O85" i="4" s="1"/>
  <c r="N48" i="4"/>
  <c r="N85" i="4" s="1"/>
  <c r="M48" i="4"/>
  <c r="M85" i="4" s="1"/>
  <c r="L48" i="4"/>
  <c r="L85" i="4" s="1"/>
  <c r="K48" i="4"/>
  <c r="J48" i="4"/>
  <c r="I48" i="4"/>
  <c r="I85" i="4" s="1"/>
  <c r="H48" i="4"/>
  <c r="G48" i="4"/>
  <c r="F48" i="4"/>
  <c r="E48" i="4"/>
  <c r="D48" i="4"/>
  <c r="S47" i="4"/>
  <c r="R47" i="4"/>
  <c r="Q47" i="4"/>
  <c r="P47" i="4"/>
  <c r="O47" i="4"/>
  <c r="O82" i="4" s="1"/>
  <c r="N47" i="4"/>
  <c r="N82" i="4" s="1"/>
  <c r="M47" i="4"/>
  <c r="M82" i="4" s="1"/>
  <c r="L47" i="4"/>
  <c r="L82" i="4" s="1"/>
  <c r="K47" i="4"/>
  <c r="K82" i="4" s="1"/>
  <c r="J47" i="4"/>
  <c r="J82" i="4" s="1"/>
  <c r="I47" i="4"/>
  <c r="I82" i="4" s="1"/>
  <c r="H47" i="4"/>
  <c r="H82" i="4" s="1"/>
  <c r="G47" i="4"/>
  <c r="F47" i="4"/>
  <c r="E47" i="4"/>
  <c r="D47" i="4"/>
  <c r="D82" i="4" s="1"/>
  <c r="S46" i="4"/>
  <c r="S89" i="4" s="1"/>
  <c r="R46" i="4"/>
  <c r="R89" i="4" s="1"/>
  <c r="Q46" i="4"/>
  <c r="P46" i="4"/>
  <c r="O46" i="4"/>
  <c r="N46" i="4"/>
  <c r="M46" i="4"/>
  <c r="L46" i="4"/>
  <c r="K46" i="4"/>
  <c r="J46" i="4"/>
  <c r="J89" i="4" s="1"/>
  <c r="I46" i="4"/>
  <c r="I89" i="4" s="1"/>
  <c r="H46" i="4"/>
  <c r="H89" i="4" s="1"/>
  <c r="G46" i="4"/>
  <c r="G89" i="4" s="1"/>
  <c r="F46" i="4"/>
  <c r="F89" i="4" s="1"/>
  <c r="E46" i="4"/>
  <c r="E89" i="4" s="1"/>
  <c r="D46" i="4"/>
  <c r="D89" i="4" s="1"/>
  <c r="S45" i="4"/>
  <c r="R45" i="4"/>
  <c r="Q45" i="4"/>
  <c r="P45" i="4"/>
  <c r="P88" i="4" s="1"/>
  <c r="O45" i="4"/>
  <c r="O88" i="4" s="1"/>
  <c r="N45" i="4"/>
  <c r="N88" i="4" s="1"/>
  <c r="M45" i="4"/>
  <c r="L45" i="4"/>
  <c r="K45" i="4"/>
  <c r="J45" i="4"/>
  <c r="I45" i="4"/>
  <c r="H45" i="4"/>
  <c r="G45" i="4"/>
  <c r="F45" i="4"/>
  <c r="F88" i="4" s="1"/>
  <c r="E45" i="4"/>
  <c r="E88" i="4" s="1"/>
  <c r="D45" i="4"/>
  <c r="D88" i="4" s="1"/>
  <c r="S44" i="4"/>
  <c r="S78" i="4" s="1"/>
  <c r="R44" i="4"/>
  <c r="R78" i="4" s="1"/>
  <c r="Q44" i="4"/>
  <c r="Q78" i="4" s="1"/>
  <c r="P44" i="4"/>
  <c r="P78" i="4" s="1"/>
  <c r="O44" i="4"/>
  <c r="N44" i="4"/>
  <c r="M44" i="4"/>
  <c r="L44" i="4"/>
  <c r="K44" i="4"/>
  <c r="K78" i="4" s="1"/>
  <c r="J44" i="4"/>
  <c r="J78" i="4" s="1"/>
  <c r="I44" i="4"/>
  <c r="I78" i="4" s="1"/>
  <c r="H44" i="4"/>
  <c r="G44" i="4"/>
  <c r="F44" i="4"/>
  <c r="E44" i="4"/>
  <c r="D44" i="4"/>
  <c r="S43" i="4"/>
  <c r="R43" i="4"/>
  <c r="Q43" i="4"/>
  <c r="Q70" i="4" s="1"/>
  <c r="P43" i="4"/>
  <c r="P70" i="4" s="1"/>
  <c r="O43" i="4"/>
  <c r="O70" i="4" s="1"/>
  <c r="N43" i="4"/>
  <c r="N70" i="4" s="1"/>
  <c r="M43" i="4"/>
  <c r="M70" i="4" s="1"/>
  <c r="L43" i="4"/>
  <c r="L70" i="4" s="1"/>
  <c r="K43" i="4"/>
  <c r="J43" i="4"/>
  <c r="I43" i="4"/>
  <c r="H43" i="4"/>
  <c r="G43" i="4"/>
  <c r="F43" i="4"/>
  <c r="F70" i="4" s="1"/>
  <c r="E43" i="4"/>
  <c r="E70" i="4" s="1"/>
  <c r="D43" i="4"/>
  <c r="D70" i="4" s="1"/>
  <c r="S42" i="4"/>
  <c r="S76" i="4" s="1"/>
  <c r="R42" i="4"/>
  <c r="R76" i="4" s="1"/>
  <c r="Q42" i="4"/>
  <c r="P42" i="4"/>
  <c r="O42" i="4"/>
  <c r="N42" i="4"/>
  <c r="M42" i="4"/>
  <c r="L42" i="4"/>
  <c r="L76" i="4" s="1"/>
  <c r="K42" i="4"/>
  <c r="K76" i="4" s="1"/>
  <c r="J42" i="4"/>
  <c r="J76" i="4" s="1"/>
  <c r="I42" i="4"/>
  <c r="I76" i="4" s="1"/>
  <c r="H42" i="4"/>
  <c r="H76" i="4" s="1"/>
  <c r="G42" i="4"/>
  <c r="F42" i="4"/>
  <c r="E42" i="4"/>
  <c r="D42" i="4"/>
  <c r="S41" i="4"/>
  <c r="S71" i="4" s="1"/>
  <c r="R41" i="4"/>
  <c r="Q41" i="4"/>
  <c r="P41" i="4"/>
  <c r="P71" i="4" s="1"/>
  <c r="O41" i="4"/>
  <c r="N41" i="4"/>
  <c r="N71" i="4" s="1"/>
  <c r="M41" i="4"/>
  <c r="M71" i="4" s="1"/>
  <c r="L41" i="4"/>
  <c r="L71" i="4" s="1"/>
  <c r="K41" i="4"/>
  <c r="K71" i="4" s="1"/>
  <c r="J41" i="4"/>
  <c r="I41" i="4"/>
  <c r="H41" i="4"/>
  <c r="G41" i="4"/>
  <c r="F41" i="4"/>
  <c r="F71" i="4" s="1"/>
  <c r="E41" i="4"/>
  <c r="E71" i="4" s="1"/>
  <c r="D41" i="4"/>
  <c r="D71" i="4" s="1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S39" i="4"/>
  <c r="R39" i="4"/>
  <c r="R91" i="4" s="1"/>
  <c r="Q39" i="4"/>
  <c r="P39" i="4"/>
  <c r="P91" i="4" s="1"/>
  <c r="O39" i="4"/>
  <c r="N39" i="4"/>
  <c r="M39" i="4"/>
  <c r="L39" i="4"/>
  <c r="K39" i="4"/>
  <c r="J39" i="4"/>
  <c r="J91" i="4" s="1"/>
  <c r="I39" i="4"/>
  <c r="I91" i="4" s="1"/>
  <c r="H39" i="4"/>
  <c r="G39" i="4"/>
  <c r="F39" i="4"/>
  <c r="E39" i="4"/>
  <c r="E91" i="4" s="1"/>
  <c r="D39" i="4"/>
  <c r="D91" i="4" s="1"/>
  <c r="S38" i="4"/>
  <c r="S93" i="4" s="1"/>
  <c r="R38" i="4"/>
  <c r="R93" i="4" s="1"/>
  <c r="Q38" i="4"/>
  <c r="Q93" i="4" s="1"/>
  <c r="P38" i="4"/>
  <c r="O38" i="4"/>
  <c r="N38" i="4"/>
  <c r="N93" i="4" s="1"/>
  <c r="M38" i="4"/>
  <c r="M93" i="4" s="1"/>
  <c r="L38" i="4"/>
  <c r="L93" i="4" s="1"/>
  <c r="K38" i="4"/>
  <c r="J38" i="4"/>
  <c r="I38" i="4"/>
  <c r="H38" i="4"/>
  <c r="G38" i="4"/>
  <c r="F38" i="4"/>
  <c r="E38" i="4"/>
  <c r="E93" i="4" s="1"/>
  <c r="D38" i="4"/>
  <c r="D93" i="4" s="1"/>
  <c r="S37" i="4"/>
  <c r="R37" i="4"/>
  <c r="Q37" i="4"/>
  <c r="P37" i="4"/>
  <c r="P74" i="4" s="1"/>
  <c r="O37" i="4"/>
  <c r="O74" i="4" s="1"/>
  <c r="N37" i="4"/>
  <c r="N74" i="4" s="1"/>
  <c r="M37" i="4"/>
  <c r="M74" i="4" s="1"/>
  <c r="L37" i="4"/>
  <c r="L74" i="4" s="1"/>
  <c r="K37" i="4"/>
  <c r="K74" i="4" s="1"/>
  <c r="J37" i="4"/>
  <c r="I37" i="4"/>
  <c r="I74" i="4" s="1"/>
  <c r="H37" i="4"/>
  <c r="H74" i="4" s="1"/>
  <c r="G37" i="4"/>
  <c r="F37" i="4"/>
  <c r="E37" i="4"/>
  <c r="D37" i="4"/>
  <c r="S36" i="4"/>
  <c r="R36" i="4"/>
  <c r="Q36" i="4"/>
  <c r="P36" i="4"/>
  <c r="P81" i="4" s="1"/>
  <c r="O36" i="4"/>
  <c r="N36" i="4"/>
  <c r="M36" i="4"/>
  <c r="M81" i="4" s="1"/>
  <c r="L36" i="4"/>
  <c r="K36" i="4"/>
  <c r="K81" i="4" s="1"/>
  <c r="J36" i="4"/>
  <c r="J81" i="4" s="1"/>
  <c r="I36" i="4"/>
  <c r="I81" i="4" s="1"/>
  <c r="H36" i="4"/>
  <c r="H81" i="4" s="1"/>
  <c r="G36" i="4"/>
  <c r="G81" i="4" s="1"/>
  <c r="F36" i="4"/>
  <c r="F81" i="4" s="1"/>
  <c r="E36" i="4"/>
  <c r="E81" i="4" s="1"/>
  <c r="D36" i="4"/>
  <c r="D81" i="4" s="1"/>
  <c r="L81" i="4"/>
  <c r="N81" i="4"/>
  <c r="O81" i="4"/>
  <c r="Q81" i="4"/>
  <c r="R81" i="4"/>
  <c r="S81" i="4"/>
  <c r="D74" i="4"/>
  <c r="E74" i="4"/>
  <c r="F74" i="4"/>
  <c r="G74" i="4"/>
  <c r="J74" i="4"/>
  <c r="Q74" i="4"/>
  <c r="R74" i="4"/>
  <c r="S74" i="4"/>
  <c r="F93" i="4"/>
  <c r="G93" i="4"/>
  <c r="H93" i="4"/>
  <c r="I93" i="4"/>
  <c r="J93" i="4"/>
  <c r="K93" i="4"/>
  <c r="O93" i="4"/>
  <c r="P93" i="4"/>
  <c r="F91" i="4"/>
  <c r="G91" i="4"/>
  <c r="H91" i="4"/>
  <c r="K91" i="4"/>
  <c r="L91" i="4"/>
  <c r="M91" i="4"/>
  <c r="N91" i="4"/>
  <c r="O91" i="4"/>
  <c r="G71" i="4"/>
  <c r="H71" i="4"/>
  <c r="I71" i="4"/>
  <c r="J71" i="4"/>
  <c r="O71" i="4"/>
  <c r="Q71" i="4"/>
  <c r="R71" i="4"/>
  <c r="D76" i="4"/>
  <c r="E76" i="4"/>
  <c r="F76" i="4"/>
  <c r="G76" i="4"/>
  <c r="M76" i="4"/>
  <c r="N76" i="4"/>
  <c r="O76" i="4"/>
  <c r="P76" i="4"/>
  <c r="Q76" i="4"/>
  <c r="G70" i="4"/>
  <c r="H70" i="4"/>
  <c r="I70" i="4"/>
  <c r="J70" i="4"/>
  <c r="K70" i="4"/>
  <c r="R70" i="4"/>
  <c r="S70" i="4"/>
  <c r="D78" i="4"/>
  <c r="E78" i="4"/>
  <c r="H78" i="4"/>
  <c r="L78" i="4"/>
  <c r="M78" i="4"/>
  <c r="N78" i="4"/>
  <c r="O78" i="4"/>
  <c r="G88" i="4"/>
  <c r="H88" i="4"/>
  <c r="I88" i="4"/>
  <c r="J88" i="4"/>
  <c r="K88" i="4"/>
  <c r="L88" i="4"/>
  <c r="M88" i="4"/>
  <c r="Q88" i="4"/>
  <c r="R88" i="4"/>
  <c r="S88" i="4"/>
  <c r="K89" i="4"/>
  <c r="L89" i="4"/>
  <c r="M89" i="4"/>
  <c r="N89" i="4"/>
  <c r="O89" i="4"/>
  <c r="P89" i="4"/>
  <c r="Q89" i="4"/>
  <c r="E82" i="4"/>
  <c r="F82" i="4"/>
  <c r="G82" i="4"/>
  <c r="P82" i="4"/>
  <c r="Q82" i="4"/>
  <c r="R82" i="4"/>
  <c r="S82" i="4"/>
  <c r="D85" i="4"/>
  <c r="E85" i="4"/>
  <c r="F85" i="4"/>
  <c r="G85" i="4"/>
  <c r="H85" i="4"/>
  <c r="J85" i="4"/>
  <c r="K85" i="4"/>
  <c r="D84" i="4"/>
  <c r="E84" i="4"/>
  <c r="F84" i="4"/>
  <c r="G84" i="4"/>
  <c r="H84" i="4"/>
  <c r="I84" i="4"/>
  <c r="J84" i="4"/>
  <c r="K84" i="4"/>
  <c r="L84" i="4"/>
  <c r="N84" i="4"/>
  <c r="O84" i="4"/>
  <c r="I92" i="4"/>
  <c r="J92" i="4"/>
  <c r="K92" i="4"/>
  <c r="L92" i="4"/>
  <c r="M92" i="4"/>
  <c r="N92" i="4"/>
  <c r="O92" i="4"/>
  <c r="P92" i="4"/>
  <c r="Q92" i="4"/>
  <c r="R92" i="4"/>
  <c r="S92" i="4"/>
  <c r="M79" i="4"/>
  <c r="O79" i="4"/>
  <c r="P79" i="4"/>
  <c r="Q79" i="4"/>
  <c r="R79" i="4"/>
  <c r="S79" i="4"/>
  <c r="D90" i="4"/>
  <c r="E90" i="4"/>
  <c r="F90" i="4"/>
  <c r="G90" i="4"/>
  <c r="P90" i="4"/>
  <c r="R90" i="4"/>
  <c r="S90" i="4"/>
  <c r="D95" i="4"/>
  <c r="E95" i="4"/>
  <c r="H95" i="4"/>
  <c r="I95" i="4"/>
  <c r="J95" i="4"/>
  <c r="K95" i="4"/>
  <c r="L95" i="4"/>
  <c r="D80" i="4"/>
  <c r="F80" i="4"/>
  <c r="G80" i="4"/>
  <c r="I80" i="4"/>
  <c r="J80" i="4"/>
  <c r="K80" i="4"/>
  <c r="L80" i="4"/>
  <c r="M80" i="4"/>
  <c r="N80" i="4"/>
  <c r="O80" i="4"/>
  <c r="Q80" i="4"/>
  <c r="J75" i="4"/>
  <c r="K75" i="4"/>
  <c r="N75" i="4"/>
  <c r="O75" i="4"/>
  <c r="P75" i="4"/>
  <c r="Q75" i="4"/>
  <c r="R75" i="4"/>
  <c r="S75" i="4"/>
  <c r="E96" i="4"/>
  <c r="F96" i="4"/>
  <c r="M96" i="4"/>
  <c r="N96" i="4"/>
  <c r="O96" i="4"/>
  <c r="R96" i="4"/>
  <c r="S96" i="4"/>
  <c r="D97" i="4"/>
  <c r="E97" i="4"/>
  <c r="F97" i="4"/>
  <c r="G97" i="4"/>
  <c r="I97" i="4"/>
  <c r="J97" i="4"/>
  <c r="Q97" i="4"/>
  <c r="R97" i="4"/>
  <c r="S97" i="4"/>
  <c r="F98" i="4"/>
  <c r="G98" i="4"/>
  <c r="H98" i="4"/>
  <c r="I98" i="4"/>
  <c r="J98" i="4"/>
  <c r="K98" i="4"/>
  <c r="N98" i="4"/>
  <c r="O98" i="4"/>
  <c r="F87" i="4"/>
  <c r="G87" i="4"/>
  <c r="H87" i="4"/>
  <c r="K87" i="4"/>
  <c r="L87" i="4"/>
  <c r="M87" i="4"/>
  <c r="N87" i="4"/>
  <c r="O87" i="4"/>
  <c r="R87" i="4"/>
  <c r="S87" i="4"/>
  <c r="D72" i="4"/>
  <c r="J72" i="4"/>
  <c r="K72" i="4"/>
  <c r="L72" i="4"/>
  <c r="O72" i="4"/>
  <c r="P72" i="4"/>
  <c r="Q72" i="4"/>
  <c r="R72" i="4"/>
  <c r="S72" i="4"/>
  <c r="F73" i="4"/>
  <c r="G73" i="4"/>
  <c r="H73" i="4"/>
  <c r="N73" i="4"/>
  <c r="O73" i="4"/>
  <c r="P73" i="4"/>
  <c r="S73" i="4"/>
  <c r="D83" i="4"/>
  <c r="E83" i="4"/>
  <c r="F83" i="4"/>
  <c r="G83" i="4"/>
  <c r="J83" i="4"/>
  <c r="K83" i="4"/>
  <c r="L83" i="4"/>
  <c r="Q83" i="4"/>
  <c r="R83" i="4"/>
  <c r="S83" i="4"/>
  <c r="D86" i="4"/>
  <c r="G86" i="4"/>
  <c r="H86" i="4"/>
  <c r="I86" i="4"/>
  <c r="J86" i="4"/>
  <c r="K86" i="4"/>
  <c r="N86" i="4"/>
  <c r="O86" i="4"/>
  <c r="P86" i="4"/>
  <c r="E99" i="4"/>
  <c r="F99" i="4"/>
  <c r="G99" i="4"/>
  <c r="H99" i="4"/>
  <c r="K99" i="4"/>
  <c r="L99" i="4"/>
  <c r="M99" i="4"/>
  <c r="N99" i="4"/>
  <c r="O99" i="4"/>
  <c r="R99" i="4"/>
  <c r="S99" i="4"/>
  <c r="D77" i="4"/>
  <c r="I77" i="4"/>
  <c r="J77" i="4"/>
  <c r="K77" i="4"/>
  <c r="L77" i="4"/>
  <c r="O77" i="4"/>
  <c r="P77" i="4"/>
  <c r="Q77" i="4"/>
  <c r="R77" i="4"/>
  <c r="S77" i="4"/>
  <c r="U94" i="4"/>
  <c r="T94" i="4"/>
  <c r="D87" i="4"/>
  <c r="P97" i="4"/>
  <c r="I75" i="4"/>
  <c r="S91" i="4"/>
  <c r="Q91" i="4"/>
  <c r="D38" i="3"/>
  <c r="D83" i="3" s="1"/>
  <c r="S67" i="3"/>
  <c r="R67" i="3"/>
  <c r="R79" i="3" s="1"/>
  <c r="Q67" i="3"/>
  <c r="Q79" i="3" s="1"/>
  <c r="P67" i="3"/>
  <c r="P79" i="3" s="1"/>
  <c r="O67" i="3"/>
  <c r="N67" i="3"/>
  <c r="M67" i="3"/>
  <c r="M79" i="3" s="1"/>
  <c r="L67" i="3"/>
  <c r="L79" i="3" s="1"/>
  <c r="K67" i="3"/>
  <c r="K79" i="3" s="1"/>
  <c r="J67" i="3"/>
  <c r="J79" i="3" s="1"/>
  <c r="I67" i="3"/>
  <c r="I79" i="3" s="1"/>
  <c r="H67" i="3"/>
  <c r="H79" i="3" s="1"/>
  <c r="G67" i="3"/>
  <c r="G79" i="3" s="1"/>
  <c r="F67" i="3"/>
  <c r="F79" i="3" s="1"/>
  <c r="E67" i="3"/>
  <c r="D67" i="3"/>
  <c r="S66" i="3"/>
  <c r="R66" i="3"/>
  <c r="Q66" i="3"/>
  <c r="P66" i="3"/>
  <c r="O66" i="3"/>
  <c r="N66" i="3"/>
  <c r="N101" i="3" s="1"/>
  <c r="M66" i="3"/>
  <c r="L66" i="3"/>
  <c r="L101" i="3" s="1"/>
  <c r="K66" i="3"/>
  <c r="K101" i="3" s="1"/>
  <c r="J66" i="3"/>
  <c r="I66" i="3"/>
  <c r="I101" i="3" s="1"/>
  <c r="H66" i="3"/>
  <c r="H101" i="3" s="1"/>
  <c r="G66" i="3"/>
  <c r="G101" i="3" s="1"/>
  <c r="F66" i="3"/>
  <c r="F101" i="3" s="1"/>
  <c r="E66" i="3"/>
  <c r="E101" i="3" s="1"/>
  <c r="D66" i="3"/>
  <c r="D101" i="3" s="1"/>
  <c r="S65" i="3"/>
  <c r="S88" i="3" s="1"/>
  <c r="R65" i="3"/>
  <c r="R88" i="3" s="1"/>
  <c r="Q65" i="3"/>
  <c r="P65" i="3"/>
  <c r="O65" i="3"/>
  <c r="N65" i="3"/>
  <c r="M65" i="3"/>
  <c r="L65" i="3"/>
  <c r="K65" i="3"/>
  <c r="J65" i="3"/>
  <c r="J88" i="3" s="1"/>
  <c r="I65" i="3"/>
  <c r="I88" i="3" s="1"/>
  <c r="H65" i="3"/>
  <c r="H88" i="3" s="1"/>
  <c r="G65" i="3"/>
  <c r="F65" i="3"/>
  <c r="E65" i="3"/>
  <c r="E88" i="3" s="1"/>
  <c r="D65" i="3"/>
  <c r="D88" i="3" s="1"/>
  <c r="S64" i="3"/>
  <c r="S85" i="3" s="1"/>
  <c r="R64" i="3"/>
  <c r="R85" i="3" s="1"/>
  <c r="Q64" i="3"/>
  <c r="Q85" i="3" s="1"/>
  <c r="P64" i="3"/>
  <c r="P85" i="3" s="1"/>
  <c r="O64" i="3"/>
  <c r="O85" i="3" s="1"/>
  <c r="N64" i="3"/>
  <c r="N85" i="3" s="1"/>
  <c r="M64" i="3"/>
  <c r="L64" i="3"/>
  <c r="K64" i="3"/>
  <c r="J64" i="3"/>
  <c r="I64" i="3"/>
  <c r="H64" i="3"/>
  <c r="G64" i="3"/>
  <c r="F64" i="3"/>
  <c r="F85" i="3" s="1"/>
  <c r="E64" i="3"/>
  <c r="D64" i="3"/>
  <c r="D85" i="3" s="1"/>
  <c r="S63" i="3"/>
  <c r="R63" i="3"/>
  <c r="Q63" i="3"/>
  <c r="Q76" i="3" s="1"/>
  <c r="P63" i="3"/>
  <c r="P76" i="3" s="1"/>
  <c r="O63" i="3"/>
  <c r="O76" i="3" s="1"/>
  <c r="N63" i="3"/>
  <c r="N76" i="3" s="1"/>
  <c r="M63" i="3"/>
  <c r="M76" i="3" s="1"/>
  <c r="L63" i="3"/>
  <c r="L76" i="3" s="1"/>
  <c r="K63" i="3"/>
  <c r="K76" i="3" s="1"/>
  <c r="J63" i="3"/>
  <c r="J76" i="3" s="1"/>
  <c r="I63" i="3"/>
  <c r="H63" i="3"/>
  <c r="G63" i="3"/>
  <c r="F63" i="3"/>
  <c r="E63" i="3"/>
  <c r="D63" i="3"/>
  <c r="S62" i="3"/>
  <c r="R62" i="3"/>
  <c r="R74" i="3" s="1"/>
  <c r="Q62" i="3"/>
  <c r="P62" i="3"/>
  <c r="P74" i="3" s="1"/>
  <c r="O62" i="3"/>
  <c r="N62" i="3"/>
  <c r="M62" i="3"/>
  <c r="M74" i="3" s="1"/>
  <c r="L62" i="3"/>
  <c r="L74" i="3" s="1"/>
  <c r="K62" i="3"/>
  <c r="K74" i="3" s="1"/>
  <c r="J62" i="3"/>
  <c r="J74" i="3" s="1"/>
  <c r="I62" i="3"/>
  <c r="I74" i="3" s="1"/>
  <c r="H62" i="3"/>
  <c r="H74" i="3" s="1"/>
  <c r="G62" i="3"/>
  <c r="G74" i="3" s="1"/>
  <c r="F62" i="3"/>
  <c r="F74" i="3" s="1"/>
  <c r="E62" i="3"/>
  <c r="D62" i="3"/>
  <c r="S61" i="3"/>
  <c r="R61" i="3"/>
  <c r="Q61" i="3"/>
  <c r="P61" i="3"/>
  <c r="O61" i="3"/>
  <c r="N61" i="3"/>
  <c r="M61" i="3"/>
  <c r="L61" i="3"/>
  <c r="L89" i="3" s="1"/>
  <c r="K61" i="3"/>
  <c r="K89" i="3" s="1"/>
  <c r="J61" i="3"/>
  <c r="I61" i="3"/>
  <c r="I89" i="3" s="1"/>
  <c r="H61" i="3"/>
  <c r="H89" i="3" s="1"/>
  <c r="G61" i="3"/>
  <c r="G89" i="3" s="1"/>
  <c r="F61" i="3"/>
  <c r="F89" i="3" s="1"/>
  <c r="E61" i="3"/>
  <c r="E89" i="3" s="1"/>
  <c r="D61" i="3"/>
  <c r="D89" i="3" s="1"/>
  <c r="S60" i="3"/>
  <c r="S100" i="3" s="1"/>
  <c r="R60" i="3"/>
  <c r="R100" i="3" s="1"/>
  <c r="Q60" i="3"/>
  <c r="P60" i="3"/>
  <c r="O60" i="3"/>
  <c r="N60" i="3"/>
  <c r="M60" i="3"/>
  <c r="L60" i="3"/>
  <c r="K60" i="3"/>
  <c r="J60" i="3"/>
  <c r="I60" i="3"/>
  <c r="H60" i="3"/>
  <c r="H100" i="3" s="1"/>
  <c r="G60" i="3"/>
  <c r="F60" i="3"/>
  <c r="E60" i="3"/>
  <c r="E100" i="3" s="1"/>
  <c r="D60" i="3"/>
  <c r="D100" i="3" s="1"/>
  <c r="S59" i="3"/>
  <c r="S99" i="3" s="1"/>
  <c r="R59" i="3"/>
  <c r="R99" i="3" s="1"/>
  <c r="Q59" i="3"/>
  <c r="Q99" i="3" s="1"/>
  <c r="P59" i="3"/>
  <c r="P99" i="3" s="1"/>
  <c r="O59" i="3"/>
  <c r="O99" i="3" s="1"/>
  <c r="N59" i="3"/>
  <c r="N99" i="3" s="1"/>
  <c r="M59" i="3"/>
  <c r="L59" i="3"/>
  <c r="K59" i="3"/>
  <c r="J59" i="3"/>
  <c r="I59" i="3"/>
  <c r="H59" i="3"/>
  <c r="G59" i="3"/>
  <c r="F59" i="3"/>
  <c r="F99" i="3" s="1"/>
  <c r="E59" i="3"/>
  <c r="E99" i="3" s="1"/>
  <c r="D59" i="3"/>
  <c r="D99" i="3" s="1"/>
  <c r="S58" i="3"/>
  <c r="S98" i="3" s="1"/>
  <c r="R58" i="3"/>
  <c r="R98" i="3" s="1"/>
  <c r="Q58" i="3"/>
  <c r="Q98" i="3" s="1"/>
  <c r="P58" i="3"/>
  <c r="P98" i="3" s="1"/>
  <c r="O58" i="3"/>
  <c r="O98" i="3" s="1"/>
  <c r="N58" i="3"/>
  <c r="N98" i="3" s="1"/>
  <c r="M58" i="3"/>
  <c r="M98" i="3" s="1"/>
  <c r="L58" i="3"/>
  <c r="L98" i="3" s="1"/>
  <c r="K58" i="3"/>
  <c r="K98" i="3" s="1"/>
  <c r="J58" i="3"/>
  <c r="J98" i="3" s="1"/>
  <c r="I58" i="3"/>
  <c r="H58" i="3"/>
  <c r="G58" i="3"/>
  <c r="F58" i="3"/>
  <c r="E58" i="3"/>
  <c r="D58" i="3"/>
  <c r="S57" i="3"/>
  <c r="R57" i="3"/>
  <c r="R77" i="3" s="1"/>
  <c r="Q57" i="3"/>
  <c r="P57" i="3"/>
  <c r="P77" i="3" s="1"/>
  <c r="O57" i="3"/>
  <c r="N57" i="3"/>
  <c r="M57" i="3"/>
  <c r="M77" i="3" s="1"/>
  <c r="L57" i="3"/>
  <c r="L77" i="3" s="1"/>
  <c r="K57" i="3"/>
  <c r="K77" i="3" s="1"/>
  <c r="J57" i="3"/>
  <c r="J77" i="3" s="1"/>
  <c r="I57" i="3"/>
  <c r="I77" i="3" s="1"/>
  <c r="H57" i="3"/>
  <c r="H77" i="3" s="1"/>
  <c r="G57" i="3"/>
  <c r="G77" i="3" s="1"/>
  <c r="F57" i="3"/>
  <c r="F77" i="3" s="1"/>
  <c r="E57" i="3"/>
  <c r="D57" i="3"/>
  <c r="S56" i="3"/>
  <c r="R56" i="3"/>
  <c r="Q56" i="3"/>
  <c r="P56" i="3"/>
  <c r="O56" i="3"/>
  <c r="N56" i="3"/>
  <c r="N82" i="3" s="1"/>
  <c r="M56" i="3"/>
  <c r="M82" i="3" s="1"/>
  <c r="L56" i="3"/>
  <c r="L82" i="3" s="1"/>
  <c r="K56" i="3"/>
  <c r="K82" i="3" s="1"/>
  <c r="J56" i="3"/>
  <c r="I56" i="3"/>
  <c r="I82" i="3" s="1"/>
  <c r="H56" i="3"/>
  <c r="H82" i="3" s="1"/>
  <c r="G56" i="3"/>
  <c r="G82" i="3" s="1"/>
  <c r="F56" i="3"/>
  <c r="F82" i="3" s="1"/>
  <c r="E56" i="3"/>
  <c r="E82" i="3" s="1"/>
  <c r="D56" i="3"/>
  <c r="D82" i="3" s="1"/>
  <c r="S55" i="3"/>
  <c r="S97" i="3" s="1"/>
  <c r="R55" i="3"/>
  <c r="R97" i="3" s="1"/>
  <c r="Q55" i="3"/>
  <c r="P55" i="3"/>
  <c r="O55" i="3"/>
  <c r="N55" i="3"/>
  <c r="M55" i="3"/>
  <c r="L55" i="3"/>
  <c r="K55" i="3"/>
  <c r="J55" i="3"/>
  <c r="J97" i="3" s="1"/>
  <c r="I55" i="3"/>
  <c r="I97" i="3" s="1"/>
  <c r="H55" i="3"/>
  <c r="H97" i="3" s="1"/>
  <c r="G55" i="3"/>
  <c r="F55" i="3"/>
  <c r="F97" i="3" s="1"/>
  <c r="E55" i="3"/>
  <c r="E97" i="3" s="1"/>
  <c r="D55" i="3"/>
  <c r="D97" i="3" s="1"/>
  <c r="S54" i="3"/>
  <c r="S93" i="3" s="1"/>
  <c r="R54" i="3"/>
  <c r="R93" i="3" s="1"/>
  <c r="Q54" i="3"/>
  <c r="Q93" i="3" s="1"/>
  <c r="P54" i="3"/>
  <c r="P93" i="3" s="1"/>
  <c r="O54" i="3"/>
  <c r="O93" i="3" s="1"/>
  <c r="N54" i="3"/>
  <c r="N93" i="3" s="1"/>
  <c r="M54" i="3"/>
  <c r="L54" i="3"/>
  <c r="K54" i="3"/>
  <c r="J54" i="3"/>
  <c r="I54" i="3"/>
  <c r="H54" i="3"/>
  <c r="G54" i="3"/>
  <c r="F54" i="3"/>
  <c r="F93" i="3" s="1"/>
  <c r="E54" i="3"/>
  <c r="E93" i="3" s="1"/>
  <c r="D54" i="3"/>
  <c r="D93" i="3" s="1"/>
  <c r="S53" i="3"/>
  <c r="S81" i="3" s="1"/>
  <c r="R53" i="3"/>
  <c r="Q53" i="3"/>
  <c r="Q81" i="3" s="1"/>
  <c r="P53" i="3"/>
  <c r="P81" i="3" s="1"/>
  <c r="O53" i="3"/>
  <c r="O81" i="3" s="1"/>
  <c r="N53" i="3"/>
  <c r="N81" i="3" s="1"/>
  <c r="M53" i="3"/>
  <c r="M81" i="3" s="1"/>
  <c r="L53" i="3"/>
  <c r="L81" i="3" s="1"/>
  <c r="K53" i="3"/>
  <c r="K81" i="3" s="1"/>
  <c r="J53" i="3"/>
  <c r="J81" i="3" s="1"/>
  <c r="I53" i="3"/>
  <c r="H53" i="3"/>
  <c r="G53" i="3"/>
  <c r="F53" i="3"/>
  <c r="E53" i="3"/>
  <c r="D53" i="3"/>
  <c r="S52" i="3"/>
  <c r="R52" i="3"/>
  <c r="R94" i="3" s="1"/>
  <c r="Q52" i="3"/>
  <c r="Q94" i="3" s="1"/>
  <c r="P52" i="3"/>
  <c r="P94" i="3" s="1"/>
  <c r="O52" i="3"/>
  <c r="N52" i="3"/>
  <c r="M52" i="3"/>
  <c r="M94" i="3" s="1"/>
  <c r="L52" i="3"/>
  <c r="L94" i="3" s="1"/>
  <c r="K52" i="3"/>
  <c r="K94" i="3" s="1"/>
  <c r="J52" i="3"/>
  <c r="J94" i="3" s="1"/>
  <c r="I52" i="3"/>
  <c r="I94" i="3" s="1"/>
  <c r="H52" i="3"/>
  <c r="H94" i="3" s="1"/>
  <c r="G52" i="3"/>
  <c r="G94" i="3" s="1"/>
  <c r="F52" i="3"/>
  <c r="F94" i="3" s="1"/>
  <c r="E52" i="3"/>
  <c r="D52" i="3"/>
  <c r="S51" i="3"/>
  <c r="R51" i="3"/>
  <c r="Q51" i="3"/>
  <c r="P51" i="3"/>
  <c r="O51" i="3"/>
  <c r="N51" i="3"/>
  <c r="N86" i="3" s="1"/>
  <c r="M51" i="3"/>
  <c r="M86" i="3" s="1"/>
  <c r="L51" i="3"/>
  <c r="L86" i="3" s="1"/>
  <c r="K51" i="3"/>
  <c r="J51" i="3"/>
  <c r="I51" i="3"/>
  <c r="I86" i="3" s="1"/>
  <c r="H51" i="3"/>
  <c r="H86" i="3" s="1"/>
  <c r="G51" i="3"/>
  <c r="G86" i="3" s="1"/>
  <c r="F51" i="3"/>
  <c r="F86" i="3" s="1"/>
  <c r="E51" i="3"/>
  <c r="E86" i="3" s="1"/>
  <c r="D51" i="3"/>
  <c r="D86" i="3" s="1"/>
  <c r="S50" i="3"/>
  <c r="S87" i="3" s="1"/>
  <c r="R50" i="3"/>
  <c r="R87" i="3" s="1"/>
  <c r="Q50" i="3"/>
  <c r="P50" i="3"/>
  <c r="O50" i="3"/>
  <c r="N50" i="3"/>
  <c r="N87" i="3" s="1"/>
  <c r="M50" i="3"/>
  <c r="L50" i="3"/>
  <c r="K50" i="3"/>
  <c r="J50" i="3"/>
  <c r="J87" i="3" s="1"/>
  <c r="I50" i="3"/>
  <c r="I87" i="3" s="1"/>
  <c r="H50" i="3"/>
  <c r="H87" i="3" s="1"/>
  <c r="G50" i="3"/>
  <c r="F50" i="3"/>
  <c r="E50" i="3"/>
  <c r="E87" i="3" s="1"/>
  <c r="D50" i="3"/>
  <c r="D87" i="3" s="1"/>
  <c r="S49" i="3"/>
  <c r="S84" i="3" s="1"/>
  <c r="R49" i="3"/>
  <c r="R84" i="3" s="1"/>
  <c r="Q49" i="3"/>
  <c r="Q84" i="3" s="1"/>
  <c r="P49" i="3"/>
  <c r="P84" i="3" s="1"/>
  <c r="O49" i="3"/>
  <c r="O84" i="3" s="1"/>
  <c r="N49" i="3"/>
  <c r="N84" i="3" s="1"/>
  <c r="M49" i="3"/>
  <c r="L49" i="3"/>
  <c r="K49" i="3"/>
  <c r="J49" i="3"/>
  <c r="J84" i="3" s="1"/>
  <c r="I49" i="3"/>
  <c r="H49" i="3"/>
  <c r="G49" i="3"/>
  <c r="F49" i="3"/>
  <c r="F84" i="3" s="1"/>
  <c r="E49" i="3"/>
  <c r="E84" i="3" s="1"/>
  <c r="D49" i="3"/>
  <c r="D84" i="3" s="1"/>
  <c r="S48" i="3"/>
  <c r="R48" i="3"/>
  <c r="Q48" i="3"/>
  <c r="Q91" i="3" s="1"/>
  <c r="P48" i="3"/>
  <c r="P91" i="3" s="1"/>
  <c r="O48" i="3"/>
  <c r="O91" i="3" s="1"/>
  <c r="N48" i="3"/>
  <c r="N91" i="3" s="1"/>
  <c r="M48" i="3"/>
  <c r="M91" i="3" s="1"/>
  <c r="L48" i="3"/>
  <c r="L91" i="3" s="1"/>
  <c r="K48" i="3"/>
  <c r="K91" i="3" s="1"/>
  <c r="J48" i="3"/>
  <c r="J91" i="3" s="1"/>
  <c r="I48" i="3"/>
  <c r="H48" i="3"/>
  <c r="G48" i="3"/>
  <c r="F48" i="3"/>
  <c r="F91" i="3" s="1"/>
  <c r="E48" i="3"/>
  <c r="D48" i="3"/>
  <c r="S47" i="3"/>
  <c r="R47" i="3"/>
  <c r="R90" i="3" s="1"/>
  <c r="Q47" i="3"/>
  <c r="Q90" i="3" s="1"/>
  <c r="P47" i="3"/>
  <c r="P90" i="3" s="1"/>
  <c r="O47" i="3"/>
  <c r="N47" i="3"/>
  <c r="M47" i="3"/>
  <c r="M90" i="3" s="1"/>
  <c r="L47" i="3"/>
  <c r="L90" i="3" s="1"/>
  <c r="K47" i="3"/>
  <c r="K90" i="3" s="1"/>
  <c r="J47" i="3"/>
  <c r="J90" i="3" s="1"/>
  <c r="I47" i="3"/>
  <c r="I90" i="3" s="1"/>
  <c r="H47" i="3"/>
  <c r="H90" i="3" s="1"/>
  <c r="G47" i="3"/>
  <c r="G90" i="3" s="1"/>
  <c r="F47" i="3"/>
  <c r="F90" i="3" s="1"/>
  <c r="E47" i="3"/>
  <c r="D47" i="3"/>
  <c r="S46" i="3"/>
  <c r="R46" i="3"/>
  <c r="Q46" i="3"/>
  <c r="Q80" i="3" s="1"/>
  <c r="P46" i="3"/>
  <c r="O46" i="3"/>
  <c r="N46" i="3"/>
  <c r="N80" i="3" s="1"/>
  <c r="M46" i="3"/>
  <c r="M80" i="3" s="1"/>
  <c r="L46" i="3"/>
  <c r="L80" i="3" s="1"/>
  <c r="K46" i="3"/>
  <c r="K80" i="3" s="1"/>
  <c r="J46" i="3"/>
  <c r="I46" i="3"/>
  <c r="H46" i="3"/>
  <c r="H80" i="3" s="1"/>
  <c r="G46" i="3"/>
  <c r="G80" i="3" s="1"/>
  <c r="F46" i="3"/>
  <c r="F80" i="3" s="1"/>
  <c r="E46" i="3"/>
  <c r="E80" i="3" s="1"/>
  <c r="D46" i="3"/>
  <c r="D80" i="3" s="1"/>
  <c r="S45" i="3"/>
  <c r="S72" i="3" s="1"/>
  <c r="R45" i="3"/>
  <c r="R72" i="3" s="1"/>
  <c r="Q45" i="3"/>
  <c r="P45" i="3"/>
  <c r="O45" i="3"/>
  <c r="N45" i="3"/>
  <c r="M45" i="3"/>
  <c r="M72" i="3" s="1"/>
  <c r="L45" i="3"/>
  <c r="K45" i="3"/>
  <c r="J45" i="3"/>
  <c r="J72" i="3" s="1"/>
  <c r="J107" i="3" s="1"/>
  <c r="I45" i="3"/>
  <c r="I72" i="3" s="1"/>
  <c r="H45" i="3"/>
  <c r="G45" i="3"/>
  <c r="G72" i="3" s="1"/>
  <c r="G107" i="3" s="1"/>
  <c r="F45" i="3"/>
  <c r="E45" i="3"/>
  <c r="E72" i="3" s="1"/>
  <c r="E107" i="3" s="1"/>
  <c r="D45" i="3"/>
  <c r="D72" i="3" s="1"/>
  <c r="S44" i="3"/>
  <c r="S78" i="3" s="1"/>
  <c r="R44" i="3"/>
  <c r="Q44" i="3"/>
  <c r="Q78" i="3" s="1"/>
  <c r="P44" i="3"/>
  <c r="P78" i="3" s="1"/>
  <c r="O44" i="3"/>
  <c r="O78" i="3" s="1"/>
  <c r="N44" i="3"/>
  <c r="N78" i="3" s="1"/>
  <c r="M44" i="3"/>
  <c r="M78" i="3" s="1"/>
  <c r="L44" i="3"/>
  <c r="K44" i="3"/>
  <c r="J44" i="3"/>
  <c r="I44" i="3"/>
  <c r="H44" i="3"/>
  <c r="H78" i="3" s="1"/>
  <c r="G44" i="3"/>
  <c r="F44" i="3"/>
  <c r="F78" i="3" s="1"/>
  <c r="E44" i="3"/>
  <c r="D44" i="3"/>
  <c r="S43" i="3"/>
  <c r="R43" i="3"/>
  <c r="R73" i="3" s="1"/>
  <c r="Q43" i="3"/>
  <c r="P43" i="3"/>
  <c r="P73" i="3" s="1"/>
  <c r="O43" i="3"/>
  <c r="O73" i="3" s="1"/>
  <c r="N43" i="3"/>
  <c r="M43" i="3"/>
  <c r="M73" i="3" s="1"/>
  <c r="L43" i="3"/>
  <c r="L73" i="3" s="1"/>
  <c r="K43" i="3"/>
  <c r="K73" i="3" s="1"/>
  <c r="J43" i="3"/>
  <c r="J73" i="3" s="1"/>
  <c r="I43" i="3"/>
  <c r="I73" i="3" s="1"/>
  <c r="H43" i="3"/>
  <c r="H73" i="3" s="1"/>
  <c r="G43" i="3"/>
  <c r="F43" i="3"/>
  <c r="E43" i="3"/>
  <c r="D43" i="3"/>
  <c r="D73" i="3" s="1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S41" i="3"/>
  <c r="R41" i="3"/>
  <c r="Q41" i="3"/>
  <c r="P41" i="3"/>
  <c r="O41" i="3"/>
  <c r="N41" i="3"/>
  <c r="N92" i="3" s="1"/>
  <c r="M41" i="3"/>
  <c r="M92" i="3" s="1"/>
  <c r="L41" i="3"/>
  <c r="L92" i="3" s="1"/>
  <c r="K41" i="3"/>
  <c r="K92" i="3" s="1"/>
  <c r="J41" i="3"/>
  <c r="J92" i="3" s="1"/>
  <c r="I41" i="3"/>
  <c r="I92" i="3" s="1"/>
  <c r="H41" i="3"/>
  <c r="H92" i="3" s="1"/>
  <c r="G41" i="3"/>
  <c r="G92" i="3" s="1"/>
  <c r="F41" i="3"/>
  <c r="F92" i="3" s="1"/>
  <c r="E41" i="3"/>
  <c r="E92" i="3" s="1"/>
  <c r="D41" i="3"/>
  <c r="D92" i="3" s="1"/>
  <c r="S40" i="3"/>
  <c r="S95" i="3" s="1"/>
  <c r="R40" i="3"/>
  <c r="Q40" i="3"/>
  <c r="P40" i="3"/>
  <c r="P95" i="3" s="1"/>
  <c r="O40" i="3"/>
  <c r="N40" i="3"/>
  <c r="M40" i="3"/>
  <c r="L40" i="3"/>
  <c r="K40" i="3"/>
  <c r="J40" i="3"/>
  <c r="J95" i="3" s="1"/>
  <c r="I40" i="3"/>
  <c r="I95" i="3" s="1"/>
  <c r="H40" i="3"/>
  <c r="H95" i="3" s="1"/>
  <c r="G40" i="3"/>
  <c r="G95" i="3" s="1"/>
  <c r="F40" i="3"/>
  <c r="F95" i="3" s="1"/>
  <c r="E40" i="3"/>
  <c r="E95" i="3" s="1"/>
  <c r="D40" i="3"/>
  <c r="D95" i="3" s="1"/>
  <c r="S39" i="3"/>
  <c r="S75" i="3" s="1"/>
  <c r="R39" i="3"/>
  <c r="R75" i="3" s="1"/>
  <c r="Q39" i="3"/>
  <c r="Q75" i="3" s="1"/>
  <c r="P39" i="3"/>
  <c r="P75" i="3" s="1"/>
  <c r="O39" i="3"/>
  <c r="O75" i="3" s="1"/>
  <c r="N39" i="3"/>
  <c r="M39" i="3"/>
  <c r="L39" i="3"/>
  <c r="K39" i="3"/>
  <c r="K75" i="3" s="1"/>
  <c r="J39" i="3"/>
  <c r="I39" i="3"/>
  <c r="H39" i="3"/>
  <c r="G39" i="3"/>
  <c r="F39" i="3"/>
  <c r="F75" i="3" s="1"/>
  <c r="E39" i="3"/>
  <c r="E75" i="3" s="1"/>
  <c r="D39" i="3"/>
  <c r="D75" i="3" s="1"/>
  <c r="S38" i="3"/>
  <c r="S83" i="3" s="1"/>
  <c r="R38" i="3"/>
  <c r="R83" i="3" s="1"/>
  <c r="Q38" i="3"/>
  <c r="Q83" i="3" s="1"/>
  <c r="P38" i="3"/>
  <c r="P83" i="3" s="1"/>
  <c r="O38" i="3"/>
  <c r="O83" i="3" s="1"/>
  <c r="N38" i="3"/>
  <c r="N83" i="3" s="1"/>
  <c r="M38" i="3"/>
  <c r="M83" i="3" s="1"/>
  <c r="L38" i="3"/>
  <c r="L83" i="3" s="1"/>
  <c r="K38" i="3"/>
  <c r="K83" i="3" s="1"/>
  <c r="J38" i="3"/>
  <c r="I38" i="3"/>
  <c r="H38" i="3"/>
  <c r="G38" i="3"/>
  <c r="G83" i="3" s="1"/>
  <c r="F38" i="3"/>
  <c r="E38" i="3"/>
  <c r="C135" i="2"/>
  <c r="J130" i="2"/>
  <c r="J129" i="2"/>
  <c r="I120" i="2"/>
  <c r="I127" i="2"/>
  <c r="P127" i="2"/>
  <c r="S127" i="2"/>
  <c r="R127" i="2"/>
  <c r="Q127" i="2"/>
  <c r="O127" i="2"/>
  <c r="N127" i="2"/>
  <c r="M127" i="2"/>
  <c r="L127" i="2"/>
  <c r="K127" i="2"/>
  <c r="J127" i="2"/>
  <c r="H127" i="2"/>
  <c r="G127" i="2"/>
  <c r="F127" i="2"/>
  <c r="E127" i="2"/>
  <c r="D127" i="2"/>
  <c r="C127" i="2"/>
  <c r="B127" i="2"/>
  <c r="U127" i="2" s="1"/>
  <c r="M123" i="2"/>
  <c r="E119" i="2"/>
  <c r="P140" i="2"/>
  <c r="P139" i="2"/>
  <c r="P138" i="2"/>
  <c r="P137" i="2"/>
  <c r="P136" i="2"/>
  <c r="P135" i="2"/>
  <c r="P133" i="2"/>
  <c r="P132" i="2"/>
  <c r="P131" i="2"/>
  <c r="P130" i="2"/>
  <c r="P129" i="2"/>
  <c r="P128" i="2"/>
  <c r="P126" i="2"/>
  <c r="P125" i="2"/>
  <c r="P123" i="2"/>
  <c r="P122" i="2"/>
  <c r="P121" i="2"/>
  <c r="F115" i="2"/>
  <c r="S132" i="2"/>
  <c r="R132" i="2"/>
  <c r="Q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S128" i="2"/>
  <c r="R128" i="2"/>
  <c r="Q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S130" i="2"/>
  <c r="R130" i="2"/>
  <c r="Q130" i="2"/>
  <c r="O130" i="2"/>
  <c r="N130" i="2"/>
  <c r="M130" i="2"/>
  <c r="L130" i="2"/>
  <c r="K130" i="2"/>
  <c r="I130" i="2"/>
  <c r="H130" i="2"/>
  <c r="G130" i="2"/>
  <c r="F130" i="2"/>
  <c r="E130" i="2"/>
  <c r="D130" i="2"/>
  <c r="C130" i="2"/>
  <c r="B130" i="2"/>
  <c r="S129" i="2"/>
  <c r="R129" i="2"/>
  <c r="Q129" i="2"/>
  <c r="O129" i="2"/>
  <c r="N129" i="2"/>
  <c r="M129" i="2"/>
  <c r="L129" i="2"/>
  <c r="K129" i="2"/>
  <c r="I129" i="2"/>
  <c r="H129" i="2"/>
  <c r="G129" i="2"/>
  <c r="F129" i="2"/>
  <c r="E129" i="2"/>
  <c r="D129" i="2"/>
  <c r="C129" i="2"/>
  <c r="B129" i="2"/>
  <c r="S126" i="2"/>
  <c r="R126" i="2"/>
  <c r="Q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S131" i="2"/>
  <c r="R131" i="2"/>
  <c r="Q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S122" i="2"/>
  <c r="R122" i="2"/>
  <c r="Q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S121" i="2"/>
  <c r="R121" i="2"/>
  <c r="Q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S125" i="2"/>
  <c r="R125" i="2"/>
  <c r="Q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G118" i="2"/>
  <c r="L119" i="2"/>
  <c r="N140" i="2"/>
  <c r="B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S123" i="2"/>
  <c r="R123" i="2"/>
  <c r="Q123" i="2"/>
  <c r="O123" i="2"/>
  <c r="N123" i="2"/>
  <c r="L123" i="2"/>
  <c r="K123" i="2"/>
  <c r="J123" i="2"/>
  <c r="I123" i="2"/>
  <c r="H123" i="2"/>
  <c r="G123" i="2"/>
  <c r="F123" i="2"/>
  <c r="E123" i="2"/>
  <c r="D123" i="2"/>
  <c r="C123" i="2"/>
  <c r="B123" i="2"/>
  <c r="U123" i="2" s="1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C124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E115" i="2"/>
  <c r="D115" i="2"/>
  <c r="C115" i="2"/>
  <c r="B115" i="2"/>
  <c r="S140" i="2"/>
  <c r="R140" i="2"/>
  <c r="Q140" i="2"/>
  <c r="O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S119" i="2"/>
  <c r="R119" i="2"/>
  <c r="Q119" i="2"/>
  <c r="P119" i="2"/>
  <c r="O119" i="2"/>
  <c r="N119" i="2"/>
  <c r="M119" i="2"/>
  <c r="K119" i="2"/>
  <c r="J119" i="2"/>
  <c r="I119" i="2"/>
  <c r="H119" i="2"/>
  <c r="G119" i="2"/>
  <c r="F119" i="2"/>
  <c r="D119" i="2"/>
  <c r="C119" i="2"/>
  <c r="B119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F118" i="2"/>
  <c r="E118" i="2"/>
  <c r="D118" i="2"/>
  <c r="C118" i="2"/>
  <c r="B118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S139" i="2"/>
  <c r="R139" i="2"/>
  <c r="Q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S138" i="2"/>
  <c r="R138" i="2"/>
  <c r="Q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S137" i="2"/>
  <c r="R137" i="2"/>
  <c r="Q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S136" i="2"/>
  <c r="R136" i="2"/>
  <c r="Q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S120" i="2"/>
  <c r="R120" i="2"/>
  <c r="Q120" i="2"/>
  <c r="P120" i="2"/>
  <c r="O120" i="2"/>
  <c r="N120" i="2"/>
  <c r="M120" i="2"/>
  <c r="L120" i="2"/>
  <c r="K120" i="2"/>
  <c r="J120" i="2"/>
  <c r="H120" i="2"/>
  <c r="G120" i="2"/>
  <c r="F120" i="2"/>
  <c r="E120" i="2"/>
  <c r="D120" i="2"/>
  <c r="C120" i="2"/>
  <c r="B120" i="2"/>
  <c r="S135" i="2"/>
  <c r="R135" i="2"/>
  <c r="Q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B135" i="2"/>
  <c r="H134" i="2"/>
  <c r="B134" i="2"/>
  <c r="U134" i="2" s="1"/>
  <c r="S133" i="2"/>
  <c r="R133" i="2"/>
  <c r="Q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S73" i="2"/>
  <c r="R73" i="2"/>
  <c r="Q73" i="2"/>
  <c r="P73" i="2"/>
  <c r="O73" i="2"/>
  <c r="N73" i="2"/>
  <c r="M73" i="2"/>
  <c r="L73" i="2"/>
  <c r="K73" i="2"/>
  <c r="J73" i="2"/>
  <c r="H73" i="2"/>
  <c r="G73" i="2"/>
  <c r="F73" i="2"/>
  <c r="E73" i="2"/>
  <c r="D73" i="2"/>
  <c r="C73" i="2"/>
  <c r="B73" i="2"/>
  <c r="I73" i="2"/>
  <c r="T133" i="1"/>
  <c r="T119" i="1"/>
  <c r="T132" i="1"/>
  <c r="T120" i="1"/>
  <c r="T136" i="1"/>
  <c r="T129" i="1"/>
  <c r="T138" i="1"/>
  <c r="T118" i="1"/>
  <c r="T117" i="1"/>
  <c r="T116" i="1"/>
  <c r="T115" i="1"/>
  <c r="T125" i="1"/>
  <c r="T124" i="1"/>
  <c r="T130" i="1"/>
  <c r="T135" i="1"/>
  <c r="T114" i="1"/>
  <c r="T137" i="1"/>
  <c r="T113" i="1"/>
  <c r="T112" i="1"/>
  <c r="T123" i="1"/>
  <c r="T128" i="1"/>
  <c r="T134" i="1"/>
  <c r="T122" i="1"/>
  <c r="T111" i="1"/>
  <c r="T126" i="1"/>
  <c r="T110" i="1"/>
  <c r="T140" i="1"/>
  <c r="T139" i="1"/>
  <c r="T109" i="1"/>
  <c r="T121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G32" i="15" l="1"/>
  <c r="G26" i="15"/>
  <c r="G38" i="15"/>
  <c r="G39" i="15"/>
  <c r="G34" i="15"/>
  <c r="G40" i="15"/>
  <c r="G27" i="15"/>
  <c r="G30" i="15"/>
  <c r="G48" i="15"/>
  <c r="I48" i="15"/>
  <c r="H48" i="15"/>
  <c r="G41" i="15"/>
  <c r="E23" i="15"/>
  <c r="F23" i="15"/>
  <c r="G31" i="15"/>
  <c r="G36" i="15"/>
  <c r="G43" i="15"/>
  <c r="G29" i="15"/>
  <c r="G35" i="15"/>
  <c r="G28" i="15"/>
  <c r="G37" i="15"/>
  <c r="G42" i="15"/>
  <c r="G25" i="15"/>
  <c r="B23" i="15"/>
  <c r="G33" i="15"/>
  <c r="C23" i="15"/>
  <c r="D23" i="15"/>
  <c r="I50" i="14"/>
  <c r="H45" i="14"/>
  <c r="H50" i="14"/>
  <c r="H43" i="14"/>
  <c r="J50" i="14"/>
  <c r="H44" i="14"/>
  <c r="H42" i="14"/>
  <c r="C24" i="14"/>
  <c r="H38" i="14"/>
  <c r="H40" i="14"/>
  <c r="H34" i="14"/>
  <c r="H30" i="14"/>
  <c r="H36" i="14"/>
  <c r="H26" i="14"/>
  <c r="H32" i="14"/>
  <c r="B24" i="14"/>
  <c r="H28" i="14"/>
  <c r="D24" i="14"/>
  <c r="E24" i="14"/>
  <c r="H39" i="14"/>
  <c r="H41" i="14"/>
  <c r="H35" i="14"/>
  <c r="H37" i="14"/>
  <c r="F24" i="14"/>
  <c r="G24" i="14"/>
  <c r="H31" i="14"/>
  <c r="H33" i="14"/>
  <c r="H27" i="14"/>
  <c r="H29" i="14"/>
  <c r="I30" i="13"/>
  <c r="I31" i="13"/>
  <c r="I46" i="13"/>
  <c r="I45" i="13"/>
  <c r="I38" i="13"/>
  <c r="I44" i="13"/>
  <c r="I41" i="13"/>
  <c r="I29" i="13"/>
  <c r="I34" i="13"/>
  <c r="J52" i="13"/>
  <c r="C25" i="13"/>
  <c r="F25" i="13"/>
  <c r="I52" i="13"/>
  <c r="K52" i="13"/>
  <c r="I36" i="13"/>
  <c r="D25" i="13"/>
  <c r="I33" i="13"/>
  <c r="I28" i="13"/>
  <c r="E25" i="13"/>
  <c r="I40" i="13"/>
  <c r="G25" i="13"/>
  <c r="I35" i="13"/>
  <c r="H25" i="13"/>
  <c r="I39" i="13"/>
  <c r="I47" i="13"/>
  <c r="I42" i="13"/>
  <c r="I37" i="13"/>
  <c r="I27" i="13"/>
  <c r="I32" i="13"/>
  <c r="B25" i="13"/>
  <c r="I43" i="13"/>
  <c r="J46" i="12"/>
  <c r="J54" i="12"/>
  <c r="J42" i="12"/>
  <c r="J44" i="12"/>
  <c r="J43" i="12"/>
  <c r="J49" i="12"/>
  <c r="J40" i="12"/>
  <c r="J41" i="12"/>
  <c r="J45" i="12"/>
  <c r="J47" i="12"/>
  <c r="J48" i="12"/>
  <c r="J39" i="12"/>
  <c r="L54" i="12"/>
  <c r="J34" i="12"/>
  <c r="K54" i="12"/>
  <c r="I26" i="12"/>
  <c r="J32" i="12"/>
  <c r="J35" i="12"/>
  <c r="J29" i="12"/>
  <c r="D26" i="12"/>
  <c r="J28" i="12"/>
  <c r="J31" i="12"/>
  <c r="J37" i="12"/>
  <c r="B26" i="12"/>
  <c r="C26" i="12"/>
  <c r="J36" i="12"/>
  <c r="E26" i="12"/>
  <c r="J30" i="12"/>
  <c r="J33" i="12"/>
  <c r="F26" i="12"/>
  <c r="G26" i="12"/>
  <c r="J38" i="12"/>
  <c r="H26" i="12"/>
  <c r="K40" i="11"/>
  <c r="K44" i="11"/>
  <c r="K49" i="11"/>
  <c r="K45" i="11"/>
  <c r="K46" i="11"/>
  <c r="K48" i="11"/>
  <c r="K33" i="11"/>
  <c r="K34" i="11"/>
  <c r="K37" i="11"/>
  <c r="K41" i="11"/>
  <c r="K38" i="11"/>
  <c r="K50" i="11"/>
  <c r="K43" i="11"/>
  <c r="K42" i="11"/>
  <c r="K35" i="11"/>
  <c r="K39" i="11"/>
  <c r="K47" i="11"/>
  <c r="K52" i="11"/>
  <c r="K51" i="11"/>
  <c r="K36" i="11"/>
  <c r="I28" i="11"/>
  <c r="K57" i="11"/>
  <c r="L57" i="11"/>
  <c r="M57" i="11"/>
  <c r="E28" i="11"/>
  <c r="F28" i="11"/>
  <c r="G28" i="11"/>
  <c r="H28" i="11"/>
  <c r="K31" i="11"/>
  <c r="J28" i="11"/>
  <c r="K30" i="11"/>
  <c r="B28" i="11"/>
  <c r="C28" i="11"/>
  <c r="D28" i="11"/>
  <c r="L43" i="10"/>
  <c r="L59" i="10"/>
  <c r="M59" i="10"/>
  <c r="L39" i="10"/>
  <c r="L42" i="10"/>
  <c r="N59" i="10"/>
  <c r="L44" i="10"/>
  <c r="B29" i="10"/>
  <c r="L47" i="10"/>
  <c r="L52" i="10"/>
  <c r="L31" i="10"/>
  <c r="L36" i="10"/>
  <c r="C29" i="10"/>
  <c r="D29" i="10"/>
  <c r="L32" i="10"/>
  <c r="E29" i="10"/>
  <c r="L38" i="10"/>
  <c r="L49" i="10"/>
  <c r="L45" i="10"/>
  <c r="F29" i="10"/>
  <c r="L50" i="10"/>
  <c r="L37" i="10"/>
  <c r="L54" i="10"/>
  <c r="G29" i="10"/>
  <c r="H29" i="10"/>
  <c r="L34" i="10"/>
  <c r="L41" i="10"/>
  <c r="I29" i="10"/>
  <c r="J29" i="10"/>
  <c r="L33" i="10"/>
  <c r="L53" i="10"/>
  <c r="K29" i="10"/>
  <c r="L51" i="10"/>
  <c r="L35" i="10"/>
  <c r="L46" i="10"/>
  <c r="L40" i="10"/>
  <c r="L48" i="10"/>
  <c r="N44" i="9"/>
  <c r="M88" i="9"/>
  <c r="N88" i="9"/>
  <c r="O88" i="9"/>
  <c r="M72" i="9"/>
  <c r="M74" i="9"/>
  <c r="M66" i="9"/>
  <c r="M81" i="9"/>
  <c r="D57" i="9"/>
  <c r="M67" i="9"/>
  <c r="M82" i="9"/>
  <c r="M51" i="9"/>
  <c r="M52" i="9"/>
  <c r="N53" i="9"/>
  <c r="M53" i="9"/>
  <c r="N36" i="9"/>
  <c r="M36" i="9"/>
  <c r="N43" i="9"/>
  <c r="M43" i="9"/>
  <c r="E57" i="9"/>
  <c r="M59" i="9"/>
  <c r="M54" i="9"/>
  <c r="M63" i="9"/>
  <c r="F57" i="9"/>
  <c r="H57" i="9"/>
  <c r="M64" i="9"/>
  <c r="N39" i="9"/>
  <c r="M39" i="9"/>
  <c r="G57" i="9"/>
  <c r="M69" i="9"/>
  <c r="M77" i="9"/>
  <c r="N46" i="9"/>
  <c r="M46" i="9"/>
  <c r="N51" i="9"/>
  <c r="N35" i="9"/>
  <c r="M35" i="9"/>
  <c r="N42" i="9"/>
  <c r="M42" i="9"/>
  <c r="N50" i="9"/>
  <c r="M71" i="9"/>
  <c r="I57" i="9"/>
  <c r="M80" i="9"/>
  <c r="M73" i="9"/>
  <c r="N30" i="9"/>
  <c r="M30" i="9"/>
  <c r="M32" i="9"/>
  <c r="N32" i="9"/>
  <c r="N49" i="9"/>
  <c r="M49" i="9"/>
  <c r="M62" i="9"/>
  <c r="N38" i="9"/>
  <c r="M38" i="9"/>
  <c r="J57" i="9"/>
  <c r="M78" i="9"/>
  <c r="N45" i="9"/>
  <c r="M45" i="9"/>
  <c r="M83" i="9"/>
  <c r="M79" i="9"/>
  <c r="K57" i="9"/>
  <c r="L57" i="9"/>
  <c r="N48" i="9"/>
  <c r="M48" i="9"/>
  <c r="M75" i="9"/>
  <c r="N37" i="9"/>
  <c r="M37" i="9"/>
  <c r="M70" i="9"/>
  <c r="M60" i="9"/>
  <c r="M61" i="9"/>
  <c r="M31" i="9"/>
  <c r="N31" i="9"/>
  <c r="M34" i="9"/>
  <c r="N34" i="9"/>
  <c r="N41" i="9"/>
  <c r="M41" i="9"/>
  <c r="M76" i="9"/>
  <c r="B57" i="9"/>
  <c r="M68" i="9"/>
  <c r="M44" i="9"/>
  <c r="C57" i="9"/>
  <c r="N33" i="9"/>
  <c r="M33" i="9"/>
  <c r="N40" i="9"/>
  <c r="N47" i="9"/>
  <c r="M47" i="9"/>
  <c r="N54" i="9"/>
  <c r="M65" i="9"/>
  <c r="N52" i="9"/>
  <c r="M40" i="9"/>
  <c r="M50" i="9"/>
  <c r="J81" i="8" a="1"/>
  <c r="J81" i="8" s="1"/>
  <c r="G81" i="8" a="1"/>
  <c r="G81" i="8" s="1"/>
  <c r="I81" i="8" a="1"/>
  <c r="I81" i="8" s="1"/>
  <c r="E70" i="8" a="1"/>
  <c r="E70" i="8" s="1"/>
  <c r="I70" i="8" a="1"/>
  <c r="I70" i="8" s="1"/>
  <c r="G86" i="8" a="1"/>
  <c r="G86" i="8" s="1"/>
  <c r="E69" i="8" a="1"/>
  <c r="E69" i="8" s="1"/>
  <c r="G76" i="8" a="1"/>
  <c r="G76" i="8" s="1"/>
  <c r="D86" i="8" a="1"/>
  <c r="D86" i="8" s="1"/>
  <c r="I61" i="8" a="1"/>
  <c r="I61" i="8" s="1"/>
  <c r="H77" i="8" a="1"/>
  <c r="H77" i="8" s="1"/>
  <c r="C86" i="8" a="1"/>
  <c r="C86" i="8" s="1"/>
  <c r="L84" i="8" a="1"/>
  <c r="L84" i="8" s="1"/>
  <c r="J84" i="8" a="1"/>
  <c r="J84" i="8" s="1"/>
  <c r="K68" i="8" a="1"/>
  <c r="K68" i="8" s="1"/>
  <c r="F84" i="8" a="1"/>
  <c r="F84" i="8" s="1"/>
  <c r="L68" i="8" a="1"/>
  <c r="L68" i="8" s="1"/>
  <c r="H79" i="8" a="1"/>
  <c r="H79" i="8" s="1"/>
  <c r="H64" i="8" a="1"/>
  <c r="H64" i="8" s="1"/>
  <c r="B83" i="8" a="1"/>
  <c r="B83" i="8" s="1"/>
  <c r="K61" i="8" a="1"/>
  <c r="K61" i="8" s="1"/>
  <c r="G64" i="8" a="1"/>
  <c r="G64" i="8" s="1"/>
  <c r="G70" i="8" a="1"/>
  <c r="G70" i="8" s="1"/>
  <c r="E86" i="8" a="1"/>
  <c r="E86" i="8" s="1"/>
  <c r="F75" i="8" a="1"/>
  <c r="F75" i="8" s="1"/>
  <c r="K70" i="8" a="1"/>
  <c r="K70" i="8" s="1"/>
  <c r="F86" i="8" a="1"/>
  <c r="F86" i="8" s="1"/>
  <c r="G84" i="8" a="1"/>
  <c r="G84" i="8" s="1"/>
  <c r="M75" i="8" a="1"/>
  <c r="M75" i="8" s="1"/>
  <c r="L70" i="8" a="1"/>
  <c r="L70" i="8" s="1"/>
  <c r="J86" i="8" a="1"/>
  <c r="J86" i="8" s="1"/>
  <c r="E75" i="8" a="1"/>
  <c r="E75" i="8" s="1"/>
  <c r="B71" i="8" a="1"/>
  <c r="B71" i="8" s="1"/>
  <c r="F69" i="8" a="1"/>
  <c r="F69" i="8" s="1"/>
  <c r="C71" i="8" a="1"/>
  <c r="C71" i="8" s="1"/>
  <c r="H69" i="8" a="1"/>
  <c r="H69" i="8" s="1"/>
  <c r="K71" i="8" a="1"/>
  <c r="K71" i="8" s="1"/>
  <c r="L62" i="8" a="1"/>
  <c r="L62" i="8" s="1"/>
  <c r="E71" i="8" a="1"/>
  <c r="E71" i="8" s="1"/>
  <c r="I69" i="8" a="1"/>
  <c r="I69" i="8" s="1"/>
  <c r="M71" i="8" a="1"/>
  <c r="M71" i="8" s="1"/>
  <c r="M62" i="8" a="1"/>
  <c r="M62" i="8" s="1"/>
  <c r="D84" i="8" a="1"/>
  <c r="D84" i="8" s="1"/>
  <c r="M84" i="8" a="1"/>
  <c r="M84" i="8" s="1"/>
  <c r="J69" i="8" a="1"/>
  <c r="J69" i="8" s="1"/>
  <c r="C68" i="8" a="1"/>
  <c r="C68" i="8" s="1"/>
  <c r="F76" i="8" a="1"/>
  <c r="F76" i="8" s="1"/>
  <c r="D68" i="8" a="1"/>
  <c r="D68" i="8" s="1"/>
  <c r="K85" i="8" a="1"/>
  <c r="K85" i="8" s="1"/>
  <c r="H68" i="8" a="1"/>
  <c r="H68" i="8" s="1"/>
  <c r="H76" i="8" a="1"/>
  <c r="H76" i="8" s="1"/>
  <c r="I68" i="8" a="1"/>
  <c r="I68" i="8" s="1"/>
  <c r="D74" i="8" a="1"/>
  <c r="D74" i="8" s="1"/>
  <c r="K69" i="8" a="1"/>
  <c r="K69" i="8" s="1"/>
  <c r="B86" i="8" a="1"/>
  <c r="B86" i="8" s="1"/>
  <c r="M82" i="8" a="1"/>
  <c r="M82" i="8" s="1"/>
  <c r="J68" i="8" a="1"/>
  <c r="J68" i="8" s="1"/>
  <c r="D70" i="8" a="1"/>
  <c r="D70" i="8" s="1"/>
  <c r="H81" i="8" a="1"/>
  <c r="H81" i="8" s="1"/>
  <c r="E65" i="8" a="1"/>
  <c r="E65" i="8" s="1"/>
  <c r="H65" i="8" a="1"/>
  <c r="H65" i="8" s="1"/>
  <c r="F65" i="8" a="1"/>
  <c r="F65" i="8" s="1"/>
  <c r="G65" i="8" a="1"/>
  <c r="G65" i="8" s="1"/>
  <c r="B62" i="8" a="1"/>
  <c r="B62" i="8" s="1"/>
  <c r="I65" i="8" a="1"/>
  <c r="I65" i="8" s="1"/>
  <c r="C76" i="8" a="1"/>
  <c r="C76" i="8" s="1"/>
  <c r="I64" i="8" a="1"/>
  <c r="I64" i="8" s="1"/>
  <c r="I62" i="8" a="1"/>
  <c r="I62" i="8" s="1"/>
  <c r="J65" i="8" a="1"/>
  <c r="J65" i="8" s="1"/>
  <c r="D76" i="8" a="1"/>
  <c r="D76" i="8" s="1"/>
  <c r="K64" i="8" a="1"/>
  <c r="K64" i="8" s="1"/>
  <c r="J62" i="8" a="1"/>
  <c r="J62" i="8" s="1"/>
  <c r="E76" i="8" a="1"/>
  <c r="E76" i="8" s="1"/>
  <c r="K62" i="8" a="1"/>
  <c r="K62" i="8" s="1"/>
  <c r="F81" i="8" a="1"/>
  <c r="F81" i="8" s="1"/>
  <c r="M76" i="8" a="1"/>
  <c r="M76" i="8" s="1"/>
  <c r="L78" i="8" a="1"/>
  <c r="L78" i="8" s="1"/>
  <c r="C85" i="8" a="1"/>
  <c r="C85" i="8" s="1"/>
  <c r="C82" i="8" a="1"/>
  <c r="C82" i="8" s="1"/>
  <c r="G72" i="8" a="1"/>
  <c r="G72" i="8" s="1"/>
  <c r="H86" i="8" a="1"/>
  <c r="H86" i="8" s="1"/>
  <c r="D82" i="8" a="1"/>
  <c r="D82" i="8" s="1"/>
  <c r="G85" i="8" a="1"/>
  <c r="G85" i="8" s="1"/>
  <c r="E82" i="8" a="1"/>
  <c r="E82" i="8" s="1"/>
  <c r="K73" i="8" a="1"/>
  <c r="K73" i="8" s="1"/>
  <c r="H85" i="8" a="1"/>
  <c r="H85" i="8" s="1"/>
  <c r="D85" i="8" a="1"/>
  <c r="D85" i="8" s="1"/>
  <c r="E85" i="8" a="1"/>
  <c r="E85" i="8" s="1"/>
  <c r="K86" i="8" a="1"/>
  <c r="K86" i="8" s="1"/>
  <c r="F82" i="8" a="1"/>
  <c r="F82" i="8" s="1"/>
  <c r="E68" i="8" a="1"/>
  <c r="E68" i="8" s="1"/>
  <c r="L73" i="8" a="1"/>
  <c r="L73" i="8" s="1"/>
  <c r="I85" i="8" a="1"/>
  <c r="I85" i="8" s="1"/>
  <c r="B82" i="8" a="1"/>
  <c r="B82" i="8" s="1"/>
  <c r="M78" i="8" a="1"/>
  <c r="M78" i="8" s="1"/>
  <c r="L82" i="8" a="1"/>
  <c r="L82" i="8" s="1"/>
  <c r="F68" i="8" a="1"/>
  <c r="F68" i="8" s="1"/>
  <c r="M73" i="8" a="1"/>
  <c r="M73" i="8" s="1"/>
  <c r="D83" i="8" a="1"/>
  <c r="D83" i="8" s="1"/>
  <c r="E83" i="8" a="1"/>
  <c r="E83" i="8" s="1"/>
  <c r="K72" i="8" a="1"/>
  <c r="K72" i="8" s="1"/>
  <c r="K65" i="8" a="1"/>
  <c r="K65" i="8" s="1"/>
  <c r="L69" i="8" a="1"/>
  <c r="L69" i="8" s="1"/>
  <c r="H82" i="8" a="1"/>
  <c r="H82" i="8" s="1"/>
  <c r="K83" i="8" a="1"/>
  <c r="K83" i="8" s="1"/>
  <c r="L72" i="8" a="1"/>
  <c r="L72" i="8" s="1"/>
  <c r="L65" i="8" a="1"/>
  <c r="L65" i="8" s="1"/>
  <c r="C83" i="8" a="1"/>
  <c r="C83" i="8" s="1"/>
  <c r="I72" i="8" a="1"/>
  <c r="I72" i="8" s="1"/>
  <c r="M69" i="8" a="1"/>
  <c r="M69" i="8" s="1"/>
  <c r="I82" i="8" a="1"/>
  <c r="I82" i="8" s="1"/>
  <c r="H84" i="8" a="1"/>
  <c r="H84" i="8" s="1"/>
  <c r="L83" i="8" a="1"/>
  <c r="L83" i="8" s="1"/>
  <c r="B79" i="8" a="1"/>
  <c r="B79" i="8" s="1"/>
  <c r="M65" i="8" a="1"/>
  <c r="M65" i="8" s="1"/>
  <c r="M70" i="8" a="1"/>
  <c r="M70" i="8" s="1"/>
  <c r="B76" i="8" a="1"/>
  <c r="B76" i="8" s="1"/>
  <c r="J82" i="8" a="1"/>
  <c r="J82" i="8" s="1"/>
  <c r="I84" i="8" a="1"/>
  <c r="I84" i="8" s="1"/>
  <c r="M68" i="8" a="1"/>
  <c r="M68" i="8" s="1"/>
  <c r="M83" i="8" a="1"/>
  <c r="M83" i="8" s="1"/>
  <c r="D79" i="8" a="1"/>
  <c r="D79" i="8" s="1"/>
  <c r="F85" i="8" a="1"/>
  <c r="F85" i="8" s="1"/>
  <c r="B74" i="8" a="1"/>
  <c r="B74" i="8" s="1"/>
  <c r="J72" i="8" a="1"/>
  <c r="J72" i="8" s="1"/>
  <c r="B78" i="8" a="1"/>
  <c r="B78" i="8" s="1"/>
  <c r="E79" i="8" a="1"/>
  <c r="E79" i="8" s="1"/>
  <c r="C74" i="8" a="1"/>
  <c r="C74" i="8" s="1"/>
  <c r="D78" i="8" a="1"/>
  <c r="D78" i="8" s="1"/>
  <c r="G79" i="8" a="1"/>
  <c r="G79" i="8" s="1"/>
  <c r="E74" i="8" a="1"/>
  <c r="E74" i="8" s="1"/>
  <c r="B61" i="8" a="1"/>
  <c r="B61" i="8" s="1"/>
  <c r="J64" i="8" a="1"/>
  <c r="J64" i="8" s="1"/>
  <c r="E78" i="8" a="1"/>
  <c r="E78" i="8" s="1"/>
  <c r="C62" i="8" a="1"/>
  <c r="C62" i="8" s="1"/>
  <c r="F74" i="8" a="1"/>
  <c r="F74" i="8" s="1"/>
  <c r="L64" i="8" a="1"/>
  <c r="L64" i="8" s="1"/>
  <c r="H74" i="8" a="1"/>
  <c r="H74" i="8" s="1"/>
  <c r="G78" i="8" a="1"/>
  <c r="G78" i="8" s="1"/>
  <c r="I76" i="8" a="1"/>
  <c r="I76" i="8" s="1"/>
  <c r="E63" i="8" a="1"/>
  <c r="E63" i="8" s="1"/>
  <c r="H78" i="8" a="1"/>
  <c r="H78" i="8" s="1"/>
  <c r="D77" i="8" a="1"/>
  <c r="D77" i="8" s="1"/>
  <c r="E62" i="8" a="1"/>
  <c r="E62" i="8" s="1"/>
  <c r="L74" i="8" a="1"/>
  <c r="L74" i="8" s="1"/>
  <c r="D61" i="8" a="1"/>
  <c r="D61" i="8" s="1"/>
  <c r="E61" i="8" a="1"/>
  <c r="E61" i="8" s="1"/>
  <c r="B69" i="8" a="1"/>
  <c r="B69" i="8" s="1"/>
  <c r="F61" i="8" a="1"/>
  <c r="F61" i="8" s="1"/>
  <c r="F63" i="8" a="1"/>
  <c r="F63" i="8" s="1"/>
  <c r="E77" i="8" a="1"/>
  <c r="E77" i="8" s="1"/>
  <c r="F62" i="8" a="1"/>
  <c r="F62" i="8" s="1"/>
  <c r="B65" i="8" a="1"/>
  <c r="B65" i="8" s="1"/>
  <c r="M74" i="8" a="1"/>
  <c r="M74" i="8" s="1"/>
  <c r="F79" i="8" a="1"/>
  <c r="F79" i="8" s="1"/>
  <c r="C69" i="8" a="1"/>
  <c r="C69" i="8" s="1"/>
  <c r="K76" i="8" a="1"/>
  <c r="K76" i="8" s="1"/>
  <c r="G61" i="8" a="1"/>
  <c r="G61" i="8" s="1"/>
  <c r="J78" i="8" a="1"/>
  <c r="J78" i="8" s="1"/>
  <c r="F77" i="8" a="1"/>
  <c r="F77" i="8" s="1"/>
  <c r="G62" i="8" a="1"/>
  <c r="G62" i="8" s="1"/>
  <c r="C65" i="8" a="1"/>
  <c r="C65" i="8" s="1"/>
  <c r="B70" i="8" a="1"/>
  <c r="B70" i="8" s="1"/>
  <c r="M77" i="8" a="1"/>
  <c r="M77" i="8" s="1"/>
  <c r="H72" i="8" a="1"/>
  <c r="H72" i="8" s="1"/>
  <c r="C61" i="8" a="1"/>
  <c r="C61" i="8" s="1"/>
  <c r="F78" i="8" a="1"/>
  <c r="F78" i="8" s="1"/>
  <c r="I79" i="8" a="1"/>
  <c r="I79" i="8" s="1"/>
  <c r="D62" i="8" a="1"/>
  <c r="D62" i="8" s="1"/>
  <c r="C75" i="8" a="1"/>
  <c r="C75" i="8" s="1"/>
  <c r="H61" i="8" a="1"/>
  <c r="H61" i="8" s="1"/>
  <c r="B68" i="8" a="1"/>
  <c r="B68" i="8" s="1"/>
  <c r="D75" i="8" a="1"/>
  <c r="D75" i="8" s="1"/>
  <c r="G77" i="8" a="1"/>
  <c r="G77" i="8" s="1"/>
  <c r="C70" i="8" a="1"/>
  <c r="C70" i="8" s="1"/>
  <c r="H75" i="8" a="1"/>
  <c r="H75" i="8" s="1"/>
  <c r="D67" i="8" a="1"/>
  <c r="D67" i="8" s="1"/>
  <c r="K81" i="8" a="1"/>
  <c r="K81" i="8" s="1"/>
  <c r="M64" i="8" a="1"/>
  <c r="M64" i="8" s="1"/>
  <c r="I75" i="8" a="1"/>
  <c r="I75" i="8" s="1"/>
  <c r="I77" i="8" a="1"/>
  <c r="I77" i="8" s="1"/>
  <c r="E67" i="8" a="1"/>
  <c r="E67" i="8" s="1"/>
  <c r="L81" i="8" a="1"/>
  <c r="L81" i="8" s="1"/>
  <c r="G75" i="8" a="1"/>
  <c r="G75" i="8" s="1"/>
  <c r="C67" i="8" a="1"/>
  <c r="C67" i="8" s="1"/>
  <c r="B63" i="8" a="1"/>
  <c r="B63" i="8" s="1"/>
  <c r="J75" i="8" a="1"/>
  <c r="J75" i="8" s="1"/>
  <c r="F67" i="8" a="1"/>
  <c r="F67" i="8" s="1"/>
  <c r="M81" i="8" a="1"/>
  <c r="M81" i="8" s="1"/>
  <c r="K84" i="8" a="1"/>
  <c r="K84" i="8" s="1"/>
  <c r="C63" i="8" a="1"/>
  <c r="C63" i="8" s="1"/>
  <c r="K75" i="8" a="1"/>
  <c r="K75" i="8" s="1"/>
  <c r="C79" i="8" a="1"/>
  <c r="C79" i="8" s="1"/>
  <c r="K77" i="8" a="1"/>
  <c r="K77" i="8" s="1"/>
  <c r="G67" i="8" a="1"/>
  <c r="G67" i="8" s="1"/>
  <c r="B66" i="8" a="1"/>
  <c r="B66" i="8" s="1"/>
  <c r="D63" i="8" a="1"/>
  <c r="D63" i="8" s="1"/>
  <c r="L75" i="8" a="1"/>
  <c r="L75" i="8" s="1"/>
  <c r="L77" i="8" a="1"/>
  <c r="L77" i="8" s="1"/>
  <c r="H67" i="8" a="1"/>
  <c r="H67" i="8" s="1"/>
  <c r="C66" i="8" a="1"/>
  <c r="C66" i="8" s="1"/>
  <c r="E66" i="8" a="1"/>
  <c r="E66" i="8" s="1"/>
  <c r="G63" i="8" a="1"/>
  <c r="G63" i="8" s="1"/>
  <c r="C73" i="8" a="1"/>
  <c r="C73" i="8" s="1"/>
  <c r="K67" i="8" a="1"/>
  <c r="K67" i="8" s="1"/>
  <c r="F66" i="8" a="1"/>
  <c r="F66" i="8" s="1"/>
  <c r="D71" i="8" a="1"/>
  <c r="D71" i="8" s="1"/>
  <c r="H63" i="8" a="1"/>
  <c r="H63" i="8" s="1"/>
  <c r="D73" i="8" a="1"/>
  <c r="D73" i="8" s="1"/>
  <c r="L67" i="8" a="1"/>
  <c r="L67" i="8" s="1"/>
  <c r="G66" i="8" a="1"/>
  <c r="G66" i="8" s="1"/>
  <c r="F71" i="8" a="1"/>
  <c r="F71" i="8" s="1"/>
  <c r="B64" i="8" a="1"/>
  <c r="B64" i="8" s="1"/>
  <c r="J63" i="8" a="1"/>
  <c r="J63" i="8" s="1"/>
  <c r="F83" i="8" a="1"/>
  <c r="F83" i="8" s="1"/>
  <c r="B72" i="8" a="1"/>
  <c r="B72" i="8" s="1"/>
  <c r="J79" i="8" a="1"/>
  <c r="J79" i="8" s="1"/>
  <c r="F73" i="8" a="1"/>
  <c r="F73" i="8" s="1"/>
  <c r="B81" i="8" a="1"/>
  <c r="B81" i="8" s="1"/>
  <c r="I66" i="8" a="1"/>
  <c r="I66" i="8" s="1"/>
  <c r="I67" i="8" a="1"/>
  <c r="I67" i="8" s="1"/>
  <c r="D66" i="8" a="1"/>
  <c r="D66" i="8" s="1"/>
  <c r="J67" i="8" a="1"/>
  <c r="J67" i="8" s="1"/>
  <c r="I63" i="8" a="1"/>
  <c r="I63" i="8" s="1"/>
  <c r="E73" i="8" a="1"/>
  <c r="E73" i="8" s="1"/>
  <c r="G71" i="8" a="1"/>
  <c r="G71" i="8" s="1"/>
  <c r="C64" i="8" a="1"/>
  <c r="C64" i="8" s="1"/>
  <c r="K63" i="8" a="1"/>
  <c r="K63" i="8" s="1"/>
  <c r="G83" i="8" a="1"/>
  <c r="G83" i="8" s="1"/>
  <c r="C72" i="8" a="1"/>
  <c r="C72" i="8" s="1"/>
  <c r="K79" i="8" a="1"/>
  <c r="K79" i="8" s="1"/>
  <c r="G73" i="8" a="1"/>
  <c r="G73" i="8" s="1"/>
  <c r="J66" i="8" a="1"/>
  <c r="J66" i="8" s="1"/>
  <c r="L61" i="8" a="1"/>
  <c r="L61" i="8" s="1"/>
  <c r="H71" i="8" a="1"/>
  <c r="H71" i="8" s="1"/>
  <c r="D64" i="8" a="1"/>
  <c r="D64" i="8" s="1"/>
  <c r="L63" i="8" a="1"/>
  <c r="L63" i="8" s="1"/>
  <c r="H83" i="8" a="1"/>
  <c r="H83" i="8" s="1"/>
  <c r="D72" i="8" a="1"/>
  <c r="D72" i="8" s="1"/>
  <c r="L79" i="8" a="1"/>
  <c r="L79" i="8" s="1"/>
  <c r="H73" i="8" a="1"/>
  <c r="H73" i="8" s="1"/>
  <c r="C81" i="8" a="1"/>
  <c r="C81" i="8" s="1"/>
  <c r="K66" i="8" a="1"/>
  <c r="K66" i="8" s="1"/>
  <c r="I74" i="8" a="1"/>
  <c r="I74" i="8" s="1"/>
  <c r="I71" i="8" a="1"/>
  <c r="I71" i="8" s="1"/>
  <c r="E64" i="8" a="1"/>
  <c r="E64" i="8" s="1"/>
  <c r="I83" i="8" a="1"/>
  <c r="I83" i="8" s="1"/>
  <c r="E72" i="8" a="1"/>
  <c r="E72" i="8" s="1"/>
  <c r="I73" i="8" a="1"/>
  <c r="I73" i="8" s="1"/>
  <c r="D81" i="8" a="1"/>
  <c r="D81" i="8" s="1"/>
  <c r="L66" i="8" a="1"/>
  <c r="L66" i="8" s="1"/>
  <c r="J74" i="8" a="1"/>
  <c r="J74" i="8" s="1"/>
  <c r="H66" i="8" a="1"/>
  <c r="H66" i="8" s="1"/>
  <c r="P91" i="8"/>
  <c r="O91" i="8"/>
  <c r="N91" i="8"/>
  <c r="N44" i="8"/>
  <c r="O44" i="8"/>
  <c r="O51" i="8"/>
  <c r="N51" i="8"/>
  <c r="O55" i="8"/>
  <c r="N55" i="8"/>
  <c r="O40" i="8"/>
  <c r="N40" i="8"/>
  <c r="O37" i="8"/>
  <c r="N37" i="8"/>
  <c r="O47" i="8"/>
  <c r="N47" i="8"/>
  <c r="O32" i="8"/>
  <c r="N32" i="8"/>
  <c r="O43" i="8"/>
  <c r="N43" i="8"/>
  <c r="O54" i="8"/>
  <c r="O34" i="8"/>
  <c r="N34" i="8"/>
  <c r="O50" i="8"/>
  <c r="N50" i="8"/>
  <c r="O46" i="8"/>
  <c r="N46" i="8"/>
  <c r="O39" i="8"/>
  <c r="N39" i="8"/>
  <c r="O53" i="8"/>
  <c r="N53" i="8"/>
  <c r="O36" i="8"/>
  <c r="N36" i="8"/>
  <c r="O33" i="8"/>
  <c r="N33" i="8"/>
  <c r="O42" i="8"/>
  <c r="N42" i="8"/>
  <c r="N31" i="8"/>
  <c r="O31" i="8"/>
  <c r="O49" i="8"/>
  <c r="N49" i="8"/>
  <c r="N45" i="8"/>
  <c r="O45" i="8"/>
  <c r="O52" i="8"/>
  <c r="N52" i="8"/>
  <c r="O38" i="8"/>
  <c r="N38" i="8"/>
  <c r="O41" i="8"/>
  <c r="N41" i="8"/>
  <c r="O56" i="8"/>
  <c r="N56" i="8"/>
  <c r="N35" i="8"/>
  <c r="O35" i="8"/>
  <c r="O48" i="8"/>
  <c r="N48" i="8"/>
  <c r="N54" i="8"/>
  <c r="O93" i="7"/>
  <c r="Q93" i="7"/>
  <c r="P93" i="7"/>
  <c r="P96" i="7" s="1"/>
  <c r="O72" i="7"/>
  <c r="O76" i="7"/>
  <c r="P48" i="7"/>
  <c r="P56" i="7"/>
  <c r="O74" i="7"/>
  <c r="O81" i="7"/>
  <c r="P44" i="7"/>
  <c r="O90" i="7"/>
  <c r="O78" i="7"/>
  <c r="O96" i="7"/>
  <c r="Q96" i="7"/>
  <c r="O75" i="7"/>
  <c r="O39" i="7"/>
  <c r="P39" i="7"/>
  <c r="O43" i="7"/>
  <c r="P43" i="7"/>
  <c r="O69" i="7"/>
  <c r="P35" i="7"/>
  <c r="O35" i="7"/>
  <c r="O70" i="7"/>
  <c r="O66" i="7"/>
  <c r="P34" i="7"/>
  <c r="O34" i="7"/>
  <c r="P47" i="7"/>
  <c r="O47" i="7"/>
  <c r="O89" i="7"/>
  <c r="P38" i="7"/>
  <c r="O77" i="7"/>
  <c r="O65" i="7"/>
  <c r="O68" i="7"/>
  <c r="O88" i="7"/>
  <c r="P42" i="7"/>
  <c r="P55" i="7"/>
  <c r="O55" i="7"/>
  <c r="O83" i="7"/>
  <c r="P37" i="7"/>
  <c r="O37" i="7"/>
  <c r="P46" i="7"/>
  <c r="P57" i="7"/>
  <c r="O57" i="7"/>
  <c r="O73" i="7"/>
  <c r="O79" i="7"/>
  <c r="O86" i="7"/>
  <c r="P33" i="7"/>
  <c r="O33" i="7"/>
  <c r="P53" i="7"/>
  <c r="O53" i="7"/>
  <c r="P54" i="7"/>
  <c r="O41" i="7"/>
  <c r="P41" i="7"/>
  <c r="O82" i="7"/>
  <c r="P45" i="7"/>
  <c r="O45" i="7"/>
  <c r="P51" i="7"/>
  <c r="O51" i="7"/>
  <c r="P52" i="7"/>
  <c r="P58" i="7"/>
  <c r="O91" i="7"/>
  <c r="O84" i="7"/>
  <c r="O80" i="7"/>
  <c r="P36" i="7"/>
  <c r="O67" i="7"/>
  <c r="P32" i="7"/>
  <c r="O32" i="7"/>
  <c r="P40" i="7"/>
  <c r="P50" i="7"/>
  <c r="P49" i="7"/>
  <c r="O49" i="7"/>
  <c r="O85" i="7"/>
  <c r="O71" i="7"/>
  <c r="O87" i="7"/>
  <c r="O36" i="7"/>
  <c r="O38" i="7"/>
  <c r="O42" i="7"/>
  <c r="O44" i="7"/>
  <c r="O48" i="7"/>
  <c r="O50" i="7"/>
  <c r="O52" i="7"/>
  <c r="O54" i="7"/>
  <c r="O56" i="7"/>
  <c r="O58" i="7"/>
  <c r="O40" i="7"/>
  <c r="O46" i="7"/>
  <c r="P85" i="6"/>
  <c r="P92" i="6"/>
  <c r="P67" i="6"/>
  <c r="P79" i="6"/>
  <c r="P89" i="6"/>
  <c r="P82" i="6"/>
  <c r="P91" i="6"/>
  <c r="P78" i="6"/>
  <c r="P71" i="6"/>
  <c r="P87" i="6"/>
  <c r="P90" i="6"/>
  <c r="P93" i="6"/>
  <c r="P74" i="6"/>
  <c r="P70" i="6"/>
  <c r="P76" i="6"/>
  <c r="P68" i="6"/>
  <c r="P84" i="6"/>
  <c r="P75" i="6"/>
  <c r="P83" i="6"/>
  <c r="P69" i="6"/>
  <c r="P77" i="6"/>
  <c r="P94" i="6"/>
  <c r="P73" i="6"/>
  <c r="P81" i="6"/>
  <c r="P86" i="6"/>
  <c r="P80" i="6"/>
  <c r="P72" i="6"/>
  <c r="P88" i="6"/>
  <c r="P38" i="6"/>
  <c r="Q49" i="6"/>
  <c r="Q52" i="6"/>
  <c r="Q60" i="6"/>
  <c r="P60" i="6"/>
  <c r="Q58" i="6"/>
  <c r="P56" i="6"/>
  <c r="Q36" i="6"/>
  <c r="P35" i="6"/>
  <c r="P52" i="6"/>
  <c r="Q57" i="6"/>
  <c r="P49" i="6"/>
  <c r="Q39" i="6"/>
  <c r="P36" i="6"/>
  <c r="Q55" i="6"/>
  <c r="Q48" i="6"/>
  <c r="P40" i="6"/>
  <c r="Q42" i="6"/>
  <c r="P42" i="6"/>
  <c r="P44" i="6"/>
  <c r="Q51" i="6"/>
  <c r="P57" i="6"/>
  <c r="Q53" i="6"/>
  <c r="P53" i="6"/>
  <c r="Q41" i="6"/>
  <c r="P41" i="6"/>
  <c r="Q50" i="6"/>
  <c r="Q34" i="6"/>
  <c r="P50" i="6"/>
  <c r="P54" i="6"/>
  <c r="Q46" i="6"/>
  <c r="Q59" i="6"/>
  <c r="P59" i="6"/>
  <c r="P46" i="6"/>
  <c r="P33" i="6"/>
  <c r="Q44" i="6"/>
  <c r="Q43" i="6"/>
  <c r="Q40" i="6"/>
  <c r="P55" i="6"/>
  <c r="Q56" i="6"/>
  <c r="P34" i="6"/>
  <c r="P48" i="6"/>
  <c r="P51" i="6"/>
  <c r="P39" i="6"/>
  <c r="P43" i="6"/>
  <c r="P58" i="6"/>
  <c r="Q54" i="6"/>
  <c r="Q33" i="6"/>
  <c r="Q37" i="6"/>
  <c r="P37" i="6"/>
  <c r="Q47" i="6"/>
  <c r="P47" i="6"/>
  <c r="Q45" i="6"/>
  <c r="P45" i="6"/>
  <c r="Q49" i="5"/>
  <c r="R49" i="5"/>
  <c r="Q62" i="5"/>
  <c r="R48" i="5"/>
  <c r="R51" i="5"/>
  <c r="Q50" i="5"/>
  <c r="R39" i="5"/>
  <c r="R41" i="5"/>
  <c r="R43" i="5"/>
  <c r="Q46" i="5"/>
  <c r="R44" i="5"/>
  <c r="R54" i="5"/>
  <c r="R34" i="5"/>
  <c r="R56" i="5"/>
  <c r="Q58" i="5"/>
  <c r="R40" i="5"/>
  <c r="Q39" i="5"/>
  <c r="Q61" i="5"/>
  <c r="R61" i="5"/>
  <c r="R58" i="5"/>
  <c r="R62" i="5"/>
  <c r="R52" i="5"/>
  <c r="Q37" i="5"/>
  <c r="R37" i="5"/>
  <c r="Q52" i="5"/>
  <c r="Q34" i="5"/>
  <c r="Q43" i="5"/>
  <c r="Q55" i="5"/>
  <c r="Q40" i="5"/>
  <c r="R55" i="5"/>
  <c r="Q57" i="5"/>
  <c r="Q38" i="5"/>
  <c r="R57" i="5"/>
  <c r="R50" i="5"/>
  <c r="R38" i="5"/>
  <c r="Q51" i="5"/>
  <c r="Q59" i="5"/>
  <c r="R46" i="5"/>
  <c r="Q36" i="5"/>
  <c r="Q35" i="5"/>
  <c r="Q42" i="5"/>
  <c r="R36" i="5"/>
  <c r="R35" i="5"/>
  <c r="R42" i="5"/>
  <c r="Q47" i="5"/>
  <c r="Q53" i="5"/>
  <c r="Q60" i="5"/>
  <c r="R47" i="5"/>
  <c r="R53" i="5"/>
  <c r="R60" i="5"/>
  <c r="R59" i="5"/>
  <c r="Q41" i="5"/>
  <c r="Q48" i="5"/>
  <c r="Q54" i="5"/>
  <c r="Q45" i="5"/>
  <c r="Q56" i="5"/>
  <c r="Q44" i="5"/>
  <c r="R45" i="5"/>
  <c r="I107" i="3"/>
  <c r="M107" i="3"/>
  <c r="L107" i="3"/>
  <c r="U104" i="3"/>
  <c r="T104" i="3"/>
  <c r="V104" i="3" s="1"/>
  <c r="Q107" i="3"/>
  <c r="P107" i="3"/>
  <c r="O107" i="3"/>
  <c r="N107" i="3"/>
  <c r="R107" i="3"/>
  <c r="S107" i="3"/>
  <c r="D107" i="3"/>
  <c r="D105" i="3"/>
  <c r="K68" i="4"/>
  <c r="J68" i="4"/>
  <c r="I68" i="4"/>
  <c r="O68" i="4"/>
  <c r="G68" i="4"/>
  <c r="R68" i="4"/>
  <c r="Q68" i="4"/>
  <c r="S68" i="4"/>
  <c r="P68" i="4"/>
  <c r="M68" i="4"/>
  <c r="H68" i="4"/>
  <c r="F68" i="4"/>
  <c r="N68" i="4"/>
  <c r="E68" i="4"/>
  <c r="D68" i="4"/>
  <c r="L68" i="4"/>
  <c r="U79" i="4"/>
  <c r="U77" i="4"/>
  <c r="U75" i="4"/>
  <c r="U81" i="4"/>
  <c r="T84" i="4"/>
  <c r="U92" i="4"/>
  <c r="U95" i="4"/>
  <c r="U96" i="4"/>
  <c r="U98" i="4"/>
  <c r="T98" i="4"/>
  <c r="U86" i="4"/>
  <c r="U88" i="4"/>
  <c r="U76" i="4"/>
  <c r="U99" i="4"/>
  <c r="T78" i="4"/>
  <c r="U78" i="4"/>
  <c r="U85" i="4"/>
  <c r="U97" i="4"/>
  <c r="T97" i="4"/>
  <c r="T71" i="4"/>
  <c r="U82" i="4"/>
  <c r="U93" i="4"/>
  <c r="U83" i="4"/>
  <c r="T90" i="4"/>
  <c r="U74" i="4"/>
  <c r="T89" i="4"/>
  <c r="U89" i="4"/>
  <c r="U80" i="4"/>
  <c r="T75" i="4"/>
  <c r="U70" i="4"/>
  <c r="U91" i="4"/>
  <c r="T73" i="4"/>
  <c r="U72" i="4"/>
  <c r="T91" i="4"/>
  <c r="T87" i="4"/>
  <c r="U87" i="4"/>
  <c r="U71" i="4"/>
  <c r="T77" i="4"/>
  <c r="T88" i="4"/>
  <c r="T96" i="4"/>
  <c r="T93" i="4"/>
  <c r="T80" i="4"/>
  <c r="T99" i="4"/>
  <c r="T74" i="4"/>
  <c r="T95" i="4"/>
  <c r="T86" i="4"/>
  <c r="T81" i="4"/>
  <c r="T79" i="4"/>
  <c r="U90" i="4"/>
  <c r="T92" i="4"/>
  <c r="U73" i="4"/>
  <c r="T85" i="4"/>
  <c r="U84" i="4"/>
  <c r="T72" i="4"/>
  <c r="T83" i="4"/>
  <c r="T82" i="4"/>
  <c r="T70" i="4"/>
  <c r="T76" i="4"/>
  <c r="U96" i="3"/>
  <c r="T96" i="3"/>
  <c r="T127" i="2"/>
  <c r="U125" i="2"/>
  <c r="U128" i="2"/>
  <c r="U133" i="2"/>
  <c r="U111" i="2"/>
  <c r="U138" i="2"/>
  <c r="U129" i="2"/>
  <c r="U126" i="2"/>
  <c r="U124" i="2"/>
  <c r="U122" i="2"/>
  <c r="U135" i="2"/>
  <c r="U117" i="2"/>
  <c r="U136" i="2"/>
  <c r="U116" i="2"/>
  <c r="U140" i="2"/>
  <c r="U113" i="2"/>
  <c r="T129" i="2"/>
  <c r="U119" i="2"/>
  <c r="U118" i="2"/>
  <c r="U120" i="2"/>
  <c r="U139" i="2"/>
  <c r="U109" i="2"/>
  <c r="U112" i="2"/>
  <c r="U137" i="2"/>
  <c r="U110" i="2"/>
  <c r="U115" i="2"/>
  <c r="U131" i="2"/>
  <c r="U114" i="2"/>
  <c r="U121" i="2"/>
  <c r="T117" i="2"/>
  <c r="T130" i="2"/>
  <c r="T125" i="2"/>
  <c r="T131" i="2"/>
  <c r="U130" i="2"/>
  <c r="T126" i="2"/>
  <c r="T121" i="2"/>
  <c r="T132" i="2"/>
  <c r="T128" i="2"/>
  <c r="T122" i="2"/>
  <c r="U132" i="2"/>
  <c r="T124" i="2"/>
  <c r="T110" i="2"/>
  <c r="T139" i="2"/>
  <c r="T111" i="2"/>
  <c r="T138" i="2"/>
  <c r="T109" i="2"/>
  <c r="T134" i="2"/>
  <c r="T113" i="2"/>
  <c r="T137" i="2"/>
  <c r="T118" i="2"/>
  <c r="T136" i="2"/>
  <c r="T115" i="2"/>
  <c r="T140" i="2"/>
  <c r="T123" i="2"/>
  <c r="T135" i="2"/>
  <c r="T120" i="2"/>
  <c r="T114" i="2"/>
  <c r="T112" i="2"/>
  <c r="T116" i="2"/>
  <c r="T119" i="2"/>
  <c r="T133" i="2"/>
  <c r="W127" i="1"/>
  <c r="W124" i="1"/>
  <c r="W118" i="1"/>
  <c r="W119" i="1"/>
  <c r="W116" i="1"/>
  <c r="W117" i="1"/>
  <c r="W120" i="1"/>
  <c r="W121" i="1"/>
  <c r="W122" i="1"/>
  <c r="W123" i="1"/>
  <c r="W125" i="1"/>
  <c r="W126" i="1"/>
  <c r="N86" i="8" l="1"/>
  <c r="N85" i="8"/>
  <c r="N84" i="8"/>
  <c r="N82" i="8"/>
  <c r="N77" i="8"/>
  <c r="N71" i="8"/>
  <c r="N62" i="8"/>
  <c r="N75" i="8"/>
  <c r="N67" i="8"/>
  <c r="N69" i="8"/>
  <c r="N83" i="8"/>
  <c r="N70" i="8"/>
  <c r="N78" i="8"/>
  <c r="N74" i="8"/>
  <c r="N64" i="8"/>
  <c r="N73" i="8"/>
  <c r="N63" i="8"/>
  <c r="N68" i="8"/>
  <c r="N66" i="8"/>
  <c r="N65" i="8"/>
  <c r="N76" i="8"/>
  <c r="N81" i="8"/>
  <c r="N79" i="8"/>
  <c r="N72" i="8"/>
  <c r="N61" i="8"/>
  <c r="U84" i="3"/>
  <c r="U98" i="3"/>
  <c r="T94" i="3"/>
  <c r="U86" i="3"/>
  <c r="U80" i="3"/>
  <c r="W77" i="4"/>
  <c r="W78" i="4"/>
  <c r="W82" i="4"/>
  <c r="W83" i="4"/>
  <c r="W85" i="4"/>
  <c r="W86" i="4"/>
  <c r="W84" i="4"/>
  <c r="W81" i="4"/>
  <c r="W79" i="4"/>
  <c r="W80" i="4"/>
  <c r="U75" i="3"/>
  <c r="U90" i="3"/>
  <c r="U78" i="3"/>
  <c r="T95" i="3"/>
  <c r="T79" i="3"/>
  <c r="T101" i="3"/>
  <c r="U81" i="3"/>
  <c r="U95" i="3"/>
  <c r="U92" i="3"/>
  <c r="T75" i="3"/>
  <c r="U89" i="3"/>
  <c r="U76" i="3"/>
  <c r="U100" i="3"/>
  <c r="U85" i="3"/>
  <c r="T97" i="3"/>
  <c r="U77" i="3"/>
  <c r="T81" i="3"/>
  <c r="U91" i="3"/>
  <c r="U97" i="3"/>
  <c r="T80" i="3"/>
  <c r="T100" i="3"/>
  <c r="U72" i="3"/>
  <c r="U79" i="3"/>
  <c r="U101" i="3"/>
  <c r="U74" i="3"/>
  <c r="T82" i="3"/>
  <c r="T73" i="3"/>
  <c r="T78" i="3"/>
  <c r="U93" i="3"/>
  <c r="U94" i="3"/>
  <c r="U87" i="3"/>
  <c r="U88" i="3"/>
  <c r="U99" i="3"/>
  <c r="U83" i="3"/>
  <c r="U82" i="3"/>
  <c r="T87" i="3"/>
  <c r="T93" i="3"/>
  <c r="T90" i="3"/>
  <c r="T92" i="3"/>
  <c r="T72" i="3"/>
  <c r="T83" i="3"/>
  <c r="T85" i="3"/>
  <c r="T99" i="3"/>
  <c r="T77" i="3"/>
  <c r="U73" i="3"/>
  <c r="T74" i="3"/>
  <c r="T98" i="3"/>
  <c r="T91" i="3"/>
  <c r="T89" i="3"/>
  <c r="T84" i="3"/>
  <c r="T86" i="3"/>
  <c r="T88" i="3"/>
  <c r="T76" i="3"/>
  <c r="W123" i="2"/>
  <c r="W119" i="2"/>
  <c r="W121" i="2"/>
  <c r="W118" i="2"/>
  <c r="W124" i="2"/>
  <c r="W125" i="2"/>
  <c r="W127" i="2"/>
  <c r="W126" i="2"/>
  <c r="W116" i="2"/>
  <c r="W122" i="2"/>
  <c r="W120" i="2"/>
  <c r="W117" i="2"/>
  <c r="W79" i="3" l="1"/>
  <c r="W80" i="3"/>
  <c r="W81" i="3"/>
  <c r="W82" i="3"/>
  <c r="W84" i="3"/>
  <c r="W86" i="3"/>
  <c r="W88" i="3"/>
  <c r="W83" i="3"/>
  <c r="W85" i="3"/>
  <c r="W87" i="3"/>
  <c r="J80" i="8" a="1"/>
  <c r="J80" i="8" s="1"/>
  <c r="J59" i="8" s="1"/>
  <c r="L80" i="8" a="1"/>
  <c r="L80" i="8" s="1"/>
  <c r="L59" i="8" s="1"/>
  <c r="C80" i="8" a="1"/>
  <c r="C80" i="8" s="1"/>
  <c r="C59" i="8" s="1"/>
  <c r="H80" i="8" a="1"/>
  <c r="H80" i="8" s="1"/>
  <c r="H59" i="8" s="1"/>
  <c r="G80" i="8" a="1"/>
  <c r="G80" i="8" s="1"/>
  <c r="G59" i="8" s="1"/>
  <c r="D80" i="8" a="1"/>
  <c r="D80" i="8" s="1"/>
  <c r="D59" i="8" s="1"/>
  <c r="I80" i="8" a="1"/>
  <c r="I80" i="8" s="1"/>
  <c r="I59" i="8" s="1"/>
  <c r="F80" i="8" a="1"/>
  <c r="F80" i="8" s="1"/>
  <c r="F59" i="8" s="1"/>
  <c r="K80" i="8"/>
  <c r="K59" i="8" s="1"/>
  <c r="K80" i="8" a="1"/>
  <c r="E80" i="8" a="1"/>
  <c r="E80" i="8" s="1"/>
  <c r="E59" i="8" s="1"/>
  <c r="M80" i="8" a="1"/>
  <c r="M80" i="8" s="1"/>
  <c r="M59" i="8" s="1"/>
  <c r="B59" i="8" l="1"/>
  <c r="N8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<sst xmlns="http://schemas.openxmlformats.org/spreadsheetml/2006/main" count="2202" uniqueCount="63">
  <si>
    <t>Team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</si>
  <si>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</si>
  <si>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</si>
  <si>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</si>
  <si>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</si>
  <si>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</si>
  <si>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</si>
  <si>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</si>
  <si>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</si>
  <si>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</si>
  <si>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</si>
  <si>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</si>
  <si>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</si>
  <si>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</si>
  <si>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</si>
  <si>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</si>
  <si>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</si>
  <si>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</si>
  <si>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</si>
  <si>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</si>
  <si>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</si>
  <si>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</si>
  <si>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</si>
  <si>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</si>
  <si>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</si>
  <si>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</si>
  <si>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</si>
  <si>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</si>
  <si>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</si>
  <si>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</si>
  <si>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</si>
  <si>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</si>
  <si>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</si>
  <si>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</si>
  <si>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</si>
  <si>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</si>
  <si>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</si>
  <si>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</si>
  <si>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</si>
  <si>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</si>
  <si>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</si>
  <si>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</si>
  <si>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</si>
  <si>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</si>
  <si>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</si>
  <si>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</si>
  <si>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</si>
  <si>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</si>
  <si>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</si>
  <si>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</si>
  <si>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</si>
  <si>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/>
  </si>
  <si>
    <t>x</t>
  </si>
  <si>
    <t>top_scores</t>
  </si>
  <si>
    <t>min_rank</t>
  </si>
  <si>
    <t>xxxxxxxxxxxxxxxxxxxxxxxxxx</t>
  </si>
  <si>
    <t>X</t>
  </si>
  <si>
    <t>original</t>
  </si>
  <si>
    <t>updated</t>
  </si>
  <si>
    <t>LET(result, XLOOKUP($A34, $A$3:$A$31, XLOOKUP(B$33, $B$2:$M$2, $B$3:$M$31)), IF(result="", "", result))</t>
  </si>
  <si>
    <t>orig</t>
  </si>
  <si>
    <t>me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</si>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</sst>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trike/>
      <u/>
      <sz val="14"/>
      <color theme="1"/>
      <name val="Aptos Narrow"/>
      <family val="2"/>
      <scheme val="minor"/>
    </font>
    <font>
      <b/>
      <strike/>
      <u/>
      <sz val="16"/>
      <color theme="1"/>
      <name val="Aptos Narrow"/>
      <family val="2"/>
      <scheme val="minor"/>
    </font>
    <font>
      <strike/>
      <u/>
      <sz val="11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" fontId="0" fillId="0" borderId="0" xfId="0" applyNumberFormat="1" applyAlignment="1">
      <alignment horizontal="center"/>
    </xf>
    <xf numFmtId="0" fontId="0" fillId="33" borderId="0" xfId="0" applyFill="1"/>
    <xf numFmtId="0" fontId="16" fillId="0" borderId="0" xfId="0" applyFont="1"/>
    <xf numFmtId="1" fontId="0" fillId="0" borderId="10" xfId="0" applyNumberFormat="1" applyBorder="1" applyAlignment="1">
      <alignment horizontal="center"/>
    </xf>
    <xf numFmtId="0" fontId="0" fillId="34" borderId="0" xfId="0" applyFill="1"/>
    <xf numFmtId="1" fontId="0" fillId="34" borderId="0" xfId="0" applyNumberFormat="1" applyFill="1" applyAlignment="1">
      <alignment horizontal="center"/>
    </xf>
    <xf numFmtId="1" fontId="18" fillId="0" borderId="0" xfId="0" applyNumberFormat="1" applyFont="1" applyAlignment="1">
      <alignment horizontal="center"/>
    </xf>
    <xf numFmtId="0" fontId="19" fillId="34" borderId="0" xfId="0" applyFont="1" applyFill="1"/>
    <xf numFmtId="1" fontId="19" fillId="34" borderId="0" xfId="0" applyNumberFormat="1" applyFont="1" applyFill="1" applyAlignment="1">
      <alignment horizontal="center"/>
    </xf>
    <xf numFmtId="1" fontId="0" fillId="0" borderId="0" xfId="0" applyNumberFormat="1"/>
    <xf numFmtId="1" fontId="0" fillId="34" borderId="0" xfId="0" applyNumberFormat="1" applyFill="1"/>
    <xf numFmtId="1" fontId="20" fillId="0" borderId="0" xfId="0" applyNumberFormat="1" applyFont="1" applyAlignment="1">
      <alignment horizontal="center"/>
    </xf>
    <xf numFmtId="164" fontId="0" fillId="0" borderId="0" xfId="0" applyNumberFormat="1"/>
    <xf numFmtId="0" fontId="0" fillId="35" borderId="0" xfId="0" applyFill="1"/>
    <xf numFmtId="0" fontId="0" fillId="36" borderId="0" xfId="0" applyFill="1"/>
    <xf numFmtId="0" fontId="19" fillId="0" borderId="0" xfId="0" applyFont="1"/>
    <xf numFmtId="1" fontId="19" fillId="0" borderId="0" xfId="0" applyNumberFormat="1" applyFont="1" applyAlignment="1">
      <alignment horizontal="center"/>
    </xf>
    <xf numFmtId="0" fontId="19" fillId="33" borderId="0" xfId="0" applyFont="1" applyFill="1"/>
    <xf numFmtId="1" fontId="19" fillId="0" borderId="0" xfId="0" applyNumberFormat="1" applyFont="1"/>
    <xf numFmtId="1" fontId="21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165" fontId="0" fillId="0" borderId="0" xfId="0" applyNumberFormat="1"/>
    <xf numFmtId="3" fontId="0" fillId="0" borderId="0" xfId="0" applyNumberFormat="1"/>
    <xf numFmtId="0" fontId="0" fillId="37" borderId="0" xfId="0" applyFill="1"/>
    <xf numFmtId="0" fontId="23" fillId="0" borderId="0" xfId="0" applyFont="1"/>
    <xf numFmtId="1" fontId="23" fillId="0" borderId="0" xfId="0" applyNumberFormat="1" applyFont="1" applyAlignment="1">
      <alignment horizontal="center"/>
    </xf>
    <xf numFmtId="1" fontId="23" fillId="0" borderId="0" xfId="0" applyNumberFormat="1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5D2F-AF01-4CC9-8B01-8FAF624F9E46}">
  <dimension ref="A1:W144"/>
  <sheetViews>
    <sheetView topLeftCell="A16" workbookViewId="0">
      <selection activeCell="B39" sqref="B39"/>
    </sheetView>
  </sheetViews>
  <sheetFormatPr defaultRowHeight="15" x14ac:dyDescent="0.25"/>
  <cols>
    <col min="1" max="1" width="24.28515625" bestFit="1" customWidth="1"/>
    <col min="2" max="10" width="7.140625" bestFit="1" customWidth="1"/>
    <col min="11" max="15" width="8.140625" bestFit="1" customWidth="1"/>
    <col min="16" max="16" width="10.85546875" customWidth="1"/>
    <col min="17" max="18" width="8.140625" bestFit="1" customWidth="1"/>
    <col min="19" max="19" width="10.42578125" bestFit="1" customWidth="1"/>
    <col min="20" max="20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4.5</v>
      </c>
      <c r="C2">
        <v>3.1</v>
      </c>
      <c r="D2">
        <v>-2.2000000000000002</v>
      </c>
      <c r="E2">
        <v>0.499999999999999</v>
      </c>
      <c r="F2">
        <v>4.1999999999999904</v>
      </c>
      <c r="G2">
        <v>0.9</v>
      </c>
      <c r="H2">
        <v>-3.3</v>
      </c>
      <c r="J2">
        <v>-0.9</v>
      </c>
      <c r="K2">
        <v>0.499999999999999</v>
      </c>
      <c r="L2">
        <v>-2.2000000000000002</v>
      </c>
      <c r="M2">
        <v>0.9</v>
      </c>
      <c r="N2">
        <v>-1.8</v>
      </c>
      <c r="O2">
        <v>-2.6</v>
      </c>
      <c r="P2">
        <v>-1.8</v>
      </c>
      <c r="Q2">
        <v>1.8</v>
      </c>
      <c r="R2">
        <v>-3.4</v>
      </c>
      <c r="S2">
        <v>-2.6</v>
      </c>
    </row>
    <row r="3" spans="1:19" x14ac:dyDescent="0.25">
      <c r="A3" t="s">
        <v>20</v>
      </c>
      <c r="B3">
        <v>-3.6</v>
      </c>
      <c r="C3">
        <v>-3.5</v>
      </c>
      <c r="D3">
        <v>1.2999999999999901</v>
      </c>
      <c r="E3">
        <v>-5.5</v>
      </c>
      <c r="G3">
        <v>-7.4</v>
      </c>
      <c r="H3">
        <v>-4</v>
      </c>
      <c r="I3">
        <v>-1.9</v>
      </c>
      <c r="J3">
        <v>-0.2</v>
      </c>
      <c r="K3">
        <v>-0.9</v>
      </c>
      <c r="L3">
        <v>1.2999999999999901</v>
      </c>
      <c r="M3">
        <v>2.7</v>
      </c>
      <c r="N3">
        <v>2</v>
      </c>
      <c r="O3">
        <v>-1.3</v>
      </c>
      <c r="P3">
        <v>-3.6</v>
      </c>
      <c r="Q3">
        <v>-1.8</v>
      </c>
      <c r="R3">
        <v>-4.4000000000000004</v>
      </c>
      <c r="S3">
        <v>2.7</v>
      </c>
    </row>
    <row r="4" spans="1:19" x14ac:dyDescent="0.25">
      <c r="A4" t="s">
        <v>21</v>
      </c>
      <c r="B4">
        <v>0.39999999999999902</v>
      </c>
      <c r="C4">
        <v>10</v>
      </c>
      <c r="D4">
        <v>0.39999999999999902</v>
      </c>
      <c r="E4">
        <v>-0.2</v>
      </c>
      <c r="F4">
        <v>4.1999999999999904</v>
      </c>
      <c r="G4">
        <v>3.3999999999999901</v>
      </c>
      <c r="I4">
        <v>4.6999999999999904</v>
      </c>
      <c r="J4">
        <v>5.8999999999999897</v>
      </c>
      <c r="K4">
        <v>4.3</v>
      </c>
      <c r="L4">
        <v>10</v>
      </c>
      <c r="M4">
        <v>9.8000000000000007</v>
      </c>
      <c r="N4">
        <v>2.5999999999999899</v>
      </c>
      <c r="O4">
        <v>5.1999999999999904</v>
      </c>
      <c r="P4">
        <v>2.5999999999999899</v>
      </c>
      <c r="Q4">
        <v>7.6</v>
      </c>
      <c r="R4">
        <v>2.69999999999999</v>
      </c>
      <c r="S4">
        <v>5.1999999999999904</v>
      </c>
    </row>
    <row r="5" spans="1:19" x14ac:dyDescent="0.25">
      <c r="A5" t="s">
        <v>22</v>
      </c>
      <c r="B5">
        <v>-0.39999999999999902</v>
      </c>
      <c r="C5">
        <v>9.4</v>
      </c>
      <c r="D5">
        <v>5.5</v>
      </c>
      <c r="E5">
        <v>10.1</v>
      </c>
      <c r="F5">
        <v>7.2</v>
      </c>
      <c r="G5">
        <v>7.4</v>
      </c>
      <c r="I5">
        <v>8.6999999999999993</v>
      </c>
      <c r="J5">
        <v>-0.59999999999999898</v>
      </c>
      <c r="K5">
        <v>5.5</v>
      </c>
      <c r="L5">
        <v>3.8</v>
      </c>
      <c r="M5">
        <v>3.8</v>
      </c>
      <c r="N5">
        <v>4.8</v>
      </c>
      <c r="O5">
        <v>2.2000000000000002</v>
      </c>
      <c r="P5">
        <v>7.2</v>
      </c>
      <c r="Q5">
        <v>9.6</v>
      </c>
      <c r="R5">
        <v>-0.59999999999999898</v>
      </c>
      <c r="S5">
        <v>9.4</v>
      </c>
    </row>
    <row r="6" spans="1:19" x14ac:dyDescent="0.25">
      <c r="A6" t="s">
        <v>23</v>
      </c>
      <c r="B6">
        <v>-2.2000000000000002</v>
      </c>
      <c r="C6">
        <v>-3.1</v>
      </c>
      <c r="D6">
        <v>-1.2999999999999901</v>
      </c>
      <c r="E6">
        <v>-1.5</v>
      </c>
      <c r="F6">
        <v>-3.2</v>
      </c>
      <c r="G6">
        <v>-4</v>
      </c>
      <c r="H6">
        <v>0.7</v>
      </c>
      <c r="I6">
        <v>-8.6999999999999993</v>
      </c>
      <c r="J6">
        <v>-6.4</v>
      </c>
      <c r="K6">
        <v>1.4</v>
      </c>
      <c r="L6">
        <v>-1.2999999999999901</v>
      </c>
      <c r="M6">
        <v>-5.3</v>
      </c>
      <c r="N6">
        <v>-5.7</v>
      </c>
      <c r="P6">
        <v>1.4</v>
      </c>
      <c r="Q6">
        <v>-4.9000000000000004</v>
      </c>
      <c r="R6">
        <v>-2.6</v>
      </c>
      <c r="S6">
        <v>-4.9000000000000004</v>
      </c>
    </row>
    <row r="7" spans="1:19" x14ac:dyDescent="0.25">
      <c r="A7" t="s">
        <v>24</v>
      </c>
      <c r="B7">
        <v>-0.4</v>
      </c>
      <c r="C7">
        <v>-4.3</v>
      </c>
      <c r="D7">
        <v>0.4</v>
      </c>
      <c r="E7">
        <v>2.4</v>
      </c>
      <c r="G7">
        <v>-2.4</v>
      </c>
      <c r="H7">
        <v>5.8</v>
      </c>
      <c r="I7">
        <v>-4.6999999999999904</v>
      </c>
      <c r="J7">
        <v>-2.1</v>
      </c>
      <c r="K7">
        <v>4.2</v>
      </c>
      <c r="L7">
        <v>-0.4</v>
      </c>
      <c r="M7">
        <v>0.5</v>
      </c>
      <c r="N7">
        <v>-4.8999999999999897</v>
      </c>
      <c r="O7">
        <v>-2</v>
      </c>
      <c r="P7">
        <v>5.3</v>
      </c>
      <c r="Q7">
        <v>-2</v>
      </c>
      <c r="R7">
        <v>-0.9</v>
      </c>
      <c r="S7">
        <v>-4.3</v>
      </c>
    </row>
    <row r="8" spans="1:19" x14ac:dyDescent="0.25">
      <c r="A8" t="s">
        <v>25</v>
      </c>
      <c r="B8">
        <v>7.4</v>
      </c>
      <c r="C8">
        <v>4.3</v>
      </c>
      <c r="D8">
        <v>1.7</v>
      </c>
      <c r="E8">
        <v>1.1000000000000001</v>
      </c>
      <c r="F8">
        <v>-2.2000000000000002</v>
      </c>
      <c r="G8">
        <v>0.1</v>
      </c>
      <c r="H8">
        <v>2.6</v>
      </c>
      <c r="I8">
        <v>7.2</v>
      </c>
      <c r="J8">
        <v>2.1</v>
      </c>
      <c r="L8">
        <v>2.6</v>
      </c>
      <c r="M8">
        <v>5</v>
      </c>
      <c r="N8">
        <v>-2.5999999999999899</v>
      </c>
      <c r="O8">
        <v>-2.2000000000000002</v>
      </c>
      <c r="P8">
        <v>-2.5999999999999899</v>
      </c>
      <c r="Q8">
        <v>3.3</v>
      </c>
      <c r="R8">
        <v>3.4</v>
      </c>
      <c r="S8">
        <v>7.4</v>
      </c>
    </row>
    <row r="9" spans="1:19" x14ac:dyDescent="0.25">
      <c r="A9" t="s">
        <v>26</v>
      </c>
      <c r="B9">
        <v>-7.4</v>
      </c>
      <c r="C9">
        <v>-10</v>
      </c>
      <c r="D9">
        <v>-7.3</v>
      </c>
      <c r="E9">
        <v>-9.6</v>
      </c>
      <c r="F9">
        <v>-5.7</v>
      </c>
      <c r="G9">
        <v>-4.8</v>
      </c>
      <c r="H9">
        <v>-4.0999999999999996</v>
      </c>
      <c r="I9">
        <v>-2.4</v>
      </c>
      <c r="K9">
        <v>-0.2</v>
      </c>
      <c r="L9">
        <v>-10</v>
      </c>
      <c r="M9">
        <v>-2.9</v>
      </c>
      <c r="N9">
        <v>-6.2</v>
      </c>
      <c r="O9">
        <v>0.19999999999999901</v>
      </c>
      <c r="P9">
        <v>-5.3</v>
      </c>
      <c r="Q9">
        <v>-9.6</v>
      </c>
      <c r="R9">
        <v>-4.8</v>
      </c>
      <c r="S9">
        <v>-7.4</v>
      </c>
    </row>
    <row r="10" spans="1:19" x14ac:dyDescent="0.25">
      <c r="A10" t="s">
        <v>27</v>
      </c>
      <c r="B10">
        <v>-5.3</v>
      </c>
      <c r="C10">
        <v>3.8</v>
      </c>
      <c r="D10">
        <v>-0.4</v>
      </c>
      <c r="E10">
        <v>-2.4</v>
      </c>
      <c r="F10">
        <v>4.7</v>
      </c>
      <c r="G10">
        <v>4</v>
      </c>
      <c r="H10">
        <v>-2.8</v>
      </c>
      <c r="I10">
        <v>-1.4</v>
      </c>
      <c r="J10">
        <v>0.9</v>
      </c>
      <c r="L10">
        <v>2</v>
      </c>
      <c r="M10">
        <v>-5.3</v>
      </c>
      <c r="N10">
        <v>-5.3</v>
      </c>
      <c r="O10">
        <v>-4.7</v>
      </c>
      <c r="P10">
        <v>-0.8</v>
      </c>
      <c r="Q10">
        <v>-2.2000000000000002</v>
      </c>
      <c r="R10">
        <v>-2.8</v>
      </c>
      <c r="S10">
        <v>3.8</v>
      </c>
    </row>
    <row r="11" spans="1:19" x14ac:dyDescent="0.25">
      <c r="A11" t="s">
        <v>28</v>
      </c>
      <c r="B11">
        <v>6.5</v>
      </c>
      <c r="C11">
        <v>3.2</v>
      </c>
      <c r="D11">
        <v>-0.8</v>
      </c>
      <c r="E11">
        <v>-1.1000000000000001</v>
      </c>
      <c r="F11">
        <v>-3.9</v>
      </c>
      <c r="G11">
        <v>6.1</v>
      </c>
      <c r="H11">
        <v>5.1999999999999904</v>
      </c>
      <c r="I11">
        <v>1.4</v>
      </c>
      <c r="J11">
        <v>0.499999999999999</v>
      </c>
      <c r="K11">
        <v>3.4</v>
      </c>
      <c r="L11">
        <v>-3.9</v>
      </c>
      <c r="N11">
        <v>-1.4</v>
      </c>
      <c r="O11">
        <v>3.4</v>
      </c>
      <c r="P11">
        <v>-1</v>
      </c>
      <c r="Q11">
        <v>3.2</v>
      </c>
      <c r="R11">
        <v>-3.9</v>
      </c>
      <c r="S11">
        <v>-0.8</v>
      </c>
    </row>
    <row r="12" spans="1:19" x14ac:dyDescent="0.25">
      <c r="A12" t="s">
        <v>29</v>
      </c>
      <c r="B12">
        <v>2.2999999999999998</v>
      </c>
      <c r="C12">
        <v>4.3</v>
      </c>
      <c r="D12">
        <v>-0.39999999999999902</v>
      </c>
      <c r="E12">
        <v>9.6</v>
      </c>
      <c r="F12">
        <v>2.2000000000000002</v>
      </c>
      <c r="G12">
        <v>-0.59999999999999898</v>
      </c>
      <c r="H12">
        <v>3.8</v>
      </c>
      <c r="J12">
        <v>3.9</v>
      </c>
      <c r="K12">
        <v>1.9</v>
      </c>
      <c r="L12">
        <v>-0.59999999999999898</v>
      </c>
      <c r="M12">
        <v>8.5</v>
      </c>
      <c r="N12">
        <v>2.2999999999999998</v>
      </c>
      <c r="O12">
        <v>4.7</v>
      </c>
      <c r="P12">
        <v>3</v>
      </c>
      <c r="Q12">
        <v>4.8</v>
      </c>
      <c r="R12">
        <v>3.9</v>
      </c>
      <c r="S12">
        <v>4.3</v>
      </c>
    </row>
    <row r="13" spans="1:19" x14ac:dyDescent="0.25">
      <c r="A13" t="s">
        <v>30</v>
      </c>
      <c r="B13">
        <v>-2.2999999999999998</v>
      </c>
      <c r="C13">
        <v>-0.39999999999999902</v>
      </c>
      <c r="D13">
        <v>7.3</v>
      </c>
      <c r="E13">
        <v>2.4</v>
      </c>
      <c r="G13">
        <v>-0.1</v>
      </c>
      <c r="H13">
        <v>3.3</v>
      </c>
      <c r="I13">
        <v>2.5</v>
      </c>
      <c r="J13">
        <v>6.4</v>
      </c>
      <c r="K13">
        <v>-2.9</v>
      </c>
      <c r="L13">
        <v>6.1999999999999904</v>
      </c>
      <c r="M13">
        <v>1.5999999999999901</v>
      </c>
      <c r="N13">
        <v>-2.2999999999999998</v>
      </c>
      <c r="O13">
        <v>2</v>
      </c>
      <c r="P13">
        <v>1</v>
      </c>
      <c r="Q13">
        <v>2</v>
      </c>
      <c r="R13">
        <v>-2.69999999999999</v>
      </c>
      <c r="S13">
        <v>1.5999999999999901</v>
      </c>
    </row>
    <row r="14" spans="1:19" x14ac:dyDescent="0.25">
      <c r="A14" t="s">
        <v>31</v>
      </c>
      <c r="B14">
        <v>-0.79999999999999905</v>
      </c>
      <c r="C14">
        <v>0</v>
      </c>
      <c r="D14">
        <v>2.7</v>
      </c>
      <c r="E14">
        <v>6</v>
      </c>
      <c r="F14">
        <v>-4.1999999999999904</v>
      </c>
      <c r="H14">
        <v>2.2999999999999998</v>
      </c>
      <c r="I14">
        <v>-0.4</v>
      </c>
      <c r="J14">
        <v>-0.499999999999999</v>
      </c>
      <c r="K14">
        <v>2.7</v>
      </c>
      <c r="L14">
        <v>6</v>
      </c>
      <c r="M14">
        <v>-3.8</v>
      </c>
      <c r="N14">
        <v>2.7</v>
      </c>
      <c r="O14">
        <v>-4.3999999999999897</v>
      </c>
      <c r="P14">
        <v>1.8</v>
      </c>
      <c r="Q14">
        <v>2.9</v>
      </c>
      <c r="R14">
        <v>-1.3</v>
      </c>
      <c r="S14">
        <v>2.7</v>
      </c>
    </row>
    <row r="15" spans="1:19" x14ac:dyDescent="0.25">
      <c r="A15" t="s">
        <v>32</v>
      </c>
      <c r="B15">
        <v>-1</v>
      </c>
      <c r="C15">
        <v>-3.2</v>
      </c>
      <c r="D15">
        <v>3.3</v>
      </c>
      <c r="E15">
        <v>-3.5</v>
      </c>
      <c r="F15">
        <v>0.19999999999999901</v>
      </c>
      <c r="G15">
        <v>-0.9</v>
      </c>
      <c r="H15">
        <v>-4</v>
      </c>
      <c r="I15">
        <v>3.3</v>
      </c>
      <c r="J15">
        <v>-1.7</v>
      </c>
      <c r="K15">
        <v>0.9</v>
      </c>
      <c r="M15">
        <v>-7.1</v>
      </c>
      <c r="N15">
        <v>-2.7</v>
      </c>
      <c r="O15">
        <v>0</v>
      </c>
      <c r="P15">
        <v>-0.4</v>
      </c>
      <c r="Q15">
        <v>-3.1</v>
      </c>
      <c r="R15">
        <v>0</v>
      </c>
      <c r="S15">
        <v>-2.7</v>
      </c>
    </row>
    <row r="16" spans="1:19" x14ac:dyDescent="0.25">
      <c r="A16" t="s">
        <v>33</v>
      </c>
      <c r="B16">
        <v>2.2000000000000002</v>
      </c>
      <c r="C16">
        <v>-4.3</v>
      </c>
      <c r="D16">
        <v>-2.7</v>
      </c>
      <c r="E16">
        <v>-3.1</v>
      </c>
      <c r="F16">
        <v>-7.1</v>
      </c>
      <c r="G16">
        <v>-0.4</v>
      </c>
      <c r="H16">
        <v>-3.5</v>
      </c>
      <c r="J16">
        <v>0.19999999999999901</v>
      </c>
      <c r="K16">
        <v>-2.7</v>
      </c>
      <c r="L16">
        <v>-4</v>
      </c>
      <c r="M16">
        <v>-0.9</v>
      </c>
      <c r="N16">
        <v>3.3</v>
      </c>
      <c r="O16">
        <v>0</v>
      </c>
      <c r="P16">
        <v>2.9</v>
      </c>
      <c r="Q16">
        <v>-3.2</v>
      </c>
      <c r="R16">
        <v>0</v>
      </c>
      <c r="S16">
        <v>3.3</v>
      </c>
    </row>
    <row r="17" spans="1:19" x14ac:dyDescent="0.25">
      <c r="A17" t="s">
        <v>34</v>
      </c>
      <c r="B17">
        <v>3.0999999999999899</v>
      </c>
      <c r="C17">
        <v>0</v>
      </c>
      <c r="D17">
        <v>9.1</v>
      </c>
      <c r="E17">
        <v>0.2</v>
      </c>
      <c r="F17">
        <v>7.1</v>
      </c>
      <c r="G17">
        <v>0.59999999999999898</v>
      </c>
      <c r="H17">
        <v>7.3</v>
      </c>
      <c r="I17">
        <v>2.5</v>
      </c>
      <c r="J17">
        <v>0.59999999999999898</v>
      </c>
      <c r="L17">
        <v>3.9</v>
      </c>
      <c r="M17">
        <v>7.1</v>
      </c>
      <c r="N17">
        <v>5.3</v>
      </c>
      <c r="O17">
        <v>4.3999999999999897</v>
      </c>
      <c r="P17">
        <v>3.0999999999999899</v>
      </c>
      <c r="Q17">
        <v>10.399999999999901</v>
      </c>
      <c r="R17">
        <v>3.9</v>
      </c>
      <c r="S17">
        <v>7.3</v>
      </c>
    </row>
    <row r="18" spans="1:19" x14ac:dyDescent="0.25">
      <c r="A18" t="s">
        <v>35</v>
      </c>
      <c r="B18">
        <v>0.5</v>
      </c>
      <c r="C18">
        <v>-4.2</v>
      </c>
      <c r="D18">
        <v>-4.8</v>
      </c>
      <c r="E18">
        <v>-2.4</v>
      </c>
      <c r="F18">
        <v>-0.19999999999999901</v>
      </c>
      <c r="G18">
        <v>3.0999999999999899</v>
      </c>
      <c r="H18">
        <v>-7.3</v>
      </c>
      <c r="J18">
        <v>-0.19999999999999901</v>
      </c>
      <c r="K18">
        <v>-3.4</v>
      </c>
      <c r="L18">
        <v>-2</v>
      </c>
      <c r="M18">
        <v>2.9</v>
      </c>
      <c r="N18">
        <v>-4.2</v>
      </c>
      <c r="O18">
        <v>-3.4</v>
      </c>
      <c r="P18">
        <v>-7.3</v>
      </c>
      <c r="Q18">
        <v>-2.9</v>
      </c>
      <c r="R18">
        <v>1.7999999999999901</v>
      </c>
      <c r="S18">
        <v>-7.3</v>
      </c>
    </row>
    <row r="19" spans="1:19" x14ac:dyDescent="0.25">
      <c r="A19" t="s">
        <v>36</v>
      </c>
      <c r="B19">
        <v>-3.0999999999999899</v>
      </c>
      <c r="C19">
        <v>4.2</v>
      </c>
      <c r="D19">
        <v>0.8</v>
      </c>
      <c r="E19">
        <v>6</v>
      </c>
      <c r="F19">
        <v>-0.59999999999999898</v>
      </c>
      <c r="G19">
        <v>3</v>
      </c>
      <c r="H19">
        <v>4</v>
      </c>
      <c r="I19">
        <v>1.4</v>
      </c>
      <c r="J19">
        <v>7.3</v>
      </c>
      <c r="K19">
        <v>2.2999999999999998</v>
      </c>
      <c r="L19">
        <v>4</v>
      </c>
      <c r="N19">
        <v>4.2</v>
      </c>
      <c r="O19">
        <v>-3.0999999999999899</v>
      </c>
      <c r="P19">
        <v>-3.0999999999999899</v>
      </c>
      <c r="Q19">
        <v>2.2000000000000002</v>
      </c>
      <c r="R19">
        <v>1.3</v>
      </c>
      <c r="S19">
        <v>0.8</v>
      </c>
    </row>
    <row r="20" spans="1:19" x14ac:dyDescent="0.25">
      <c r="A20" t="s">
        <v>37</v>
      </c>
      <c r="B20">
        <v>0.79999999999999905</v>
      </c>
      <c r="C20">
        <v>6.8</v>
      </c>
      <c r="D20">
        <v>-3.5999999999999899</v>
      </c>
      <c r="E20">
        <v>3.5</v>
      </c>
      <c r="F20">
        <v>0.39999999999999902</v>
      </c>
      <c r="G20">
        <v>-3.3999999999999901</v>
      </c>
      <c r="H20">
        <v>3.5</v>
      </c>
      <c r="J20">
        <v>7.1</v>
      </c>
      <c r="K20">
        <v>0.39999999999999902</v>
      </c>
      <c r="L20">
        <v>3.0999999999999899</v>
      </c>
      <c r="M20">
        <v>0.79999999999999905</v>
      </c>
      <c r="N20">
        <v>5.7</v>
      </c>
      <c r="O20">
        <v>2.6</v>
      </c>
      <c r="P20">
        <v>-3</v>
      </c>
      <c r="Q20">
        <v>3.0999999999999899</v>
      </c>
      <c r="R20">
        <v>4.4000000000000004</v>
      </c>
      <c r="S20">
        <v>2.6</v>
      </c>
    </row>
    <row r="21" spans="1:19" x14ac:dyDescent="0.25">
      <c r="A21" t="s">
        <v>38</v>
      </c>
      <c r="B21">
        <v>1</v>
      </c>
      <c r="C21">
        <v>1.7</v>
      </c>
      <c r="D21">
        <v>-5.5</v>
      </c>
      <c r="E21">
        <v>3.9</v>
      </c>
      <c r="F21">
        <v>3.2</v>
      </c>
      <c r="G21">
        <v>-3</v>
      </c>
      <c r="H21">
        <v>4.0999999999999996</v>
      </c>
      <c r="I21">
        <v>1.9</v>
      </c>
      <c r="J21">
        <v>-5.8999999999999897</v>
      </c>
      <c r="K21">
        <v>-5.5</v>
      </c>
      <c r="L21">
        <v>-3.5999999999999899</v>
      </c>
      <c r="N21">
        <v>4.5999999999999996</v>
      </c>
      <c r="O21">
        <v>3.9</v>
      </c>
      <c r="P21">
        <v>-0.7</v>
      </c>
      <c r="Q21">
        <v>-3.3</v>
      </c>
      <c r="R21">
        <v>-1.7</v>
      </c>
      <c r="S21">
        <v>1.7</v>
      </c>
    </row>
    <row r="22" spans="1:19" x14ac:dyDescent="0.25">
      <c r="A22" t="s">
        <v>39</v>
      </c>
      <c r="B22">
        <v>0.4</v>
      </c>
      <c r="C22">
        <v>3.5</v>
      </c>
      <c r="D22">
        <v>-1.7</v>
      </c>
      <c r="E22">
        <v>0.9</v>
      </c>
      <c r="F22">
        <v>5.7</v>
      </c>
      <c r="H22">
        <v>-4.5</v>
      </c>
      <c r="I22">
        <v>-1.4</v>
      </c>
      <c r="J22">
        <v>-3.9</v>
      </c>
      <c r="K22">
        <v>-4.3</v>
      </c>
      <c r="L22">
        <v>0.4</v>
      </c>
      <c r="M22">
        <v>-1.5999999999999901</v>
      </c>
      <c r="N22">
        <v>2.2000000000000002</v>
      </c>
      <c r="O22">
        <v>-1.99999999999999</v>
      </c>
      <c r="P22">
        <v>0.8</v>
      </c>
      <c r="Q22">
        <v>4.5999999999999996</v>
      </c>
      <c r="R22">
        <v>-3.9</v>
      </c>
      <c r="S22">
        <v>-1.5999999999999901</v>
      </c>
    </row>
    <row r="23" spans="1:19" x14ac:dyDescent="0.25">
      <c r="A23" t="s">
        <v>40</v>
      </c>
      <c r="B23">
        <v>-0.5</v>
      </c>
      <c r="C23">
        <v>-1.7</v>
      </c>
      <c r="D23">
        <v>-2.4</v>
      </c>
      <c r="E23">
        <v>1.5</v>
      </c>
      <c r="F23">
        <v>-7.2</v>
      </c>
      <c r="G23">
        <v>2.9</v>
      </c>
      <c r="H23">
        <v>2.5999999999999899</v>
      </c>
      <c r="I23">
        <v>2.4</v>
      </c>
      <c r="J23">
        <v>0.2</v>
      </c>
      <c r="K23">
        <v>-3.4</v>
      </c>
      <c r="L23">
        <v>2.2000000000000002</v>
      </c>
      <c r="M23">
        <v>-5</v>
      </c>
      <c r="N23">
        <v>1.2999999999999901</v>
      </c>
      <c r="P23">
        <v>-7.2</v>
      </c>
      <c r="Q23">
        <v>-7.6</v>
      </c>
      <c r="R23">
        <v>2.2000000000000002</v>
      </c>
      <c r="S23">
        <v>-1.7</v>
      </c>
    </row>
    <row r="24" spans="1:19" x14ac:dyDescent="0.25">
      <c r="A24" t="s">
        <v>41</v>
      </c>
      <c r="B24">
        <v>-4.5</v>
      </c>
      <c r="C24">
        <v>-6.7</v>
      </c>
      <c r="D24">
        <v>-4</v>
      </c>
      <c r="E24">
        <v>-10.1</v>
      </c>
      <c r="F24">
        <v>-1.6</v>
      </c>
      <c r="G24">
        <v>-2.9</v>
      </c>
      <c r="H24">
        <v>-5.8</v>
      </c>
      <c r="I24">
        <v>-6.3</v>
      </c>
      <c r="J24">
        <v>-7.1</v>
      </c>
      <c r="K24">
        <v>-1.4</v>
      </c>
      <c r="M24">
        <v>-2.7</v>
      </c>
      <c r="N24">
        <v>-4.5999999999999996</v>
      </c>
      <c r="O24">
        <v>-6.3</v>
      </c>
      <c r="P24">
        <v>-1.4</v>
      </c>
      <c r="Q24">
        <v>-0.7</v>
      </c>
      <c r="R24">
        <v>-0.3</v>
      </c>
      <c r="S24">
        <v>-2.7</v>
      </c>
    </row>
    <row r="25" spans="1:19" x14ac:dyDescent="0.25">
      <c r="A25" t="s">
        <v>42</v>
      </c>
      <c r="B25">
        <v>-6.6</v>
      </c>
      <c r="C25">
        <v>-3.8</v>
      </c>
      <c r="D25">
        <v>-9.1</v>
      </c>
      <c r="E25">
        <v>-6</v>
      </c>
      <c r="F25">
        <v>1.6</v>
      </c>
      <c r="G25">
        <v>-9.1</v>
      </c>
      <c r="H25">
        <v>-5.1999999999999904</v>
      </c>
      <c r="I25">
        <v>-9.1</v>
      </c>
      <c r="J25">
        <v>-5.0999999999999996</v>
      </c>
      <c r="K25">
        <v>-4.2</v>
      </c>
      <c r="L25">
        <v>-6.1999999999999904</v>
      </c>
      <c r="M25">
        <v>-8.5</v>
      </c>
      <c r="N25">
        <v>-1.2999999999999901</v>
      </c>
      <c r="P25">
        <v>-6.6</v>
      </c>
      <c r="Q25">
        <v>-4.5999999999999996</v>
      </c>
      <c r="R25">
        <v>-1.7999999999999901</v>
      </c>
      <c r="S25">
        <v>-3.8</v>
      </c>
    </row>
    <row r="26" spans="1:19" x14ac:dyDescent="0.25">
      <c r="A26" t="s">
        <v>43</v>
      </c>
      <c r="B26">
        <v>-4.5999999999999996</v>
      </c>
      <c r="C26">
        <v>-9.4</v>
      </c>
      <c r="D26">
        <v>-5.6</v>
      </c>
      <c r="E26">
        <v>-3.9</v>
      </c>
      <c r="F26">
        <v>-4.7</v>
      </c>
      <c r="G26">
        <v>-6.1</v>
      </c>
      <c r="H26">
        <v>-0.7</v>
      </c>
      <c r="I26">
        <v>-7.2</v>
      </c>
      <c r="K26">
        <v>0.2</v>
      </c>
      <c r="L26">
        <v>-2.2000000000000002</v>
      </c>
      <c r="M26">
        <v>-9.8000000000000007</v>
      </c>
      <c r="N26">
        <v>-2</v>
      </c>
      <c r="O26">
        <v>-3.9</v>
      </c>
      <c r="P26">
        <v>-2.9</v>
      </c>
      <c r="Q26">
        <v>0.7</v>
      </c>
      <c r="R26">
        <v>-2.2000000000000002</v>
      </c>
      <c r="S26">
        <v>-9.4</v>
      </c>
    </row>
    <row r="27" spans="1:19" x14ac:dyDescent="0.25">
      <c r="A27" t="s">
        <v>44</v>
      </c>
      <c r="B27">
        <v>5.3</v>
      </c>
      <c r="C27">
        <v>0</v>
      </c>
      <c r="D27">
        <v>3.5999999999999899</v>
      </c>
      <c r="E27">
        <v>4.3999999999999897</v>
      </c>
      <c r="F27">
        <v>3.9</v>
      </c>
      <c r="G27">
        <v>9.1</v>
      </c>
      <c r="H27">
        <v>4.5</v>
      </c>
      <c r="I27">
        <v>9.1</v>
      </c>
      <c r="K27">
        <v>2.9</v>
      </c>
      <c r="L27">
        <v>0.59999999999999898</v>
      </c>
      <c r="M27">
        <v>5.3</v>
      </c>
      <c r="N27">
        <v>4.8999999999999897</v>
      </c>
      <c r="O27">
        <v>3.0999999999999899</v>
      </c>
      <c r="P27">
        <v>7.3</v>
      </c>
      <c r="Q27">
        <v>2.5</v>
      </c>
      <c r="R27">
        <v>0.59999999999999898</v>
      </c>
      <c r="S27">
        <v>2.5</v>
      </c>
    </row>
    <row r="28" spans="1:19" x14ac:dyDescent="0.25">
      <c r="A28" t="s">
        <v>45</v>
      </c>
      <c r="B28">
        <v>4.5999999999999996</v>
      </c>
      <c r="C28">
        <v>1.2999999999999901</v>
      </c>
      <c r="D28">
        <v>2.4</v>
      </c>
      <c r="E28">
        <v>-0.9</v>
      </c>
      <c r="G28">
        <v>4.8</v>
      </c>
      <c r="H28">
        <v>-2.6</v>
      </c>
      <c r="I28">
        <v>-2.5</v>
      </c>
      <c r="J28">
        <v>1.7</v>
      </c>
      <c r="K28">
        <v>-2.2999999999999998</v>
      </c>
      <c r="L28">
        <v>-2.6</v>
      </c>
      <c r="M28">
        <v>-0.5</v>
      </c>
      <c r="N28">
        <v>-4.8</v>
      </c>
      <c r="O28">
        <v>-5.1999999999999904</v>
      </c>
      <c r="P28">
        <v>0.7</v>
      </c>
      <c r="Q28">
        <v>-4.8</v>
      </c>
      <c r="R28">
        <v>4.8</v>
      </c>
      <c r="S28">
        <v>-5.1999999999999904</v>
      </c>
    </row>
    <row r="29" spans="1:19" x14ac:dyDescent="0.25">
      <c r="A29" t="s">
        <v>46</v>
      </c>
      <c r="B29">
        <v>2.7</v>
      </c>
      <c r="C29">
        <v>6.7</v>
      </c>
      <c r="D29">
        <v>2.2000000000000002</v>
      </c>
      <c r="E29">
        <v>3.1</v>
      </c>
      <c r="F29">
        <v>-0.39999999999999902</v>
      </c>
      <c r="G29">
        <v>0.4</v>
      </c>
      <c r="H29">
        <v>4</v>
      </c>
      <c r="I29">
        <v>0.4</v>
      </c>
      <c r="J29">
        <v>5.0999999999999996</v>
      </c>
      <c r="K29">
        <v>-0.39999999999999902</v>
      </c>
      <c r="L29">
        <v>2.2000000000000002</v>
      </c>
      <c r="M29">
        <v>5.3</v>
      </c>
      <c r="N29">
        <v>6.2</v>
      </c>
      <c r="P29">
        <v>6.3999999999999897</v>
      </c>
      <c r="Q29">
        <v>3.1</v>
      </c>
      <c r="R29">
        <v>0.9</v>
      </c>
      <c r="S29">
        <v>2.7</v>
      </c>
    </row>
    <row r="30" spans="1:19" x14ac:dyDescent="0.25">
      <c r="A30" t="s">
        <v>47</v>
      </c>
      <c r="B30">
        <v>-2.7</v>
      </c>
      <c r="C30">
        <v>-1.2999999999999901</v>
      </c>
      <c r="D30">
        <v>4</v>
      </c>
      <c r="E30">
        <v>-0.499999999999999</v>
      </c>
      <c r="F30">
        <v>-2.2999999999999998</v>
      </c>
      <c r="G30">
        <v>0.4</v>
      </c>
      <c r="H30">
        <v>-2.2999999999999998</v>
      </c>
      <c r="J30">
        <v>-4.1999999999999904</v>
      </c>
      <c r="K30">
        <v>-0.499999999999999</v>
      </c>
      <c r="L30">
        <v>-3.0999999999999899</v>
      </c>
      <c r="M30">
        <v>3.69999999999999</v>
      </c>
      <c r="N30">
        <v>-2.2000000000000002</v>
      </c>
      <c r="O30">
        <v>1.3</v>
      </c>
      <c r="P30">
        <v>0.4</v>
      </c>
      <c r="Q30">
        <v>-3.0999999999999899</v>
      </c>
      <c r="R30">
        <v>2.6</v>
      </c>
      <c r="S30">
        <v>-2.7</v>
      </c>
    </row>
    <row r="31" spans="1:19" x14ac:dyDescent="0.25">
      <c r="A31" t="s">
        <v>48</v>
      </c>
      <c r="B31">
        <v>3.6</v>
      </c>
      <c r="C31">
        <v>0</v>
      </c>
      <c r="D31">
        <v>5.6</v>
      </c>
      <c r="E31">
        <v>-4.3999999999999897</v>
      </c>
      <c r="F31">
        <v>2.2999999999999998</v>
      </c>
      <c r="G31">
        <v>-0.4</v>
      </c>
      <c r="H31">
        <v>-3.8</v>
      </c>
      <c r="I31">
        <v>6.3</v>
      </c>
      <c r="K31">
        <v>3.4</v>
      </c>
      <c r="L31">
        <v>-3.8</v>
      </c>
      <c r="M31">
        <v>-0.79999999999999905</v>
      </c>
      <c r="N31">
        <v>1.8</v>
      </c>
      <c r="O31">
        <v>6.3</v>
      </c>
      <c r="P31">
        <v>3.6</v>
      </c>
      <c r="Q31">
        <v>4.9000000000000004</v>
      </c>
      <c r="R31">
        <v>1.7</v>
      </c>
      <c r="S31">
        <v>4.9000000000000004</v>
      </c>
    </row>
    <row r="32" spans="1:19" x14ac:dyDescent="0.25">
      <c r="A32" t="s">
        <v>49</v>
      </c>
      <c r="B32">
        <v>-6.5</v>
      </c>
      <c r="C32">
        <v>-6.8</v>
      </c>
      <c r="D32">
        <v>-3.3</v>
      </c>
      <c r="E32">
        <v>-6</v>
      </c>
      <c r="F32">
        <v>-4.1999999999999904</v>
      </c>
      <c r="G32">
        <v>-3.0999999999999899</v>
      </c>
      <c r="H32">
        <v>-2.5999999999999899</v>
      </c>
      <c r="I32">
        <v>-3.3</v>
      </c>
      <c r="J32">
        <v>-7.3</v>
      </c>
      <c r="L32">
        <v>-6</v>
      </c>
      <c r="M32">
        <v>-3.69999999999999</v>
      </c>
      <c r="N32">
        <v>-3.3</v>
      </c>
      <c r="O32">
        <v>-0.19999999999999901</v>
      </c>
      <c r="P32">
        <v>-6.3999999999999897</v>
      </c>
      <c r="Q32">
        <v>-10.399999999999901</v>
      </c>
      <c r="R32">
        <v>0.3</v>
      </c>
      <c r="S32">
        <v>-3.3</v>
      </c>
    </row>
    <row r="33" spans="1:19" x14ac:dyDescent="0.25">
      <c r="A33" t="s">
        <v>50</v>
      </c>
      <c r="B33">
        <v>6.6</v>
      </c>
      <c r="C33">
        <v>0.39999999999999902</v>
      </c>
      <c r="D33">
        <v>4.8</v>
      </c>
      <c r="E33">
        <v>5.5</v>
      </c>
      <c r="F33">
        <v>0.59999999999999898</v>
      </c>
      <c r="G33">
        <v>2.4</v>
      </c>
      <c r="H33">
        <v>2.8</v>
      </c>
      <c r="I33">
        <v>-2.5</v>
      </c>
      <c r="J33">
        <v>4.1999999999999904</v>
      </c>
      <c r="K33">
        <v>-1.9</v>
      </c>
      <c r="L33">
        <v>3.5999999999999899</v>
      </c>
      <c r="N33">
        <v>1.4</v>
      </c>
      <c r="O33">
        <v>1.99999999999999</v>
      </c>
      <c r="P33">
        <v>6.6</v>
      </c>
      <c r="Q33">
        <v>-2.5</v>
      </c>
      <c r="R33">
        <v>2.8</v>
      </c>
      <c r="S33">
        <v>-2.5</v>
      </c>
    </row>
    <row r="37" spans="1:19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</row>
    <row r="38" spans="1:19" x14ac:dyDescent="0.25">
      <c r="A38" t="s">
        <v>19</v>
      </c>
      <c r="B38">
        <v>4.5</v>
      </c>
      <c r="C38">
        <v>3.1</v>
      </c>
      <c r="D38">
        <v>-2.2000000000000002</v>
      </c>
      <c r="E38">
        <v>0.499999999999999</v>
      </c>
      <c r="F38">
        <v>4.1999999999999904</v>
      </c>
      <c r="G38">
        <v>0.9</v>
      </c>
      <c r="H38">
        <v>-3.3</v>
      </c>
      <c r="J38">
        <v>-0.9</v>
      </c>
      <c r="K38">
        <v>0.499999999999999</v>
      </c>
      <c r="L38">
        <v>-2.2000000000000002</v>
      </c>
      <c r="M38">
        <v>0.9</v>
      </c>
      <c r="N38">
        <v>-1.8</v>
      </c>
      <c r="O38">
        <v>-2.6</v>
      </c>
      <c r="P38">
        <v>-1.8</v>
      </c>
      <c r="Q38">
        <v>1.8</v>
      </c>
      <c r="R38">
        <v>-3.4</v>
      </c>
      <c r="S38">
        <v>-2.6</v>
      </c>
    </row>
    <row r="39" spans="1:19" x14ac:dyDescent="0.25">
      <c r="A39" t="s">
        <v>20</v>
      </c>
      <c r="B39">
        <v>-3.6</v>
      </c>
      <c r="C39">
        <v>-3.5</v>
      </c>
      <c r="D39">
        <v>1.2999999999999901</v>
      </c>
      <c r="E39">
        <v>-5.5</v>
      </c>
      <c r="G39">
        <v>-7.4</v>
      </c>
      <c r="H39">
        <v>-4</v>
      </c>
      <c r="I39">
        <v>-1.9</v>
      </c>
      <c r="J39">
        <v>-0.2</v>
      </c>
      <c r="K39">
        <v>-0.9</v>
      </c>
      <c r="L39">
        <v>1.2999999999999901</v>
      </c>
      <c r="M39">
        <v>2.7</v>
      </c>
      <c r="N39">
        <v>2</v>
      </c>
      <c r="O39">
        <v>-1.3</v>
      </c>
      <c r="P39">
        <v>-3.6</v>
      </c>
      <c r="Q39">
        <v>-1.8</v>
      </c>
      <c r="R39">
        <v>-4.4000000000000004</v>
      </c>
      <c r="S39">
        <v>2.7</v>
      </c>
    </row>
    <row r="40" spans="1:19" x14ac:dyDescent="0.25">
      <c r="A40" t="s">
        <v>21</v>
      </c>
      <c r="B40">
        <v>0.39999999999999902</v>
      </c>
      <c r="C40">
        <v>10</v>
      </c>
      <c r="D40">
        <v>0.39999999999999902</v>
      </c>
      <c r="E40">
        <v>-0.2</v>
      </c>
      <c r="F40">
        <v>4.1999999999999904</v>
      </c>
      <c r="G40">
        <v>3.3999999999999901</v>
      </c>
      <c r="I40">
        <v>4.6999999999999904</v>
      </c>
      <c r="J40">
        <v>5.8999999999999897</v>
      </c>
      <c r="K40">
        <v>4.3</v>
      </c>
      <c r="L40">
        <v>10</v>
      </c>
      <c r="M40">
        <v>9.8000000000000007</v>
      </c>
      <c r="N40">
        <v>2.5999999999999899</v>
      </c>
      <c r="O40">
        <v>5.1999999999999904</v>
      </c>
      <c r="P40">
        <v>2.5999999999999899</v>
      </c>
      <c r="Q40">
        <v>7.6</v>
      </c>
      <c r="R40">
        <v>2.69999999999999</v>
      </c>
      <c r="S40">
        <v>5.1999999999999904</v>
      </c>
    </row>
    <row r="41" spans="1:19" x14ac:dyDescent="0.25">
      <c r="A41" t="s">
        <v>22</v>
      </c>
      <c r="B41">
        <v>-0.39999999999999902</v>
      </c>
      <c r="C41">
        <v>9.4</v>
      </c>
      <c r="D41">
        <v>5.5</v>
      </c>
      <c r="E41">
        <v>10.1</v>
      </c>
      <c r="F41">
        <v>7.2</v>
      </c>
      <c r="G41">
        <v>7.4</v>
      </c>
      <c r="I41">
        <v>8.6999999999999993</v>
      </c>
      <c r="J41">
        <v>-0.59999999999999898</v>
      </c>
      <c r="K41">
        <v>5.5</v>
      </c>
      <c r="L41">
        <v>3.8</v>
      </c>
      <c r="M41">
        <v>3.8</v>
      </c>
      <c r="N41">
        <v>4.8</v>
      </c>
      <c r="O41">
        <v>2.2000000000000002</v>
      </c>
      <c r="P41">
        <v>7.2</v>
      </c>
      <c r="Q41">
        <v>9.6</v>
      </c>
      <c r="R41">
        <v>-0.59999999999999898</v>
      </c>
      <c r="S41">
        <v>9.4</v>
      </c>
    </row>
    <row r="42" spans="1:19" x14ac:dyDescent="0.25">
      <c r="A42" t="s">
        <v>23</v>
      </c>
      <c r="B42">
        <v>-2.2000000000000002</v>
      </c>
      <c r="C42">
        <v>-3.1</v>
      </c>
      <c r="D42">
        <v>-1.2999999999999901</v>
      </c>
      <c r="E42">
        <v>-1.5</v>
      </c>
      <c r="F42">
        <v>-3.2</v>
      </c>
      <c r="G42">
        <v>-4</v>
      </c>
      <c r="H42">
        <v>0.7</v>
      </c>
      <c r="I42">
        <v>-8.6999999999999993</v>
      </c>
      <c r="J42">
        <v>-6.4</v>
      </c>
      <c r="K42">
        <v>1.4</v>
      </c>
      <c r="L42">
        <v>-1.2999999999999901</v>
      </c>
      <c r="M42">
        <v>-5.3</v>
      </c>
      <c r="N42">
        <v>-5.7</v>
      </c>
      <c r="P42">
        <v>1.4</v>
      </c>
      <c r="Q42">
        <v>-4.9000000000000004</v>
      </c>
      <c r="R42">
        <v>-2.6</v>
      </c>
      <c r="S42">
        <v>-4.9000000000000004</v>
      </c>
    </row>
    <row r="43" spans="1:19" x14ac:dyDescent="0.25">
      <c r="A43" t="s">
        <v>24</v>
      </c>
      <c r="B43">
        <v>-0.4</v>
      </c>
      <c r="C43">
        <v>-4.3</v>
      </c>
      <c r="D43">
        <v>0.4</v>
      </c>
      <c r="E43">
        <v>2.4</v>
      </c>
      <c r="G43">
        <v>-2.4</v>
      </c>
      <c r="H43">
        <v>5.8</v>
      </c>
      <c r="I43">
        <v>-4.6999999999999904</v>
      </c>
      <c r="J43">
        <v>-2.1</v>
      </c>
      <c r="K43">
        <v>4.2</v>
      </c>
      <c r="L43">
        <v>-0.4</v>
      </c>
      <c r="M43">
        <v>0.5</v>
      </c>
      <c r="N43">
        <v>-4.8999999999999897</v>
      </c>
      <c r="O43">
        <v>-2</v>
      </c>
      <c r="P43">
        <v>5.3</v>
      </c>
      <c r="Q43">
        <v>-2</v>
      </c>
      <c r="R43">
        <v>-0.9</v>
      </c>
      <c r="S43">
        <v>-4.3</v>
      </c>
    </row>
    <row r="44" spans="1:19" x14ac:dyDescent="0.25">
      <c r="A44" t="s">
        <v>25</v>
      </c>
      <c r="B44">
        <v>7.4</v>
      </c>
      <c r="C44">
        <v>4.3</v>
      </c>
      <c r="D44">
        <v>1.7</v>
      </c>
      <c r="E44">
        <v>1.1000000000000001</v>
      </c>
      <c r="F44">
        <v>-2.2000000000000002</v>
      </c>
      <c r="G44">
        <v>0.1</v>
      </c>
      <c r="H44">
        <v>2.6</v>
      </c>
      <c r="I44">
        <v>7.2</v>
      </c>
      <c r="J44">
        <v>2.1</v>
      </c>
      <c r="L44">
        <v>2.6</v>
      </c>
      <c r="M44">
        <v>5</v>
      </c>
      <c r="N44">
        <v>-2.5999999999999899</v>
      </c>
      <c r="O44">
        <v>-2.2000000000000002</v>
      </c>
      <c r="P44">
        <v>-2.5999999999999899</v>
      </c>
      <c r="Q44">
        <v>3.3</v>
      </c>
      <c r="R44">
        <v>3.4</v>
      </c>
      <c r="S44">
        <v>7.4</v>
      </c>
    </row>
    <row r="45" spans="1:19" x14ac:dyDescent="0.25">
      <c r="A45" t="s">
        <v>26</v>
      </c>
      <c r="B45">
        <v>-7.4</v>
      </c>
      <c r="C45">
        <v>-10</v>
      </c>
      <c r="D45">
        <v>-7.3</v>
      </c>
      <c r="E45">
        <v>-9.6</v>
      </c>
      <c r="F45">
        <v>-5.7</v>
      </c>
      <c r="G45">
        <v>-4.8</v>
      </c>
      <c r="H45">
        <v>-4.0999999999999996</v>
      </c>
      <c r="I45">
        <v>-2.4</v>
      </c>
      <c r="K45">
        <v>-0.2</v>
      </c>
      <c r="L45">
        <v>-10</v>
      </c>
      <c r="M45">
        <v>-2.9</v>
      </c>
      <c r="N45">
        <v>-6.2</v>
      </c>
      <c r="O45">
        <v>0.19999999999999901</v>
      </c>
      <c r="P45">
        <v>-5.3</v>
      </c>
      <c r="Q45">
        <v>-9.6</v>
      </c>
      <c r="R45">
        <v>-4.8</v>
      </c>
      <c r="S45">
        <v>-7.4</v>
      </c>
    </row>
    <row r="46" spans="1:19" x14ac:dyDescent="0.25">
      <c r="A46" t="s">
        <v>27</v>
      </c>
      <c r="B46">
        <v>-5.3</v>
      </c>
      <c r="C46">
        <v>3.8</v>
      </c>
      <c r="D46">
        <v>-0.4</v>
      </c>
      <c r="E46">
        <v>-2.4</v>
      </c>
      <c r="F46">
        <v>4.7</v>
      </c>
      <c r="G46">
        <v>4</v>
      </c>
      <c r="H46">
        <v>-2.8</v>
      </c>
      <c r="I46">
        <v>-1.4</v>
      </c>
      <c r="J46">
        <v>0.9</v>
      </c>
      <c r="L46">
        <v>2</v>
      </c>
      <c r="M46">
        <v>-5.3</v>
      </c>
      <c r="N46">
        <v>-5.3</v>
      </c>
      <c r="O46">
        <v>-4.7</v>
      </c>
      <c r="P46">
        <v>-0.8</v>
      </c>
      <c r="Q46">
        <v>-2.2000000000000002</v>
      </c>
      <c r="R46">
        <v>-2.8</v>
      </c>
      <c r="S46">
        <v>3.8</v>
      </c>
    </row>
    <row r="47" spans="1:19" x14ac:dyDescent="0.25">
      <c r="A47" t="s">
        <v>28</v>
      </c>
      <c r="B47">
        <v>6.5</v>
      </c>
      <c r="C47">
        <v>3.2</v>
      </c>
      <c r="D47">
        <v>-0.8</v>
      </c>
      <c r="E47">
        <v>-1.1000000000000001</v>
      </c>
      <c r="F47">
        <v>-3.9</v>
      </c>
      <c r="G47">
        <v>6.1</v>
      </c>
      <c r="H47">
        <v>5.1999999999999904</v>
      </c>
      <c r="I47">
        <v>1.4</v>
      </c>
      <c r="J47">
        <v>0.499999999999999</v>
      </c>
      <c r="K47">
        <v>3.4</v>
      </c>
      <c r="L47">
        <v>-3.9</v>
      </c>
      <c r="N47">
        <v>-1.4</v>
      </c>
      <c r="O47">
        <v>3.4</v>
      </c>
      <c r="P47">
        <v>-1</v>
      </c>
      <c r="Q47">
        <v>3.2</v>
      </c>
      <c r="R47">
        <v>-3.9</v>
      </c>
      <c r="S47">
        <v>-0.8</v>
      </c>
    </row>
    <row r="48" spans="1:19" x14ac:dyDescent="0.25">
      <c r="A48" t="s">
        <v>29</v>
      </c>
      <c r="B48">
        <v>2.2999999999999998</v>
      </c>
      <c r="C48">
        <v>4.3</v>
      </c>
      <c r="D48">
        <v>-0.39999999999999902</v>
      </c>
      <c r="E48">
        <v>9.6</v>
      </c>
      <c r="F48">
        <v>2.2000000000000002</v>
      </c>
      <c r="G48">
        <v>-0.59999999999999898</v>
      </c>
      <c r="H48">
        <v>3.8</v>
      </c>
      <c r="J48">
        <v>3.9</v>
      </c>
      <c r="K48">
        <v>1.9</v>
      </c>
      <c r="L48">
        <v>-0.59999999999999898</v>
      </c>
      <c r="M48">
        <v>8.5</v>
      </c>
      <c r="N48">
        <v>2.2999999999999998</v>
      </c>
      <c r="O48">
        <v>4.7</v>
      </c>
      <c r="P48">
        <v>3</v>
      </c>
      <c r="Q48">
        <v>4.8</v>
      </c>
      <c r="R48">
        <v>3.9</v>
      </c>
      <c r="S48">
        <v>4.3</v>
      </c>
    </row>
    <row r="49" spans="1:19" x14ac:dyDescent="0.25">
      <c r="A49" t="s">
        <v>30</v>
      </c>
      <c r="B49">
        <v>-2.2999999999999998</v>
      </c>
      <c r="C49">
        <v>-0.39999999999999902</v>
      </c>
      <c r="D49">
        <v>7.3</v>
      </c>
      <c r="E49">
        <v>2.4</v>
      </c>
      <c r="G49">
        <v>-0.1</v>
      </c>
      <c r="H49">
        <v>3.3</v>
      </c>
      <c r="I49">
        <v>2.5</v>
      </c>
      <c r="J49">
        <v>6.4</v>
      </c>
      <c r="K49">
        <v>-2.9</v>
      </c>
      <c r="L49">
        <v>6.1999999999999904</v>
      </c>
      <c r="M49">
        <v>1.5999999999999901</v>
      </c>
      <c r="N49">
        <v>-2.2999999999999998</v>
      </c>
      <c r="O49">
        <v>2</v>
      </c>
      <c r="P49">
        <v>1</v>
      </c>
      <c r="Q49">
        <v>2</v>
      </c>
      <c r="R49">
        <v>-2.69999999999999</v>
      </c>
      <c r="S49">
        <v>1.5999999999999901</v>
      </c>
    </row>
    <row r="50" spans="1:19" x14ac:dyDescent="0.25">
      <c r="A50" t="s">
        <v>31</v>
      </c>
      <c r="B50">
        <v>-0.79999999999999905</v>
      </c>
      <c r="C50">
        <v>0</v>
      </c>
      <c r="D50">
        <v>2.7</v>
      </c>
      <c r="E50">
        <v>6</v>
      </c>
      <c r="F50">
        <v>-4.1999999999999904</v>
      </c>
      <c r="H50">
        <v>2.2999999999999998</v>
      </c>
      <c r="I50">
        <v>-0.4</v>
      </c>
      <c r="J50">
        <v>-0.499999999999999</v>
      </c>
      <c r="K50">
        <v>2.7</v>
      </c>
      <c r="L50">
        <v>6</v>
      </c>
      <c r="M50">
        <v>-3.8</v>
      </c>
      <c r="N50">
        <v>2.7</v>
      </c>
      <c r="O50">
        <v>-4.3999999999999897</v>
      </c>
      <c r="P50">
        <v>1.8</v>
      </c>
      <c r="Q50">
        <v>2.9</v>
      </c>
      <c r="R50">
        <v>-1.3</v>
      </c>
      <c r="S50">
        <v>2.7</v>
      </c>
    </row>
    <row r="51" spans="1:19" x14ac:dyDescent="0.25">
      <c r="A51" t="s">
        <v>32</v>
      </c>
      <c r="B51">
        <v>-1</v>
      </c>
      <c r="C51">
        <v>-3.2</v>
      </c>
      <c r="D51">
        <v>3.3</v>
      </c>
      <c r="E51">
        <v>-3.5</v>
      </c>
      <c r="F51">
        <v>0.19999999999999901</v>
      </c>
      <c r="G51">
        <v>-0.9</v>
      </c>
      <c r="H51">
        <v>-4</v>
      </c>
      <c r="I51">
        <v>3.3</v>
      </c>
      <c r="J51">
        <v>-1.7</v>
      </c>
      <c r="K51">
        <v>0.9</v>
      </c>
      <c r="M51">
        <v>-7.1</v>
      </c>
      <c r="N51">
        <v>-2.7</v>
      </c>
      <c r="O51">
        <v>0</v>
      </c>
      <c r="P51">
        <v>-0.4</v>
      </c>
      <c r="Q51">
        <v>-3.1</v>
      </c>
      <c r="R51">
        <v>0</v>
      </c>
      <c r="S51">
        <v>-2.7</v>
      </c>
    </row>
    <row r="52" spans="1:19" x14ac:dyDescent="0.25">
      <c r="A52" t="s">
        <v>33</v>
      </c>
      <c r="B52">
        <v>2.2000000000000002</v>
      </c>
      <c r="C52">
        <v>-4.3</v>
      </c>
      <c r="D52">
        <v>-2.7</v>
      </c>
      <c r="E52">
        <v>-3.1</v>
      </c>
      <c r="F52">
        <v>-7.1</v>
      </c>
      <c r="G52">
        <v>-0.4</v>
      </c>
      <c r="H52">
        <v>-3.5</v>
      </c>
      <c r="J52">
        <v>0.19999999999999901</v>
      </c>
      <c r="K52">
        <v>-2.7</v>
      </c>
      <c r="L52">
        <v>-4</v>
      </c>
      <c r="M52">
        <v>-0.9</v>
      </c>
      <c r="N52">
        <v>3.3</v>
      </c>
      <c r="O52">
        <v>0</v>
      </c>
      <c r="P52">
        <v>2.9</v>
      </c>
      <c r="Q52">
        <v>-3.2</v>
      </c>
      <c r="R52">
        <v>0</v>
      </c>
      <c r="S52">
        <v>3.3</v>
      </c>
    </row>
    <row r="53" spans="1:19" x14ac:dyDescent="0.25">
      <c r="A53" t="s">
        <v>34</v>
      </c>
      <c r="B53">
        <v>3.0999999999999899</v>
      </c>
      <c r="C53">
        <v>0</v>
      </c>
      <c r="D53">
        <v>9.1</v>
      </c>
      <c r="E53">
        <v>0.2</v>
      </c>
      <c r="F53">
        <v>7.1</v>
      </c>
      <c r="G53">
        <v>0.59999999999999898</v>
      </c>
      <c r="H53">
        <v>7.3</v>
      </c>
      <c r="I53">
        <v>2.5</v>
      </c>
      <c r="J53">
        <v>0.59999999999999898</v>
      </c>
      <c r="L53">
        <v>3.9</v>
      </c>
      <c r="M53">
        <v>7.1</v>
      </c>
      <c r="N53">
        <v>5.3</v>
      </c>
      <c r="O53">
        <v>4.3999999999999897</v>
      </c>
      <c r="P53">
        <v>3.0999999999999899</v>
      </c>
      <c r="Q53">
        <v>10.399999999999901</v>
      </c>
      <c r="R53">
        <v>3.9</v>
      </c>
      <c r="S53">
        <v>7.3</v>
      </c>
    </row>
    <row r="54" spans="1:19" x14ac:dyDescent="0.25">
      <c r="A54" t="s">
        <v>35</v>
      </c>
      <c r="B54">
        <v>0.5</v>
      </c>
      <c r="C54">
        <v>-4.2</v>
      </c>
      <c r="D54">
        <v>-4.8</v>
      </c>
      <c r="E54">
        <v>-2.4</v>
      </c>
      <c r="F54">
        <v>-0.19999999999999901</v>
      </c>
      <c r="G54">
        <v>3.0999999999999899</v>
      </c>
      <c r="H54">
        <v>-7.3</v>
      </c>
      <c r="J54">
        <v>-0.19999999999999901</v>
      </c>
      <c r="K54">
        <v>-3.4</v>
      </c>
      <c r="L54">
        <v>-2</v>
      </c>
      <c r="M54">
        <v>2.9</v>
      </c>
      <c r="N54">
        <v>-4.2</v>
      </c>
      <c r="O54">
        <v>-3.4</v>
      </c>
      <c r="P54">
        <v>-7.3</v>
      </c>
      <c r="Q54">
        <v>-2.9</v>
      </c>
      <c r="R54">
        <v>1.7999999999999901</v>
      </c>
      <c r="S54">
        <v>-7.3</v>
      </c>
    </row>
    <row r="55" spans="1:19" x14ac:dyDescent="0.25">
      <c r="A55" t="s">
        <v>36</v>
      </c>
      <c r="B55">
        <v>-3.0999999999999899</v>
      </c>
      <c r="C55">
        <v>4.2</v>
      </c>
      <c r="D55">
        <v>0.8</v>
      </c>
      <c r="E55">
        <v>6</v>
      </c>
      <c r="F55">
        <v>-0.59999999999999898</v>
      </c>
      <c r="G55">
        <v>3</v>
      </c>
      <c r="H55">
        <v>4</v>
      </c>
      <c r="I55">
        <v>1.4</v>
      </c>
      <c r="J55">
        <v>7.3</v>
      </c>
      <c r="K55">
        <v>2.2999999999999998</v>
      </c>
      <c r="L55">
        <v>4</v>
      </c>
      <c r="N55">
        <v>4.2</v>
      </c>
      <c r="O55">
        <v>-3.0999999999999899</v>
      </c>
      <c r="P55">
        <v>-3.0999999999999899</v>
      </c>
      <c r="Q55">
        <v>2.2000000000000002</v>
      </c>
      <c r="R55">
        <v>1.3</v>
      </c>
      <c r="S55">
        <v>0.8</v>
      </c>
    </row>
    <row r="56" spans="1:19" x14ac:dyDescent="0.25">
      <c r="A56" t="s">
        <v>37</v>
      </c>
      <c r="B56">
        <v>0.79999999999999905</v>
      </c>
      <c r="C56">
        <v>6.8</v>
      </c>
      <c r="D56">
        <v>-3.5999999999999899</v>
      </c>
      <c r="E56">
        <v>3.5</v>
      </c>
      <c r="F56">
        <v>0.39999999999999902</v>
      </c>
      <c r="G56">
        <v>-3.3999999999999901</v>
      </c>
      <c r="H56">
        <v>3.5</v>
      </c>
      <c r="J56">
        <v>7.1</v>
      </c>
      <c r="K56">
        <v>0.39999999999999902</v>
      </c>
      <c r="L56">
        <v>3.0999999999999899</v>
      </c>
      <c r="M56">
        <v>0.79999999999999905</v>
      </c>
      <c r="N56">
        <v>5.7</v>
      </c>
      <c r="O56">
        <v>2.6</v>
      </c>
      <c r="P56">
        <v>-3</v>
      </c>
      <c r="Q56">
        <v>3.0999999999999899</v>
      </c>
      <c r="R56">
        <v>4.4000000000000004</v>
      </c>
      <c r="S56">
        <v>2.6</v>
      </c>
    </row>
    <row r="57" spans="1:19" x14ac:dyDescent="0.25">
      <c r="A57" t="s">
        <v>38</v>
      </c>
      <c r="B57">
        <v>1</v>
      </c>
      <c r="C57">
        <v>1.7</v>
      </c>
      <c r="D57">
        <v>-5.5</v>
      </c>
      <c r="E57">
        <v>3.9</v>
      </c>
      <c r="F57">
        <v>3.2</v>
      </c>
      <c r="G57">
        <v>-3</v>
      </c>
      <c r="H57">
        <v>4.0999999999999996</v>
      </c>
      <c r="I57">
        <v>1.9</v>
      </c>
      <c r="J57">
        <v>-5.8999999999999897</v>
      </c>
      <c r="K57">
        <v>-5.5</v>
      </c>
      <c r="L57">
        <v>-3.5999999999999899</v>
      </c>
      <c r="N57">
        <v>4.5999999999999996</v>
      </c>
      <c r="O57">
        <v>3.9</v>
      </c>
      <c r="P57">
        <v>-0.7</v>
      </c>
      <c r="Q57">
        <v>-3.3</v>
      </c>
      <c r="R57">
        <v>-1.7</v>
      </c>
      <c r="S57">
        <v>1.7</v>
      </c>
    </row>
    <row r="58" spans="1:19" x14ac:dyDescent="0.25">
      <c r="A58" t="s">
        <v>39</v>
      </c>
      <c r="B58">
        <v>0.4</v>
      </c>
      <c r="C58">
        <v>3.5</v>
      </c>
      <c r="D58">
        <v>-1.7</v>
      </c>
      <c r="E58">
        <v>0.9</v>
      </c>
      <c r="F58">
        <v>5.7</v>
      </c>
      <c r="H58">
        <v>-4.5</v>
      </c>
      <c r="I58">
        <v>-1.4</v>
      </c>
      <c r="J58">
        <v>-3.9</v>
      </c>
      <c r="K58">
        <v>-4.3</v>
      </c>
      <c r="L58">
        <v>0.4</v>
      </c>
      <c r="M58">
        <v>-1.5999999999999901</v>
      </c>
      <c r="N58">
        <v>2.2000000000000002</v>
      </c>
      <c r="O58">
        <v>-1.99999999999999</v>
      </c>
      <c r="P58">
        <v>0.8</v>
      </c>
      <c r="Q58">
        <v>4.5999999999999996</v>
      </c>
      <c r="R58">
        <v>-3.9</v>
      </c>
      <c r="S58">
        <v>-1.5999999999999901</v>
      </c>
    </row>
    <row r="59" spans="1:19" x14ac:dyDescent="0.25">
      <c r="A59" t="s">
        <v>40</v>
      </c>
      <c r="B59">
        <v>-0.5</v>
      </c>
      <c r="C59">
        <v>-1.7</v>
      </c>
      <c r="D59">
        <v>-2.4</v>
      </c>
      <c r="E59">
        <v>1.5</v>
      </c>
      <c r="F59">
        <v>-7.2</v>
      </c>
      <c r="G59">
        <v>2.9</v>
      </c>
      <c r="H59">
        <v>2.5999999999999899</v>
      </c>
      <c r="I59">
        <v>2.4</v>
      </c>
      <c r="J59">
        <v>0.2</v>
      </c>
      <c r="K59">
        <v>-3.4</v>
      </c>
      <c r="L59">
        <v>2.2000000000000002</v>
      </c>
      <c r="M59">
        <v>-5</v>
      </c>
      <c r="N59">
        <v>1.2999999999999901</v>
      </c>
      <c r="P59">
        <v>-7.2</v>
      </c>
      <c r="Q59">
        <v>-7.6</v>
      </c>
      <c r="R59">
        <v>2.2000000000000002</v>
      </c>
      <c r="S59">
        <v>-1.7</v>
      </c>
    </row>
    <row r="60" spans="1:19" x14ac:dyDescent="0.25">
      <c r="A60" t="s">
        <v>41</v>
      </c>
      <c r="B60">
        <v>-4.5</v>
      </c>
      <c r="C60">
        <v>-6.7</v>
      </c>
      <c r="D60">
        <v>-4</v>
      </c>
      <c r="E60">
        <v>-10.1</v>
      </c>
      <c r="F60">
        <v>-1.6</v>
      </c>
      <c r="G60">
        <v>-2.9</v>
      </c>
      <c r="H60">
        <v>-5.8</v>
      </c>
      <c r="I60">
        <v>-6.3</v>
      </c>
      <c r="J60">
        <v>-7.1</v>
      </c>
      <c r="K60">
        <v>-1.4</v>
      </c>
      <c r="M60">
        <v>-2.7</v>
      </c>
      <c r="N60">
        <v>-4.5999999999999996</v>
      </c>
      <c r="O60">
        <v>-6.3</v>
      </c>
      <c r="P60">
        <v>-1.4</v>
      </c>
      <c r="Q60">
        <v>-0.7</v>
      </c>
      <c r="R60">
        <v>-0.3</v>
      </c>
      <c r="S60">
        <v>-2.7</v>
      </c>
    </row>
    <row r="61" spans="1:19" x14ac:dyDescent="0.25">
      <c r="A61" t="s">
        <v>42</v>
      </c>
      <c r="B61">
        <v>-6.6</v>
      </c>
      <c r="C61">
        <v>-3.8</v>
      </c>
      <c r="D61">
        <v>-9.1</v>
      </c>
      <c r="E61">
        <v>-6</v>
      </c>
      <c r="F61">
        <v>1.6</v>
      </c>
      <c r="G61">
        <v>-9.1</v>
      </c>
      <c r="H61">
        <v>-5.1999999999999904</v>
      </c>
      <c r="I61">
        <v>-9.1</v>
      </c>
      <c r="J61">
        <v>-5.0999999999999996</v>
      </c>
      <c r="K61">
        <v>-4.2</v>
      </c>
      <c r="L61">
        <v>-6.1999999999999904</v>
      </c>
      <c r="M61">
        <v>-8.5</v>
      </c>
      <c r="N61">
        <v>-1.2999999999999901</v>
      </c>
      <c r="P61">
        <v>-6.6</v>
      </c>
      <c r="Q61">
        <v>-4.5999999999999996</v>
      </c>
      <c r="R61">
        <v>-1.7999999999999901</v>
      </c>
      <c r="S61">
        <v>-3.8</v>
      </c>
    </row>
    <row r="62" spans="1:19" x14ac:dyDescent="0.25">
      <c r="A62" t="s">
        <v>43</v>
      </c>
      <c r="B62">
        <v>-4.5999999999999996</v>
      </c>
      <c r="C62">
        <v>-9.4</v>
      </c>
      <c r="D62">
        <v>-5.6</v>
      </c>
      <c r="E62">
        <v>-3.9</v>
      </c>
      <c r="F62">
        <v>-4.7</v>
      </c>
      <c r="G62">
        <v>-6.1</v>
      </c>
      <c r="H62">
        <v>-0.7</v>
      </c>
      <c r="I62">
        <v>-7.2</v>
      </c>
      <c r="K62">
        <v>0.2</v>
      </c>
      <c r="L62">
        <v>-2.2000000000000002</v>
      </c>
      <c r="M62">
        <v>-9.8000000000000007</v>
      </c>
      <c r="N62">
        <v>-2</v>
      </c>
      <c r="O62">
        <v>-3.9</v>
      </c>
      <c r="P62">
        <v>-2.9</v>
      </c>
      <c r="Q62">
        <v>0.7</v>
      </c>
      <c r="R62">
        <v>-2.2000000000000002</v>
      </c>
      <c r="S62">
        <v>-9.4</v>
      </c>
    </row>
    <row r="63" spans="1:19" x14ac:dyDescent="0.25">
      <c r="A63" t="s">
        <v>44</v>
      </c>
      <c r="B63">
        <v>5.3</v>
      </c>
      <c r="C63">
        <v>0</v>
      </c>
      <c r="D63">
        <v>3.5999999999999899</v>
      </c>
      <c r="E63">
        <v>4.3999999999999897</v>
      </c>
      <c r="F63">
        <v>3.9</v>
      </c>
      <c r="G63">
        <v>9.1</v>
      </c>
      <c r="H63">
        <v>4.5</v>
      </c>
      <c r="I63">
        <v>9.1</v>
      </c>
      <c r="K63">
        <v>2.9</v>
      </c>
      <c r="L63">
        <v>0.59999999999999898</v>
      </c>
      <c r="M63">
        <v>5.3</v>
      </c>
      <c r="N63">
        <v>4.8999999999999897</v>
      </c>
      <c r="O63">
        <v>3.0999999999999899</v>
      </c>
      <c r="P63">
        <v>7.3</v>
      </c>
      <c r="Q63">
        <v>2.5</v>
      </c>
      <c r="R63">
        <v>0.59999999999999898</v>
      </c>
      <c r="S63">
        <v>2.5</v>
      </c>
    </row>
    <row r="64" spans="1:19" x14ac:dyDescent="0.25">
      <c r="A64" t="s">
        <v>45</v>
      </c>
      <c r="B64">
        <v>4.5999999999999996</v>
      </c>
      <c r="C64">
        <v>1.2999999999999901</v>
      </c>
      <c r="D64">
        <v>2.4</v>
      </c>
      <c r="E64">
        <v>-0.9</v>
      </c>
      <c r="G64">
        <v>4.8</v>
      </c>
      <c r="H64">
        <v>-2.6</v>
      </c>
      <c r="I64">
        <v>-2.5</v>
      </c>
      <c r="J64">
        <v>1.7</v>
      </c>
      <c r="K64">
        <v>-2.2999999999999998</v>
      </c>
      <c r="L64">
        <v>-2.6</v>
      </c>
      <c r="M64">
        <v>-0.5</v>
      </c>
      <c r="N64">
        <v>-4.8</v>
      </c>
      <c r="O64">
        <v>-5.1999999999999904</v>
      </c>
      <c r="P64">
        <v>0.7</v>
      </c>
      <c r="Q64">
        <v>-4.8</v>
      </c>
      <c r="R64">
        <v>4.8</v>
      </c>
      <c r="S64">
        <v>-5.1999999999999904</v>
      </c>
    </row>
    <row r="65" spans="1:19" x14ac:dyDescent="0.25">
      <c r="A65" t="s">
        <v>46</v>
      </c>
      <c r="B65">
        <v>2.7</v>
      </c>
      <c r="C65">
        <v>6.7</v>
      </c>
      <c r="D65">
        <v>2.2000000000000002</v>
      </c>
      <c r="E65">
        <v>3.1</v>
      </c>
      <c r="F65">
        <v>-0.39999999999999902</v>
      </c>
      <c r="G65">
        <v>0.4</v>
      </c>
      <c r="H65">
        <v>4</v>
      </c>
      <c r="I65">
        <v>0.4</v>
      </c>
      <c r="J65">
        <v>5.0999999999999996</v>
      </c>
      <c r="K65">
        <v>-0.39999999999999902</v>
      </c>
      <c r="L65">
        <v>2.2000000000000002</v>
      </c>
      <c r="M65">
        <v>5.3</v>
      </c>
      <c r="N65">
        <v>6.2</v>
      </c>
      <c r="P65">
        <v>6.3999999999999897</v>
      </c>
      <c r="Q65">
        <v>3.1</v>
      </c>
      <c r="R65">
        <v>0.9</v>
      </c>
      <c r="S65">
        <v>2.7</v>
      </c>
    </row>
    <row r="66" spans="1:19" x14ac:dyDescent="0.25">
      <c r="A66" t="s">
        <v>47</v>
      </c>
      <c r="B66">
        <v>-2.7</v>
      </c>
      <c r="C66">
        <v>-1.2999999999999901</v>
      </c>
      <c r="D66">
        <v>4</v>
      </c>
      <c r="E66">
        <v>-0.499999999999999</v>
      </c>
      <c r="F66">
        <v>-2.2999999999999998</v>
      </c>
      <c r="G66">
        <v>0.4</v>
      </c>
      <c r="H66">
        <v>-2.2999999999999998</v>
      </c>
      <c r="J66">
        <v>-4.1999999999999904</v>
      </c>
      <c r="K66">
        <v>-0.499999999999999</v>
      </c>
      <c r="L66">
        <v>-3.0999999999999899</v>
      </c>
      <c r="M66">
        <v>3.69999999999999</v>
      </c>
      <c r="N66">
        <v>-2.2000000000000002</v>
      </c>
      <c r="O66">
        <v>1.3</v>
      </c>
      <c r="P66">
        <v>0.4</v>
      </c>
      <c r="Q66">
        <v>-3.0999999999999899</v>
      </c>
      <c r="R66">
        <v>2.6</v>
      </c>
      <c r="S66">
        <v>-2.7</v>
      </c>
    </row>
    <row r="67" spans="1:19" x14ac:dyDescent="0.25">
      <c r="A67" t="s">
        <v>48</v>
      </c>
      <c r="B67">
        <v>3.6</v>
      </c>
      <c r="C67">
        <v>0</v>
      </c>
      <c r="D67">
        <v>5.6</v>
      </c>
      <c r="E67">
        <v>-4.3999999999999897</v>
      </c>
      <c r="F67">
        <v>2.2999999999999998</v>
      </c>
      <c r="G67">
        <v>-0.4</v>
      </c>
      <c r="H67">
        <v>-3.8</v>
      </c>
      <c r="I67">
        <v>6.3</v>
      </c>
      <c r="K67">
        <v>3.4</v>
      </c>
      <c r="L67">
        <v>-3.8</v>
      </c>
      <c r="M67">
        <v>-0.79999999999999905</v>
      </c>
      <c r="N67">
        <v>1.8</v>
      </c>
      <c r="O67">
        <v>6.3</v>
      </c>
      <c r="P67">
        <v>3.6</v>
      </c>
      <c r="Q67">
        <v>4.9000000000000004</v>
      </c>
      <c r="R67">
        <v>1.7</v>
      </c>
      <c r="S67">
        <v>4.9000000000000004</v>
      </c>
    </row>
    <row r="68" spans="1:19" x14ac:dyDescent="0.25">
      <c r="A68" t="s">
        <v>49</v>
      </c>
      <c r="B68">
        <v>-6.5</v>
      </c>
      <c r="C68">
        <v>-6.8</v>
      </c>
      <c r="D68">
        <v>-3.3</v>
      </c>
      <c r="E68">
        <v>-6</v>
      </c>
      <c r="F68">
        <v>-4.1999999999999904</v>
      </c>
      <c r="G68">
        <v>-3.0999999999999899</v>
      </c>
      <c r="H68">
        <v>-2.5999999999999899</v>
      </c>
      <c r="I68">
        <v>-3.3</v>
      </c>
      <c r="J68">
        <v>-7.3</v>
      </c>
      <c r="L68">
        <v>-6</v>
      </c>
      <c r="M68">
        <v>-3.69999999999999</v>
      </c>
      <c r="N68">
        <v>-3.3</v>
      </c>
      <c r="O68">
        <v>-0.19999999999999901</v>
      </c>
      <c r="P68">
        <v>-6.3999999999999897</v>
      </c>
      <c r="Q68">
        <v>-10.399999999999901</v>
      </c>
      <c r="R68">
        <v>0.3</v>
      </c>
      <c r="S68">
        <v>-3.3</v>
      </c>
    </row>
    <row r="69" spans="1:19" x14ac:dyDescent="0.25">
      <c r="A69" t="s">
        <v>50</v>
      </c>
      <c r="B69">
        <v>6.6</v>
      </c>
      <c r="C69">
        <v>0.39999999999999902</v>
      </c>
      <c r="D69">
        <v>4.8</v>
      </c>
      <c r="E69">
        <v>5.5</v>
      </c>
      <c r="F69">
        <v>0.59999999999999898</v>
      </c>
      <c r="G69">
        <v>2.4</v>
      </c>
      <c r="H69">
        <v>2.8</v>
      </c>
      <c r="I69">
        <v>-2.5</v>
      </c>
      <c r="J69">
        <v>4.1999999999999904</v>
      </c>
      <c r="K69">
        <v>-1.9</v>
      </c>
      <c r="L69">
        <v>3.5999999999999899</v>
      </c>
      <c r="N69">
        <v>1.4</v>
      </c>
      <c r="O69">
        <v>1.99999999999999</v>
      </c>
      <c r="P69">
        <v>6.6</v>
      </c>
      <c r="Q69">
        <v>-2.5</v>
      </c>
      <c r="R69">
        <v>2.8</v>
      </c>
      <c r="S69">
        <v>-2.5</v>
      </c>
    </row>
    <row r="72" spans="1:19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t="s">
        <v>14</v>
      </c>
      <c r="P72" t="s">
        <v>15</v>
      </c>
      <c r="Q72" t="s">
        <v>16</v>
      </c>
      <c r="R72" t="s">
        <v>17</v>
      </c>
      <c r="S72" t="s">
        <v>18</v>
      </c>
    </row>
    <row r="73" spans="1:19" x14ac:dyDescent="0.25">
      <c r="A73" t="s">
        <v>19</v>
      </c>
      <c r="B73" s="1">
        <f>IF(_xlfn.RANK.AVG(B2,$B$2:$S$33,0)&gt;150,"",_xlfn.RANK.AVG(B2,$B$2:$S$33,0))</f>
        <v>77.5</v>
      </c>
      <c r="C73" s="1">
        <f t="shared" ref="C73:S73" si="0">IF(_xlfn.RANK.AVG(C2,$B$2:$S$33,0)&gt;150,"",_xlfn.RANK.AVG(C2,$B$2:$S$33,0))</f>
        <v>133</v>
      </c>
      <c r="D73" s="1" t="str">
        <f t="shared" si="0"/>
        <v/>
      </c>
      <c r="E73" s="1" t="str">
        <f t="shared" si="0"/>
        <v/>
      </c>
      <c r="F73" s="1">
        <f t="shared" si="0"/>
        <v>90</v>
      </c>
      <c r="G73" s="1" t="str">
        <f t="shared" si="0"/>
        <v/>
      </c>
      <c r="H73" s="1" t="str">
        <f t="shared" si="0"/>
        <v/>
      </c>
      <c r="I73" s="1" t="str">
        <f t="shared" si="0"/>
        <v/>
      </c>
      <c r="J73" s="1" t="str">
        <f t="shared" si="0"/>
        <v/>
      </c>
      <c r="K73" s="1" t="str">
        <f t="shared" si="0"/>
        <v/>
      </c>
      <c r="L73" s="1" t="str">
        <f t="shared" si="0"/>
        <v/>
      </c>
      <c r="M73" s="1" t="str">
        <f t="shared" si="0"/>
        <v/>
      </c>
      <c r="N73" s="1" t="str">
        <f t="shared" si="0"/>
        <v/>
      </c>
      <c r="O73" s="1" t="str">
        <f t="shared" si="0"/>
        <v/>
      </c>
      <c r="P73" s="1" t="str">
        <f t="shared" si="0"/>
        <v/>
      </c>
      <c r="Q73" s="1" t="str">
        <f t="shared" si="0"/>
        <v/>
      </c>
      <c r="R73" s="1" t="str">
        <f t="shared" si="0"/>
        <v/>
      </c>
      <c r="S73" s="1" t="str">
        <f t="shared" si="0"/>
        <v/>
      </c>
    </row>
    <row r="74" spans="1:19" x14ac:dyDescent="0.25">
      <c r="A74" t="s">
        <v>20</v>
      </c>
      <c r="B74" s="1" t="str">
        <f t="shared" ref="B74:S74" si="1">IF(_xlfn.RANK.AVG(B3,$B$2:$S$33,0)&gt;150,"",_xlfn.RANK.AVG(B3,$B$2:$S$33,0))</f>
        <v/>
      </c>
      <c r="C74" s="1" t="str">
        <f t="shared" si="1"/>
        <v/>
      </c>
      <c r="D74" s="1" t="str">
        <f t="shared" si="1"/>
        <v/>
      </c>
      <c r="E74" s="1" t="str">
        <f t="shared" si="1"/>
        <v/>
      </c>
      <c r="F74" s="1" t="str">
        <f t="shared" si="1"/>
        <v/>
      </c>
      <c r="G74" s="1" t="str">
        <f t="shared" si="1"/>
        <v/>
      </c>
      <c r="H74" s="1" t="str">
        <f t="shared" si="1"/>
        <v/>
      </c>
      <c r="I74" s="1" t="str">
        <f t="shared" si="1"/>
        <v/>
      </c>
      <c r="J74" s="1" t="str">
        <f t="shared" si="1"/>
        <v/>
      </c>
      <c r="K74" s="1" t="str">
        <f t="shared" si="1"/>
        <v/>
      </c>
      <c r="L74" s="1" t="str">
        <f t="shared" si="1"/>
        <v/>
      </c>
      <c r="M74" s="1" t="str">
        <f t="shared" si="1"/>
        <v/>
      </c>
      <c r="N74" s="1" t="str">
        <f t="shared" si="1"/>
        <v/>
      </c>
      <c r="O74" s="1" t="str">
        <f t="shared" si="1"/>
        <v/>
      </c>
      <c r="P74" s="1" t="str">
        <f t="shared" si="1"/>
        <v/>
      </c>
      <c r="Q74" s="1" t="str">
        <f t="shared" si="1"/>
        <v/>
      </c>
      <c r="R74" s="1" t="str">
        <f t="shared" si="1"/>
        <v/>
      </c>
      <c r="S74" s="1" t="str">
        <f t="shared" si="1"/>
        <v/>
      </c>
    </row>
    <row r="75" spans="1:19" x14ac:dyDescent="0.25">
      <c r="A75" t="s">
        <v>21</v>
      </c>
      <c r="B75" s="1" t="str">
        <f t="shared" ref="B75:S75" si="2">IF(_xlfn.RANK.AVG(B4,$B$2:$S$33,0)&gt;150,"",_xlfn.RANK.AVG(B4,$B$2:$S$33,0))</f>
        <v/>
      </c>
      <c r="C75" s="1">
        <f t="shared" si="2"/>
        <v>3.5</v>
      </c>
      <c r="D75" s="1" t="str">
        <f t="shared" si="2"/>
        <v/>
      </c>
      <c r="E75" s="1" t="str">
        <f t="shared" si="2"/>
        <v/>
      </c>
      <c r="F75" s="1">
        <f t="shared" si="2"/>
        <v>90</v>
      </c>
      <c r="G75" s="1">
        <f t="shared" si="2"/>
        <v>122</v>
      </c>
      <c r="H75" s="1" t="str">
        <f t="shared" si="2"/>
        <v/>
      </c>
      <c r="I75" s="1">
        <f t="shared" si="2"/>
        <v>73</v>
      </c>
      <c r="J75" s="1">
        <f t="shared" si="2"/>
        <v>45</v>
      </c>
      <c r="K75" s="1">
        <f t="shared" si="2"/>
        <v>83.5</v>
      </c>
      <c r="L75" s="1">
        <f t="shared" si="2"/>
        <v>3.5</v>
      </c>
      <c r="M75" s="1">
        <f t="shared" si="2"/>
        <v>5</v>
      </c>
      <c r="N75" s="1" t="str">
        <f t="shared" si="2"/>
        <v/>
      </c>
      <c r="O75" s="1">
        <f t="shared" si="2"/>
        <v>59</v>
      </c>
      <c r="P75" s="1" t="str">
        <f t="shared" si="2"/>
        <v/>
      </c>
      <c r="Q75" s="1">
        <f t="shared" si="2"/>
        <v>15</v>
      </c>
      <c r="R75" s="1" t="str">
        <f t="shared" si="2"/>
        <v/>
      </c>
      <c r="S75" s="1">
        <f t="shared" si="2"/>
        <v>59</v>
      </c>
    </row>
    <row r="76" spans="1:19" x14ac:dyDescent="0.25">
      <c r="A76" t="s">
        <v>22</v>
      </c>
      <c r="B76" s="1" t="str">
        <f t="shared" ref="B76:S76" si="3">IF(_xlfn.RANK.AVG(B5,$B$2:$S$33,0)&gt;150,"",_xlfn.RANK.AVG(B5,$B$2:$S$33,0))</f>
        <v/>
      </c>
      <c r="C76" s="1">
        <f t="shared" si="3"/>
        <v>8.5</v>
      </c>
      <c r="D76" s="1">
        <f t="shared" si="3"/>
        <v>51</v>
      </c>
      <c r="E76" s="1">
        <f t="shared" si="3"/>
        <v>2</v>
      </c>
      <c r="F76" s="1">
        <f t="shared" si="3"/>
        <v>25</v>
      </c>
      <c r="G76" s="1">
        <f t="shared" si="3"/>
        <v>17</v>
      </c>
      <c r="H76" s="1" t="str">
        <f t="shared" si="3"/>
        <v/>
      </c>
      <c r="I76" s="1">
        <f t="shared" si="3"/>
        <v>13</v>
      </c>
      <c r="J76" s="1" t="str">
        <f t="shared" si="3"/>
        <v/>
      </c>
      <c r="K76" s="1">
        <f t="shared" si="3"/>
        <v>51</v>
      </c>
      <c r="L76" s="1">
        <f t="shared" si="3"/>
        <v>107</v>
      </c>
      <c r="M76" s="1">
        <f t="shared" si="3"/>
        <v>107</v>
      </c>
      <c r="N76" s="1">
        <f t="shared" si="3"/>
        <v>68</v>
      </c>
      <c r="O76" s="1" t="str">
        <f t="shared" si="3"/>
        <v/>
      </c>
      <c r="P76" s="1">
        <f t="shared" si="3"/>
        <v>25</v>
      </c>
      <c r="Q76" s="1">
        <f t="shared" si="3"/>
        <v>6.5</v>
      </c>
      <c r="R76" s="1" t="str">
        <f t="shared" si="3"/>
        <v/>
      </c>
      <c r="S76" s="1">
        <f t="shared" si="3"/>
        <v>8.5</v>
      </c>
    </row>
    <row r="77" spans="1:19" x14ac:dyDescent="0.25">
      <c r="A77" t="s">
        <v>23</v>
      </c>
      <c r="B77" s="1" t="str">
        <f t="shared" ref="B77:S77" si="4">IF(_xlfn.RANK.AVG(B6,$B$2:$S$33,0)&gt;150,"",_xlfn.RANK.AVG(B6,$B$2:$S$33,0))</f>
        <v/>
      </c>
      <c r="C77" s="1" t="str">
        <f t="shared" si="4"/>
        <v/>
      </c>
      <c r="D77" s="1" t="str">
        <f t="shared" si="4"/>
        <v/>
      </c>
      <c r="E77" s="1" t="str">
        <f t="shared" si="4"/>
        <v/>
      </c>
      <c r="F77" s="1" t="str">
        <f t="shared" si="4"/>
        <v/>
      </c>
      <c r="G77" s="1" t="str">
        <f t="shared" si="4"/>
        <v/>
      </c>
      <c r="H77" s="1" t="str">
        <f t="shared" si="4"/>
        <v/>
      </c>
      <c r="I77" s="1" t="str">
        <f t="shared" si="4"/>
        <v/>
      </c>
      <c r="J77" s="1" t="str">
        <f t="shared" si="4"/>
        <v/>
      </c>
      <c r="K77" s="1" t="str">
        <f t="shared" si="4"/>
        <v/>
      </c>
      <c r="L77" s="1" t="str">
        <f t="shared" si="4"/>
        <v/>
      </c>
      <c r="M77" s="1" t="str">
        <f t="shared" si="4"/>
        <v/>
      </c>
      <c r="N77" s="1" t="str">
        <f t="shared" si="4"/>
        <v/>
      </c>
      <c r="O77" s="1" t="str">
        <f t="shared" si="4"/>
        <v/>
      </c>
      <c r="P77" s="1" t="str">
        <f t="shared" si="4"/>
        <v/>
      </c>
      <c r="Q77" s="1" t="str">
        <f t="shared" si="4"/>
        <v/>
      </c>
      <c r="R77" s="1" t="str">
        <f t="shared" si="4"/>
        <v/>
      </c>
      <c r="S77" s="1" t="str">
        <f t="shared" si="4"/>
        <v/>
      </c>
    </row>
    <row r="78" spans="1:19" x14ac:dyDescent="0.25">
      <c r="A78" t="s">
        <v>24</v>
      </c>
      <c r="B78" s="1" t="str">
        <f t="shared" ref="B78:S78" si="5">IF(_xlfn.RANK.AVG(B7,$B$2:$S$33,0)&gt;150,"",_xlfn.RANK.AVG(B7,$B$2:$S$33,0))</f>
        <v/>
      </c>
      <c r="C78" s="1" t="str">
        <f t="shared" si="5"/>
        <v/>
      </c>
      <c r="D78" s="1" t="str">
        <f t="shared" si="5"/>
        <v/>
      </c>
      <c r="E78" s="1" t="str">
        <f t="shared" si="5"/>
        <v/>
      </c>
      <c r="F78" s="1" t="str">
        <f t="shared" si="5"/>
        <v/>
      </c>
      <c r="G78" s="1" t="str">
        <f t="shared" si="5"/>
        <v/>
      </c>
      <c r="H78" s="1">
        <f t="shared" si="5"/>
        <v>46</v>
      </c>
      <c r="I78" s="1" t="str">
        <f t="shared" si="5"/>
        <v/>
      </c>
      <c r="J78" s="1" t="str">
        <f t="shared" si="5"/>
        <v/>
      </c>
      <c r="K78" s="1">
        <f t="shared" si="5"/>
        <v>87</v>
      </c>
      <c r="L78" s="1" t="str">
        <f t="shared" si="5"/>
        <v/>
      </c>
      <c r="M78" s="1" t="str">
        <f t="shared" si="5"/>
        <v/>
      </c>
      <c r="N78" s="1" t="str">
        <f t="shared" si="5"/>
        <v/>
      </c>
      <c r="O78" s="1" t="str">
        <f t="shared" si="5"/>
        <v/>
      </c>
      <c r="P78" s="1">
        <f t="shared" si="5"/>
        <v>55</v>
      </c>
      <c r="Q78" s="1" t="str">
        <f t="shared" si="5"/>
        <v/>
      </c>
      <c r="R78" s="1" t="str">
        <f t="shared" si="5"/>
        <v/>
      </c>
      <c r="S78" s="1" t="str">
        <f t="shared" si="5"/>
        <v/>
      </c>
    </row>
    <row r="79" spans="1:19" x14ac:dyDescent="0.25">
      <c r="A79" t="s">
        <v>25</v>
      </c>
      <c r="B79" s="1">
        <f t="shared" ref="B79:S79" si="6">IF(_xlfn.RANK.AVG(B8,$B$2:$S$33,0)&gt;150,"",_xlfn.RANK.AVG(B8,$B$2:$S$33,0))</f>
        <v>17</v>
      </c>
      <c r="C79" s="1">
        <f t="shared" si="6"/>
        <v>83.5</v>
      </c>
      <c r="D79" s="1" t="str">
        <f t="shared" si="6"/>
        <v/>
      </c>
      <c r="E79" s="1" t="str">
        <f t="shared" si="6"/>
        <v/>
      </c>
      <c r="F79" s="1" t="str">
        <f t="shared" si="6"/>
        <v/>
      </c>
      <c r="G79" s="1" t="str">
        <f t="shared" si="6"/>
        <v/>
      </c>
      <c r="H79" s="1" t="str">
        <f t="shared" si="6"/>
        <v/>
      </c>
      <c r="I79" s="1">
        <f t="shared" si="6"/>
        <v>25</v>
      </c>
      <c r="J79" s="1" t="str">
        <f t="shared" si="6"/>
        <v/>
      </c>
      <c r="K79" s="1" t="str">
        <f t="shared" si="6"/>
        <v/>
      </c>
      <c r="L79" s="1" t="str">
        <f t="shared" si="6"/>
        <v/>
      </c>
      <c r="M79" s="1">
        <f t="shared" si="6"/>
        <v>62</v>
      </c>
      <c r="N79" s="1" t="str">
        <f t="shared" si="6"/>
        <v/>
      </c>
      <c r="O79" s="1" t="str">
        <f t="shared" si="6"/>
        <v/>
      </c>
      <c r="P79" s="1" t="str">
        <f t="shared" si="6"/>
        <v/>
      </c>
      <c r="Q79" s="1">
        <f t="shared" si="6"/>
        <v>125.5</v>
      </c>
      <c r="R79" s="1">
        <f t="shared" si="6"/>
        <v>119.5</v>
      </c>
      <c r="S79" s="1">
        <f t="shared" si="6"/>
        <v>17</v>
      </c>
    </row>
    <row r="80" spans="1:19" x14ac:dyDescent="0.25">
      <c r="A80" t="s">
        <v>26</v>
      </c>
      <c r="B80" s="1" t="str">
        <f t="shared" ref="B80:S80" si="7">IF(_xlfn.RANK.AVG(B9,$B$2:$S$33,0)&gt;150,"",_xlfn.RANK.AVG(B9,$B$2:$S$33,0))</f>
        <v/>
      </c>
      <c r="C80" s="1" t="str">
        <f t="shared" si="7"/>
        <v/>
      </c>
      <c r="D80" s="1" t="str">
        <f t="shared" si="7"/>
        <v/>
      </c>
      <c r="E80" s="1" t="str">
        <f t="shared" si="7"/>
        <v/>
      </c>
      <c r="F80" s="1" t="str">
        <f t="shared" si="7"/>
        <v/>
      </c>
      <c r="G80" s="1" t="str">
        <f t="shared" si="7"/>
        <v/>
      </c>
      <c r="H80" s="1" t="str">
        <f t="shared" si="7"/>
        <v/>
      </c>
      <c r="I80" s="1" t="str">
        <f t="shared" si="7"/>
        <v/>
      </c>
      <c r="J80" s="1" t="str">
        <f t="shared" si="7"/>
        <v/>
      </c>
      <c r="K80" s="1" t="str">
        <f t="shared" si="7"/>
        <v/>
      </c>
      <c r="L80" s="1" t="str">
        <f t="shared" si="7"/>
        <v/>
      </c>
      <c r="M80" s="1" t="str">
        <f t="shared" si="7"/>
        <v/>
      </c>
      <c r="N80" s="1" t="str">
        <f t="shared" si="7"/>
        <v/>
      </c>
      <c r="O80" s="1" t="str">
        <f t="shared" si="7"/>
        <v/>
      </c>
      <c r="P80" s="1" t="str">
        <f t="shared" si="7"/>
        <v/>
      </c>
      <c r="Q80" s="1" t="str">
        <f t="shared" si="7"/>
        <v/>
      </c>
      <c r="R80" s="1" t="str">
        <f t="shared" si="7"/>
        <v/>
      </c>
      <c r="S80" s="1" t="str">
        <f t="shared" si="7"/>
        <v/>
      </c>
    </row>
    <row r="81" spans="1:19" x14ac:dyDescent="0.25">
      <c r="A81" t="s">
        <v>27</v>
      </c>
      <c r="B81" s="1" t="str">
        <f t="shared" ref="B81:S81" si="8">IF(_xlfn.RANK.AVG(B10,$B$2:$S$33,0)&gt;150,"",_xlfn.RANK.AVG(B10,$B$2:$S$33,0))</f>
        <v/>
      </c>
      <c r="C81" s="1">
        <f t="shared" si="8"/>
        <v>107</v>
      </c>
      <c r="D81" s="1" t="str">
        <f t="shared" si="8"/>
        <v/>
      </c>
      <c r="E81" s="1" t="str">
        <f t="shared" si="8"/>
        <v/>
      </c>
      <c r="F81" s="1">
        <f t="shared" si="8"/>
        <v>71.5</v>
      </c>
      <c r="G81" s="1">
        <f t="shared" si="8"/>
        <v>95</v>
      </c>
      <c r="H81" s="1" t="str">
        <f t="shared" si="8"/>
        <v/>
      </c>
      <c r="I81" s="1" t="str">
        <f t="shared" si="8"/>
        <v/>
      </c>
      <c r="J81" s="1" t="str">
        <f t="shared" si="8"/>
        <v/>
      </c>
      <c r="K81" s="1" t="str">
        <f t="shared" si="8"/>
        <v/>
      </c>
      <c r="L81" s="1" t="str">
        <f t="shared" si="8"/>
        <v/>
      </c>
      <c r="M81" s="1" t="str">
        <f t="shared" si="8"/>
        <v/>
      </c>
      <c r="N81" s="1" t="str">
        <f t="shared" si="8"/>
        <v/>
      </c>
      <c r="O81" s="1" t="str">
        <f t="shared" si="8"/>
        <v/>
      </c>
      <c r="P81" s="1" t="str">
        <f t="shared" si="8"/>
        <v/>
      </c>
      <c r="Q81" s="1" t="str">
        <f t="shared" si="8"/>
        <v/>
      </c>
      <c r="R81" s="1" t="str">
        <f t="shared" si="8"/>
        <v/>
      </c>
      <c r="S81" s="1">
        <f t="shared" si="8"/>
        <v>107</v>
      </c>
    </row>
    <row r="82" spans="1:19" x14ac:dyDescent="0.25">
      <c r="A82" t="s">
        <v>28</v>
      </c>
      <c r="B82" s="1">
        <f t="shared" ref="B82:S82" si="9">IF(_xlfn.RANK.AVG(B11,$B$2:$S$33,0)&gt;150,"",_xlfn.RANK.AVG(B11,$B$2:$S$33,0))</f>
        <v>34</v>
      </c>
      <c r="C82" s="1">
        <f t="shared" si="9"/>
        <v>130</v>
      </c>
      <c r="D82" s="1" t="str">
        <f t="shared" si="9"/>
        <v/>
      </c>
      <c r="E82" s="1" t="str">
        <f t="shared" si="9"/>
        <v/>
      </c>
      <c r="F82" s="1" t="str">
        <f t="shared" si="9"/>
        <v/>
      </c>
      <c r="G82" s="1">
        <f t="shared" si="9"/>
        <v>41</v>
      </c>
      <c r="H82" s="1">
        <f t="shared" si="9"/>
        <v>59</v>
      </c>
      <c r="I82" s="1" t="str">
        <f t="shared" si="9"/>
        <v/>
      </c>
      <c r="J82" s="1" t="str">
        <f t="shared" si="9"/>
        <v/>
      </c>
      <c r="K82" s="1">
        <f t="shared" si="9"/>
        <v>119.5</v>
      </c>
      <c r="L82" s="1" t="str">
        <f t="shared" si="9"/>
        <v/>
      </c>
      <c r="M82" s="1" t="str">
        <f t="shared" si="9"/>
        <v/>
      </c>
      <c r="N82" s="1" t="str">
        <f t="shared" si="9"/>
        <v/>
      </c>
      <c r="O82" s="1">
        <f t="shared" si="9"/>
        <v>119.5</v>
      </c>
      <c r="P82" s="1" t="str">
        <f t="shared" si="9"/>
        <v/>
      </c>
      <c r="Q82" s="1">
        <f t="shared" si="9"/>
        <v>130</v>
      </c>
      <c r="R82" s="1" t="str">
        <f t="shared" si="9"/>
        <v/>
      </c>
      <c r="S82" s="1" t="str">
        <f t="shared" si="9"/>
        <v/>
      </c>
    </row>
    <row r="83" spans="1:19" x14ac:dyDescent="0.25">
      <c r="A83" t="s">
        <v>29</v>
      </c>
      <c r="B83" s="1" t="str">
        <f t="shared" ref="B83:S83" si="10">IF(_xlfn.RANK.AVG(B12,$B$2:$S$33,0)&gt;150,"",_xlfn.RANK.AVG(B12,$B$2:$S$33,0))</f>
        <v/>
      </c>
      <c r="C83" s="1">
        <f t="shared" si="10"/>
        <v>83.5</v>
      </c>
      <c r="D83" s="1" t="str">
        <f t="shared" si="10"/>
        <v/>
      </c>
      <c r="E83" s="1">
        <f t="shared" si="10"/>
        <v>6.5</v>
      </c>
      <c r="F83" s="1" t="str">
        <f t="shared" si="10"/>
        <v/>
      </c>
      <c r="G83" s="1" t="str">
        <f t="shared" si="10"/>
        <v/>
      </c>
      <c r="H83" s="1">
        <f t="shared" si="10"/>
        <v>107</v>
      </c>
      <c r="I83" s="1" t="str">
        <f t="shared" si="10"/>
        <v/>
      </c>
      <c r="J83" s="1">
        <f t="shared" si="10"/>
        <v>101</v>
      </c>
      <c r="K83" s="1" t="str">
        <f t="shared" si="10"/>
        <v/>
      </c>
      <c r="L83" s="1" t="str">
        <f t="shared" si="10"/>
        <v/>
      </c>
      <c r="M83" s="1">
        <f t="shared" si="10"/>
        <v>14</v>
      </c>
      <c r="N83" s="1" t="str">
        <f t="shared" si="10"/>
        <v/>
      </c>
      <c r="O83" s="1">
        <f t="shared" si="10"/>
        <v>71.5</v>
      </c>
      <c r="P83" s="1">
        <f t="shared" si="10"/>
        <v>141.5</v>
      </c>
      <c r="Q83" s="1">
        <f t="shared" si="10"/>
        <v>68</v>
      </c>
      <c r="R83" s="1">
        <f t="shared" si="10"/>
        <v>101</v>
      </c>
      <c r="S83" s="1">
        <f t="shared" si="10"/>
        <v>83.5</v>
      </c>
    </row>
    <row r="84" spans="1:19" x14ac:dyDescent="0.25">
      <c r="A84" t="s">
        <v>30</v>
      </c>
      <c r="B84" s="1" t="str">
        <f t="shared" ref="B84:S84" si="11">IF(_xlfn.RANK.AVG(B13,$B$2:$S$33,0)&gt;150,"",_xlfn.RANK.AVG(B13,$B$2:$S$33,0))</f>
        <v/>
      </c>
      <c r="C84" s="1" t="str">
        <f t="shared" si="11"/>
        <v/>
      </c>
      <c r="D84" s="1">
        <f t="shared" si="11"/>
        <v>21</v>
      </c>
      <c r="E84" s="1" t="str">
        <f t="shared" si="11"/>
        <v/>
      </c>
      <c r="F84" s="1" t="str">
        <f t="shared" si="11"/>
        <v/>
      </c>
      <c r="G84" s="1" t="str">
        <f t="shared" si="11"/>
        <v/>
      </c>
      <c r="H84" s="1">
        <f t="shared" si="11"/>
        <v>125.5</v>
      </c>
      <c r="I84" s="1" t="str">
        <f t="shared" si="11"/>
        <v/>
      </c>
      <c r="J84" s="1">
        <f t="shared" si="11"/>
        <v>35</v>
      </c>
      <c r="K84" s="1" t="str">
        <f t="shared" si="11"/>
        <v/>
      </c>
      <c r="L84" s="1">
        <f t="shared" si="11"/>
        <v>40</v>
      </c>
      <c r="M84" s="1" t="str">
        <f t="shared" si="11"/>
        <v/>
      </c>
      <c r="N84" s="1" t="str">
        <f t="shared" si="11"/>
        <v/>
      </c>
      <c r="O84" s="1" t="str">
        <f t="shared" si="11"/>
        <v/>
      </c>
      <c r="P84" s="1" t="str">
        <f t="shared" si="11"/>
        <v/>
      </c>
      <c r="Q84" s="1" t="str">
        <f t="shared" si="11"/>
        <v/>
      </c>
      <c r="R84" s="1" t="str">
        <f t="shared" si="11"/>
        <v/>
      </c>
      <c r="S84" s="1" t="str">
        <f t="shared" si="11"/>
        <v/>
      </c>
    </row>
    <row r="85" spans="1:19" x14ac:dyDescent="0.25">
      <c r="A85" t="s">
        <v>31</v>
      </c>
      <c r="B85" s="1" t="str">
        <f t="shared" ref="B85:S85" si="12">IF(_xlfn.RANK.AVG(B14,$B$2:$S$33,0)&gt;150,"",_xlfn.RANK.AVG(B14,$B$2:$S$33,0))</f>
        <v/>
      </c>
      <c r="C85" s="1" t="str">
        <f t="shared" si="12"/>
        <v/>
      </c>
      <c r="D85" s="1" t="str">
        <f t="shared" si="12"/>
        <v/>
      </c>
      <c r="E85" s="1">
        <f t="shared" si="12"/>
        <v>43</v>
      </c>
      <c r="F85" s="1" t="str">
        <f t="shared" si="12"/>
        <v/>
      </c>
      <c r="G85" s="1" t="str">
        <f t="shared" si="12"/>
        <v/>
      </c>
      <c r="H85" s="1" t="str">
        <f t="shared" si="12"/>
        <v/>
      </c>
      <c r="I85" s="1" t="str">
        <f t="shared" si="12"/>
        <v/>
      </c>
      <c r="J85" s="1" t="str">
        <f t="shared" si="12"/>
        <v/>
      </c>
      <c r="K85" s="1" t="str">
        <f t="shared" si="12"/>
        <v/>
      </c>
      <c r="L85" s="1">
        <f t="shared" si="12"/>
        <v>43</v>
      </c>
      <c r="M85" s="1" t="str">
        <f t="shared" si="12"/>
        <v/>
      </c>
      <c r="N85" s="1" t="str">
        <f t="shared" si="12"/>
        <v/>
      </c>
      <c r="O85" s="1" t="str">
        <f t="shared" si="12"/>
        <v/>
      </c>
      <c r="P85" s="1" t="str">
        <f t="shared" si="12"/>
        <v/>
      </c>
      <c r="Q85" s="1">
        <f t="shared" si="12"/>
        <v>145</v>
      </c>
      <c r="R85" s="1" t="str">
        <f t="shared" si="12"/>
        <v/>
      </c>
      <c r="S85" s="1" t="str">
        <f t="shared" si="12"/>
        <v/>
      </c>
    </row>
    <row r="86" spans="1:19" x14ac:dyDescent="0.25">
      <c r="A86" t="s">
        <v>32</v>
      </c>
      <c r="B86" s="1" t="str">
        <f t="shared" ref="B86:S86" si="13">IF(_xlfn.RANK.AVG(B15,$B$2:$S$33,0)&gt;150,"",_xlfn.RANK.AVG(B15,$B$2:$S$33,0))</f>
        <v/>
      </c>
      <c r="C86" s="1" t="str">
        <f t="shared" si="13"/>
        <v/>
      </c>
      <c r="D86" s="1">
        <f t="shared" si="13"/>
        <v>125.5</v>
      </c>
      <c r="E86" s="1" t="str">
        <f t="shared" si="13"/>
        <v/>
      </c>
      <c r="F86" s="1" t="str">
        <f t="shared" si="13"/>
        <v/>
      </c>
      <c r="G86" s="1" t="str">
        <f t="shared" si="13"/>
        <v/>
      </c>
      <c r="H86" s="1" t="str">
        <f t="shared" si="13"/>
        <v/>
      </c>
      <c r="I86" s="1">
        <f t="shared" si="13"/>
        <v>125.5</v>
      </c>
      <c r="J86" s="1" t="str">
        <f t="shared" si="13"/>
        <v/>
      </c>
      <c r="K86" s="1" t="str">
        <f t="shared" si="13"/>
        <v/>
      </c>
      <c r="L86" s="1" t="str">
        <f t="shared" si="13"/>
        <v/>
      </c>
      <c r="M86" s="1" t="str">
        <f t="shared" si="13"/>
        <v/>
      </c>
      <c r="N86" s="1" t="str">
        <f t="shared" si="13"/>
        <v/>
      </c>
      <c r="O86" s="1" t="str">
        <f t="shared" si="13"/>
        <v/>
      </c>
      <c r="P86" s="1" t="str">
        <f t="shared" si="13"/>
        <v/>
      </c>
      <c r="Q86" s="1" t="str">
        <f t="shared" si="13"/>
        <v/>
      </c>
      <c r="R86" s="1" t="str">
        <f t="shared" si="13"/>
        <v/>
      </c>
      <c r="S86" s="1" t="str">
        <f t="shared" si="13"/>
        <v/>
      </c>
    </row>
    <row r="87" spans="1:19" x14ac:dyDescent="0.25">
      <c r="A87" t="s">
        <v>33</v>
      </c>
      <c r="B87" s="1" t="str">
        <f t="shared" ref="B87:S87" si="14">IF(_xlfn.RANK.AVG(B16,$B$2:$S$33,0)&gt;150,"",_xlfn.RANK.AVG(B16,$B$2:$S$33,0))</f>
        <v/>
      </c>
      <c r="C87" s="1" t="str">
        <f t="shared" si="14"/>
        <v/>
      </c>
      <c r="D87" s="1" t="str">
        <f t="shared" si="14"/>
        <v/>
      </c>
      <c r="E87" s="1" t="str">
        <f t="shared" si="14"/>
        <v/>
      </c>
      <c r="F87" s="1" t="str">
        <f t="shared" si="14"/>
        <v/>
      </c>
      <c r="G87" s="1" t="str">
        <f t="shared" si="14"/>
        <v/>
      </c>
      <c r="H87" s="1" t="str">
        <f t="shared" si="14"/>
        <v/>
      </c>
      <c r="I87" s="1" t="str">
        <f t="shared" si="14"/>
        <v/>
      </c>
      <c r="J87" s="1" t="str">
        <f t="shared" si="14"/>
        <v/>
      </c>
      <c r="K87" s="1" t="str">
        <f t="shared" si="14"/>
        <v/>
      </c>
      <c r="L87" s="1" t="str">
        <f t="shared" si="14"/>
        <v/>
      </c>
      <c r="M87" s="1" t="str">
        <f t="shared" si="14"/>
        <v/>
      </c>
      <c r="N87" s="1">
        <f t="shared" si="14"/>
        <v>125.5</v>
      </c>
      <c r="O87" s="1" t="str">
        <f t="shared" si="14"/>
        <v/>
      </c>
      <c r="P87" s="1">
        <f t="shared" si="14"/>
        <v>145</v>
      </c>
      <c r="Q87" s="1" t="str">
        <f t="shared" si="14"/>
        <v/>
      </c>
      <c r="R87" s="1" t="str">
        <f t="shared" si="14"/>
        <v/>
      </c>
      <c r="S87" s="1">
        <f t="shared" si="14"/>
        <v>125.5</v>
      </c>
    </row>
    <row r="88" spans="1:19" x14ac:dyDescent="0.25">
      <c r="A88" t="s">
        <v>34</v>
      </c>
      <c r="B88" s="1">
        <f t="shared" ref="B88:S88" si="15">IF(_xlfn.RANK.AVG(B17,$B$2:$S$33,0)&gt;150,"",_xlfn.RANK.AVG(B17,$B$2:$S$33,0))</f>
        <v>137.5</v>
      </c>
      <c r="C88" s="1" t="str">
        <f t="shared" si="15"/>
        <v/>
      </c>
      <c r="D88" s="1">
        <f t="shared" si="15"/>
        <v>11</v>
      </c>
      <c r="E88" s="1" t="str">
        <f t="shared" si="15"/>
        <v/>
      </c>
      <c r="F88" s="1">
        <f t="shared" si="15"/>
        <v>28</v>
      </c>
      <c r="G88" s="1" t="str">
        <f t="shared" si="15"/>
        <v/>
      </c>
      <c r="H88" s="1">
        <f t="shared" si="15"/>
        <v>21</v>
      </c>
      <c r="I88" s="1" t="str">
        <f t="shared" si="15"/>
        <v/>
      </c>
      <c r="J88" s="1" t="str">
        <f t="shared" si="15"/>
        <v/>
      </c>
      <c r="K88" s="1" t="str">
        <f t="shared" si="15"/>
        <v/>
      </c>
      <c r="L88" s="1">
        <f t="shared" si="15"/>
        <v>101</v>
      </c>
      <c r="M88" s="1">
        <f t="shared" si="15"/>
        <v>28</v>
      </c>
      <c r="N88" s="1">
        <f t="shared" si="15"/>
        <v>55</v>
      </c>
      <c r="O88" s="1">
        <f t="shared" si="15"/>
        <v>80.5</v>
      </c>
      <c r="P88" s="1">
        <f t="shared" si="15"/>
        <v>137.5</v>
      </c>
      <c r="Q88" s="1">
        <f t="shared" si="15"/>
        <v>1</v>
      </c>
      <c r="R88" s="1">
        <f t="shared" si="15"/>
        <v>101</v>
      </c>
      <c r="S88" s="1">
        <f t="shared" si="15"/>
        <v>21</v>
      </c>
    </row>
    <row r="89" spans="1:19" x14ac:dyDescent="0.25">
      <c r="A89" t="s">
        <v>35</v>
      </c>
      <c r="B89" s="1" t="str">
        <f t="shared" ref="B89:S89" si="16">IF(_xlfn.RANK.AVG(B18,$B$2:$S$33,0)&gt;150,"",_xlfn.RANK.AVG(B18,$B$2:$S$33,0))</f>
        <v/>
      </c>
      <c r="C89" s="1" t="str">
        <f t="shared" si="16"/>
        <v/>
      </c>
      <c r="D89" s="1" t="str">
        <f t="shared" si="16"/>
        <v/>
      </c>
      <c r="E89" s="1" t="str">
        <f t="shared" si="16"/>
        <v/>
      </c>
      <c r="F89" s="1" t="str">
        <f t="shared" si="16"/>
        <v/>
      </c>
      <c r="G89" s="1">
        <f t="shared" si="16"/>
        <v>137.5</v>
      </c>
      <c r="H89" s="1" t="str">
        <f t="shared" si="16"/>
        <v/>
      </c>
      <c r="I89" s="1" t="str">
        <f t="shared" si="16"/>
        <v/>
      </c>
      <c r="J89" s="1" t="str">
        <f t="shared" si="16"/>
        <v/>
      </c>
      <c r="K89" s="1" t="str">
        <f t="shared" si="16"/>
        <v/>
      </c>
      <c r="L89" s="1" t="str">
        <f t="shared" si="16"/>
        <v/>
      </c>
      <c r="M89" s="1">
        <f t="shared" si="16"/>
        <v>145</v>
      </c>
      <c r="N89" s="1" t="str">
        <f t="shared" si="16"/>
        <v/>
      </c>
      <c r="O89" s="1" t="str">
        <f t="shared" si="16"/>
        <v/>
      </c>
      <c r="P89" s="1" t="str">
        <f t="shared" si="16"/>
        <v/>
      </c>
      <c r="Q89" s="1" t="str">
        <f t="shared" si="16"/>
        <v/>
      </c>
      <c r="R89" s="1" t="str">
        <f t="shared" si="16"/>
        <v/>
      </c>
      <c r="S89" s="1" t="str">
        <f t="shared" si="16"/>
        <v/>
      </c>
    </row>
    <row r="90" spans="1:19" x14ac:dyDescent="0.25">
      <c r="A90" t="s">
        <v>36</v>
      </c>
      <c r="B90" s="1" t="str">
        <f t="shared" ref="B90:S90" si="17">IF(_xlfn.RANK.AVG(B19,$B$2:$S$33,0)&gt;150,"",_xlfn.RANK.AVG(B19,$B$2:$S$33,0))</f>
        <v/>
      </c>
      <c r="C90" s="1">
        <f t="shared" si="17"/>
        <v>87</v>
      </c>
      <c r="D90" s="1" t="str">
        <f t="shared" si="17"/>
        <v/>
      </c>
      <c r="E90" s="1">
        <f t="shared" si="17"/>
        <v>43</v>
      </c>
      <c r="F90" s="1" t="str">
        <f t="shared" si="17"/>
        <v/>
      </c>
      <c r="G90" s="1">
        <f t="shared" si="17"/>
        <v>141.5</v>
      </c>
      <c r="H90" s="1">
        <f t="shared" si="17"/>
        <v>95</v>
      </c>
      <c r="I90" s="1" t="str">
        <f t="shared" si="17"/>
        <v/>
      </c>
      <c r="J90" s="1">
        <f t="shared" si="17"/>
        <v>21</v>
      </c>
      <c r="K90" s="1" t="str">
        <f t="shared" si="17"/>
        <v/>
      </c>
      <c r="L90" s="1">
        <f t="shared" si="17"/>
        <v>95</v>
      </c>
      <c r="M90" s="1" t="str">
        <f t="shared" si="17"/>
        <v/>
      </c>
      <c r="N90" s="1">
        <f t="shared" si="17"/>
        <v>87</v>
      </c>
      <c r="O90" s="1" t="str">
        <f t="shared" si="17"/>
        <v/>
      </c>
      <c r="P90" s="1" t="str">
        <f t="shared" si="17"/>
        <v/>
      </c>
      <c r="Q90" s="1" t="str">
        <f t="shared" si="17"/>
        <v/>
      </c>
      <c r="R90" s="1" t="str">
        <f t="shared" si="17"/>
        <v/>
      </c>
      <c r="S90" s="1" t="str">
        <f t="shared" si="17"/>
        <v/>
      </c>
    </row>
    <row r="91" spans="1:19" x14ac:dyDescent="0.25">
      <c r="A91" t="s">
        <v>37</v>
      </c>
      <c r="B91" s="1" t="str">
        <f t="shared" ref="B91:S91" si="18">IF(_xlfn.RANK.AVG(B20,$B$2:$S$33,0)&gt;150,"",_xlfn.RANK.AVG(B20,$B$2:$S$33,0))</f>
        <v/>
      </c>
      <c r="C91" s="1">
        <f t="shared" si="18"/>
        <v>30</v>
      </c>
      <c r="D91" s="1" t="str">
        <f t="shared" si="18"/>
        <v/>
      </c>
      <c r="E91" s="1">
        <f t="shared" si="18"/>
        <v>116</v>
      </c>
      <c r="F91" s="1" t="str">
        <f t="shared" si="18"/>
        <v/>
      </c>
      <c r="G91" s="1" t="str">
        <f t="shared" si="18"/>
        <v/>
      </c>
      <c r="H91" s="1">
        <f t="shared" si="18"/>
        <v>116</v>
      </c>
      <c r="I91" s="1" t="str">
        <f t="shared" si="18"/>
        <v/>
      </c>
      <c r="J91" s="1">
        <f t="shared" si="18"/>
        <v>28</v>
      </c>
      <c r="K91" s="1" t="str">
        <f t="shared" si="18"/>
        <v/>
      </c>
      <c r="L91" s="1">
        <f t="shared" si="18"/>
        <v>137.5</v>
      </c>
      <c r="M91" s="1" t="str">
        <f t="shared" si="18"/>
        <v/>
      </c>
      <c r="N91" s="1">
        <f t="shared" si="18"/>
        <v>47.5</v>
      </c>
      <c r="O91" s="1" t="str">
        <f t="shared" si="18"/>
        <v/>
      </c>
      <c r="P91" s="1" t="str">
        <f t="shared" si="18"/>
        <v/>
      </c>
      <c r="Q91" s="1">
        <f t="shared" si="18"/>
        <v>137.5</v>
      </c>
      <c r="R91" s="1">
        <f t="shared" si="18"/>
        <v>79</v>
      </c>
      <c r="S91" s="1" t="str">
        <f t="shared" si="18"/>
        <v/>
      </c>
    </row>
    <row r="92" spans="1:19" x14ac:dyDescent="0.25">
      <c r="A92" t="s">
        <v>38</v>
      </c>
      <c r="B92" s="1" t="str">
        <f t="shared" ref="B92:S92" si="19">IF(_xlfn.RANK.AVG(B21,$B$2:$S$33,0)&gt;150,"",_xlfn.RANK.AVG(B21,$B$2:$S$33,0))</f>
        <v/>
      </c>
      <c r="C92" s="1" t="str">
        <f t="shared" si="19"/>
        <v/>
      </c>
      <c r="D92" s="1" t="str">
        <f t="shared" si="19"/>
        <v/>
      </c>
      <c r="E92" s="1">
        <f t="shared" si="19"/>
        <v>101</v>
      </c>
      <c r="F92" s="1">
        <f t="shared" si="19"/>
        <v>130</v>
      </c>
      <c r="G92" s="1" t="str">
        <f t="shared" si="19"/>
        <v/>
      </c>
      <c r="H92" s="1">
        <f t="shared" si="19"/>
        <v>92</v>
      </c>
      <c r="I92" s="1" t="str">
        <f t="shared" si="19"/>
        <v/>
      </c>
      <c r="J92" s="1" t="str">
        <f t="shared" si="19"/>
        <v/>
      </c>
      <c r="K92" s="1" t="str">
        <f t="shared" si="19"/>
        <v/>
      </c>
      <c r="L92" s="1" t="str">
        <f t="shared" si="19"/>
        <v/>
      </c>
      <c r="M92" s="1" t="str">
        <f t="shared" si="19"/>
        <v/>
      </c>
      <c r="N92" s="1">
        <f t="shared" si="19"/>
        <v>75</v>
      </c>
      <c r="O92" s="1">
        <f t="shared" si="19"/>
        <v>101</v>
      </c>
      <c r="P92" s="1" t="str">
        <f t="shared" si="19"/>
        <v/>
      </c>
      <c r="Q92" s="1" t="str">
        <f t="shared" si="19"/>
        <v/>
      </c>
      <c r="R92" s="1" t="str">
        <f t="shared" si="19"/>
        <v/>
      </c>
      <c r="S92" s="1" t="str">
        <f t="shared" si="19"/>
        <v/>
      </c>
    </row>
    <row r="93" spans="1:19" x14ac:dyDescent="0.25">
      <c r="A93" t="s">
        <v>39</v>
      </c>
      <c r="B93" s="1" t="str">
        <f t="shared" ref="B93:S93" si="20">IF(_xlfn.RANK.AVG(B22,$B$2:$S$33,0)&gt;150,"",_xlfn.RANK.AVG(B22,$B$2:$S$33,0))</f>
        <v/>
      </c>
      <c r="C93" s="1">
        <f t="shared" si="20"/>
        <v>116</v>
      </c>
      <c r="D93" s="1" t="str">
        <f t="shared" si="20"/>
        <v/>
      </c>
      <c r="E93" s="1" t="str">
        <f t="shared" si="20"/>
        <v/>
      </c>
      <c r="F93" s="1">
        <f t="shared" si="20"/>
        <v>47.5</v>
      </c>
      <c r="G93" s="1" t="str">
        <f t="shared" si="20"/>
        <v/>
      </c>
      <c r="H93" s="1" t="str">
        <f t="shared" si="20"/>
        <v/>
      </c>
      <c r="I93" s="1" t="str">
        <f t="shared" si="20"/>
        <v/>
      </c>
      <c r="J93" s="1" t="str">
        <f t="shared" si="20"/>
        <v/>
      </c>
      <c r="K93" s="1" t="str">
        <f t="shared" si="20"/>
        <v/>
      </c>
      <c r="L93" s="1" t="str">
        <f t="shared" si="20"/>
        <v/>
      </c>
      <c r="M93" s="1" t="str">
        <f t="shared" si="20"/>
        <v/>
      </c>
      <c r="N93" s="1" t="str">
        <f t="shared" si="20"/>
        <v/>
      </c>
      <c r="O93" s="1" t="str">
        <f t="shared" si="20"/>
        <v/>
      </c>
      <c r="P93" s="1" t="str">
        <f t="shared" si="20"/>
        <v/>
      </c>
      <c r="Q93" s="1">
        <f t="shared" si="20"/>
        <v>75</v>
      </c>
      <c r="R93" s="1" t="str">
        <f t="shared" si="20"/>
        <v/>
      </c>
      <c r="S93" s="1" t="str">
        <f t="shared" si="20"/>
        <v/>
      </c>
    </row>
    <row r="94" spans="1:19" x14ac:dyDescent="0.25">
      <c r="A94" t="s">
        <v>40</v>
      </c>
      <c r="B94" s="1" t="str">
        <f t="shared" ref="B94:S94" si="21">IF(_xlfn.RANK.AVG(B23,$B$2:$S$33,0)&gt;150,"",_xlfn.RANK.AVG(B23,$B$2:$S$33,0))</f>
        <v/>
      </c>
      <c r="C94" s="1" t="str">
        <f t="shared" si="21"/>
        <v/>
      </c>
      <c r="D94" s="1" t="str">
        <f t="shared" si="21"/>
        <v/>
      </c>
      <c r="E94" s="1" t="str">
        <f t="shared" si="21"/>
        <v/>
      </c>
      <c r="F94" s="1" t="str">
        <f t="shared" si="21"/>
        <v/>
      </c>
      <c r="G94" s="1">
        <f t="shared" si="21"/>
        <v>145</v>
      </c>
      <c r="H94" s="1" t="str">
        <f t="shared" si="21"/>
        <v/>
      </c>
      <c r="I94" s="1" t="str">
        <f t="shared" si="21"/>
        <v/>
      </c>
      <c r="J94" s="1" t="str">
        <f t="shared" si="21"/>
        <v/>
      </c>
      <c r="K94" s="1" t="str">
        <f t="shared" si="21"/>
        <v/>
      </c>
      <c r="L94" s="1" t="str">
        <f t="shared" si="21"/>
        <v/>
      </c>
      <c r="M94" s="1" t="str">
        <f t="shared" si="21"/>
        <v/>
      </c>
      <c r="N94" s="1" t="str">
        <f t="shared" si="21"/>
        <v/>
      </c>
      <c r="O94" s="1" t="str">
        <f t="shared" si="21"/>
        <v/>
      </c>
      <c r="P94" s="1" t="str">
        <f t="shared" si="21"/>
        <v/>
      </c>
      <c r="Q94" s="1" t="str">
        <f t="shared" si="21"/>
        <v/>
      </c>
      <c r="R94" s="1" t="str">
        <f t="shared" si="21"/>
        <v/>
      </c>
      <c r="S94" s="1" t="str">
        <f t="shared" si="21"/>
        <v/>
      </c>
    </row>
    <row r="95" spans="1:19" x14ac:dyDescent="0.25">
      <c r="A95" t="s">
        <v>41</v>
      </c>
      <c r="B95" s="1" t="str">
        <f t="shared" ref="B95:S95" si="22">IF(_xlfn.RANK.AVG(B24,$B$2:$S$33,0)&gt;150,"",_xlfn.RANK.AVG(B24,$B$2:$S$33,0))</f>
        <v/>
      </c>
      <c r="C95" s="1" t="str">
        <f t="shared" si="22"/>
        <v/>
      </c>
      <c r="D95" s="1" t="str">
        <f t="shared" si="22"/>
        <v/>
      </c>
      <c r="E95" s="1" t="str">
        <f t="shared" si="22"/>
        <v/>
      </c>
      <c r="F95" s="1" t="str">
        <f t="shared" si="22"/>
        <v/>
      </c>
      <c r="G95" s="1" t="str">
        <f t="shared" si="22"/>
        <v/>
      </c>
      <c r="H95" s="1" t="str">
        <f t="shared" si="22"/>
        <v/>
      </c>
      <c r="I95" s="1" t="str">
        <f t="shared" si="22"/>
        <v/>
      </c>
      <c r="J95" s="1" t="str">
        <f t="shared" si="22"/>
        <v/>
      </c>
      <c r="K95" s="1" t="str">
        <f t="shared" si="22"/>
        <v/>
      </c>
      <c r="L95" s="1" t="str">
        <f t="shared" si="22"/>
        <v/>
      </c>
      <c r="M95" s="1" t="str">
        <f t="shared" si="22"/>
        <v/>
      </c>
      <c r="N95" s="1" t="str">
        <f t="shared" si="22"/>
        <v/>
      </c>
      <c r="O95" s="1" t="str">
        <f t="shared" si="22"/>
        <v/>
      </c>
      <c r="P95" s="1" t="str">
        <f t="shared" si="22"/>
        <v/>
      </c>
      <c r="Q95" s="1" t="str">
        <f t="shared" si="22"/>
        <v/>
      </c>
      <c r="R95" s="1" t="str">
        <f t="shared" si="22"/>
        <v/>
      </c>
      <c r="S95" s="1" t="str">
        <f t="shared" si="22"/>
        <v/>
      </c>
    </row>
    <row r="96" spans="1:19" x14ac:dyDescent="0.25">
      <c r="A96" t="s">
        <v>42</v>
      </c>
      <c r="B96" s="1" t="str">
        <f t="shared" ref="B96:S96" si="23">IF(_xlfn.RANK.AVG(B25,$B$2:$S$33,0)&gt;150,"",_xlfn.RANK.AVG(B25,$B$2:$S$33,0))</f>
        <v/>
      </c>
      <c r="C96" s="1" t="str">
        <f t="shared" si="23"/>
        <v/>
      </c>
      <c r="D96" s="1" t="str">
        <f t="shared" si="23"/>
        <v/>
      </c>
      <c r="E96" s="1" t="str">
        <f t="shared" si="23"/>
        <v/>
      </c>
      <c r="F96" s="1" t="str">
        <f t="shared" si="23"/>
        <v/>
      </c>
      <c r="G96" s="1" t="str">
        <f t="shared" si="23"/>
        <v/>
      </c>
      <c r="H96" s="1" t="str">
        <f t="shared" si="23"/>
        <v/>
      </c>
      <c r="I96" s="1" t="str">
        <f t="shared" si="23"/>
        <v/>
      </c>
      <c r="J96" s="1" t="str">
        <f t="shared" si="23"/>
        <v/>
      </c>
      <c r="K96" s="1" t="str">
        <f t="shared" si="23"/>
        <v/>
      </c>
      <c r="L96" s="1" t="str">
        <f t="shared" si="23"/>
        <v/>
      </c>
      <c r="M96" s="1" t="str">
        <f t="shared" si="23"/>
        <v/>
      </c>
      <c r="N96" s="1" t="str">
        <f t="shared" si="23"/>
        <v/>
      </c>
      <c r="O96" s="1" t="str">
        <f t="shared" si="23"/>
        <v/>
      </c>
      <c r="P96" s="1" t="str">
        <f t="shared" si="23"/>
        <v/>
      </c>
      <c r="Q96" s="1" t="str">
        <f t="shared" si="23"/>
        <v/>
      </c>
      <c r="R96" s="1" t="str">
        <f t="shared" si="23"/>
        <v/>
      </c>
      <c r="S96" s="1" t="str">
        <f t="shared" si="23"/>
        <v/>
      </c>
    </row>
    <row r="97" spans="1:20" x14ac:dyDescent="0.25">
      <c r="A97" t="s">
        <v>43</v>
      </c>
      <c r="B97" s="1" t="str">
        <f t="shared" ref="B97:S97" si="24">IF(_xlfn.RANK.AVG(B26,$B$2:$S$33,0)&gt;150,"",_xlfn.RANK.AVG(B26,$B$2:$S$33,0))</f>
        <v/>
      </c>
      <c r="C97" s="1" t="str">
        <f t="shared" si="24"/>
        <v/>
      </c>
      <c r="D97" s="1" t="str">
        <f t="shared" si="24"/>
        <v/>
      </c>
      <c r="E97" s="1" t="str">
        <f t="shared" si="24"/>
        <v/>
      </c>
      <c r="F97" s="1" t="str">
        <f t="shared" si="24"/>
        <v/>
      </c>
      <c r="G97" s="1" t="str">
        <f t="shared" si="24"/>
        <v/>
      </c>
      <c r="H97" s="1" t="str">
        <f t="shared" si="24"/>
        <v/>
      </c>
      <c r="I97" s="1" t="str">
        <f t="shared" si="24"/>
        <v/>
      </c>
      <c r="J97" s="1" t="str">
        <f t="shared" si="24"/>
        <v/>
      </c>
      <c r="K97" s="1" t="str">
        <f t="shared" si="24"/>
        <v/>
      </c>
      <c r="L97" s="1" t="str">
        <f t="shared" si="24"/>
        <v/>
      </c>
      <c r="M97" s="1" t="str">
        <f t="shared" si="24"/>
        <v/>
      </c>
      <c r="N97" s="1" t="str">
        <f t="shared" si="24"/>
        <v/>
      </c>
      <c r="O97" s="1" t="str">
        <f t="shared" si="24"/>
        <v/>
      </c>
      <c r="P97" s="1" t="str">
        <f t="shared" si="24"/>
        <v/>
      </c>
      <c r="Q97" s="1" t="str">
        <f t="shared" si="24"/>
        <v/>
      </c>
      <c r="R97" s="1" t="str">
        <f t="shared" si="24"/>
        <v/>
      </c>
      <c r="S97" s="1" t="str">
        <f t="shared" si="24"/>
        <v/>
      </c>
    </row>
    <row r="98" spans="1:20" x14ac:dyDescent="0.25">
      <c r="A98" t="s">
        <v>44</v>
      </c>
      <c r="B98" s="1">
        <f t="shared" ref="B98:S98" si="25">IF(_xlfn.RANK.AVG(B27,$B$2:$S$33,0)&gt;150,"",_xlfn.RANK.AVG(B27,$B$2:$S$33,0))</f>
        <v>55</v>
      </c>
      <c r="C98" s="1" t="str">
        <f t="shared" si="25"/>
        <v/>
      </c>
      <c r="D98" s="1">
        <f t="shared" si="25"/>
        <v>113.5</v>
      </c>
      <c r="E98" s="1">
        <f t="shared" si="25"/>
        <v>80.5</v>
      </c>
      <c r="F98" s="1">
        <f t="shared" si="25"/>
        <v>101</v>
      </c>
      <c r="G98" s="1">
        <f t="shared" si="25"/>
        <v>11</v>
      </c>
      <c r="H98" s="1">
        <f t="shared" si="25"/>
        <v>77.5</v>
      </c>
      <c r="I98" s="1">
        <f t="shared" si="25"/>
        <v>11</v>
      </c>
      <c r="J98" s="1" t="str">
        <f t="shared" si="25"/>
        <v/>
      </c>
      <c r="K98" s="1">
        <f t="shared" si="25"/>
        <v>145</v>
      </c>
      <c r="L98" s="1" t="str">
        <f t="shared" si="25"/>
        <v/>
      </c>
      <c r="M98" s="1">
        <f t="shared" si="25"/>
        <v>55</v>
      </c>
      <c r="N98" s="1">
        <f t="shared" si="25"/>
        <v>65</v>
      </c>
      <c r="O98" s="1">
        <f t="shared" si="25"/>
        <v>137.5</v>
      </c>
      <c r="P98" s="1">
        <f t="shared" si="25"/>
        <v>21</v>
      </c>
      <c r="Q98" s="1" t="str">
        <f t="shared" si="25"/>
        <v/>
      </c>
      <c r="R98" s="1" t="str">
        <f t="shared" si="25"/>
        <v/>
      </c>
      <c r="S98" s="1" t="str">
        <f t="shared" si="25"/>
        <v/>
      </c>
    </row>
    <row r="99" spans="1:20" x14ac:dyDescent="0.25">
      <c r="A99" t="s">
        <v>45</v>
      </c>
      <c r="B99" s="1">
        <f t="shared" ref="B99:S99" si="26">IF(_xlfn.RANK.AVG(B28,$B$2:$S$33,0)&gt;150,"",_xlfn.RANK.AVG(B28,$B$2:$S$33,0))</f>
        <v>75</v>
      </c>
      <c r="C99" s="1" t="str">
        <f t="shared" si="26"/>
        <v/>
      </c>
      <c r="D99" s="1" t="str">
        <f t="shared" si="26"/>
        <v/>
      </c>
      <c r="E99" s="1" t="str">
        <f t="shared" si="26"/>
        <v/>
      </c>
      <c r="F99" s="1" t="str">
        <f t="shared" si="26"/>
        <v/>
      </c>
      <c r="G99" s="1">
        <f t="shared" si="26"/>
        <v>68</v>
      </c>
      <c r="H99" s="1" t="str">
        <f t="shared" si="26"/>
        <v/>
      </c>
      <c r="I99" s="1" t="str">
        <f t="shared" si="26"/>
        <v/>
      </c>
      <c r="J99" s="1" t="str">
        <f t="shared" si="26"/>
        <v/>
      </c>
      <c r="K99" s="1" t="str">
        <f t="shared" si="26"/>
        <v/>
      </c>
      <c r="L99" s="1" t="str">
        <f t="shared" si="26"/>
        <v/>
      </c>
      <c r="M99" s="1" t="str">
        <f t="shared" si="26"/>
        <v/>
      </c>
      <c r="N99" s="1" t="str">
        <f t="shared" si="26"/>
        <v/>
      </c>
      <c r="O99" s="1" t="str">
        <f t="shared" si="26"/>
        <v/>
      </c>
      <c r="P99" s="1" t="str">
        <f t="shared" si="26"/>
        <v/>
      </c>
      <c r="Q99" s="1" t="str">
        <f t="shared" si="26"/>
        <v/>
      </c>
      <c r="R99" s="1">
        <f t="shared" si="26"/>
        <v>68</v>
      </c>
      <c r="S99" s="1" t="str">
        <f t="shared" si="26"/>
        <v/>
      </c>
    </row>
    <row r="100" spans="1:20" x14ac:dyDescent="0.25">
      <c r="A100" t="s">
        <v>46</v>
      </c>
      <c r="B100" s="1" t="str">
        <f t="shared" ref="B100:S100" si="27">IF(_xlfn.RANK.AVG(B29,$B$2:$S$33,0)&gt;150,"",_xlfn.RANK.AVG(B29,$B$2:$S$33,0))</f>
        <v/>
      </c>
      <c r="C100" s="1">
        <f t="shared" si="27"/>
        <v>31</v>
      </c>
      <c r="D100" s="1" t="str">
        <f t="shared" si="27"/>
        <v/>
      </c>
      <c r="E100" s="1">
        <f t="shared" si="27"/>
        <v>133</v>
      </c>
      <c r="F100" s="1" t="str">
        <f t="shared" si="27"/>
        <v/>
      </c>
      <c r="G100" s="1" t="str">
        <f t="shared" si="27"/>
        <v/>
      </c>
      <c r="H100" s="1">
        <f t="shared" si="27"/>
        <v>95</v>
      </c>
      <c r="I100" s="1" t="str">
        <f t="shared" si="27"/>
        <v/>
      </c>
      <c r="J100" s="1">
        <f t="shared" si="27"/>
        <v>61</v>
      </c>
      <c r="K100" s="1" t="str">
        <f t="shared" si="27"/>
        <v/>
      </c>
      <c r="L100" s="1" t="str">
        <f t="shared" si="27"/>
        <v/>
      </c>
      <c r="M100" s="1">
        <f t="shared" si="27"/>
        <v>55</v>
      </c>
      <c r="N100" s="1">
        <f t="shared" si="27"/>
        <v>39</v>
      </c>
      <c r="O100" s="1" t="str">
        <f t="shared" si="27"/>
        <v/>
      </c>
      <c r="P100" s="1">
        <f t="shared" si="27"/>
        <v>36</v>
      </c>
      <c r="Q100" s="1">
        <f t="shared" si="27"/>
        <v>133</v>
      </c>
      <c r="R100" s="1" t="str">
        <f t="shared" si="27"/>
        <v/>
      </c>
      <c r="S100" s="1" t="str">
        <f t="shared" si="27"/>
        <v/>
      </c>
    </row>
    <row r="101" spans="1:20" x14ac:dyDescent="0.25">
      <c r="A101" t="s">
        <v>47</v>
      </c>
      <c r="B101" s="1" t="str">
        <f t="shared" ref="B101:S101" si="28">IF(_xlfn.RANK.AVG(B30,$B$2:$S$33,0)&gt;150,"",_xlfn.RANK.AVG(B30,$B$2:$S$33,0))</f>
        <v/>
      </c>
      <c r="C101" s="1" t="str">
        <f t="shared" si="28"/>
        <v/>
      </c>
      <c r="D101" s="1">
        <f t="shared" si="28"/>
        <v>95</v>
      </c>
      <c r="E101" s="1" t="str">
        <f t="shared" si="28"/>
        <v/>
      </c>
      <c r="F101" s="1" t="str">
        <f t="shared" si="28"/>
        <v/>
      </c>
      <c r="G101" s="1" t="str">
        <f t="shared" si="28"/>
        <v/>
      </c>
      <c r="H101" s="1" t="str">
        <f t="shared" si="28"/>
        <v/>
      </c>
      <c r="I101" s="1" t="str">
        <f t="shared" si="28"/>
        <v/>
      </c>
      <c r="J101" s="1" t="str">
        <f t="shared" si="28"/>
        <v/>
      </c>
      <c r="K101" s="1" t="str">
        <f t="shared" si="28"/>
        <v/>
      </c>
      <c r="L101" s="1" t="str">
        <f t="shared" si="28"/>
        <v/>
      </c>
      <c r="M101" s="1">
        <f t="shared" si="28"/>
        <v>110</v>
      </c>
      <c r="N101" s="1" t="str">
        <f t="shared" si="28"/>
        <v/>
      </c>
      <c r="O101" s="1" t="str">
        <f t="shared" si="28"/>
        <v/>
      </c>
      <c r="P101" s="1" t="str">
        <f t="shared" si="28"/>
        <v/>
      </c>
      <c r="Q101" s="1" t="str">
        <f t="shared" si="28"/>
        <v/>
      </c>
      <c r="R101" s="1" t="str">
        <f t="shared" si="28"/>
        <v/>
      </c>
      <c r="S101" s="1" t="str">
        <f t="shared" si="28"/>
        <v/>
      </c>
    </row>
    <row r="102" spans="1:20" x14ac:dyDescent="0.25">
      <c r="A102" t="s">
        <v>48</v>
      </c>
      <c r="B102" s="1">
        <f t="shared" ref="B102:S102" si="29">IF(_xlfn.RANK.AVG(B31,$B$2:$S$33,0)&gt;150,"",_xlfn.RANK.AVG(B31,$B$2:$S$33,0))</f>
        <v>111.5</v>
      </c>
      <c r="C102" s="1" t="str">
        <f t="shared" si="29"/>
        <v/>
      </c>
      <c r="D102" s="1">
        <f t="shared" si="29"/>
        <v>49</v>
      </c>
      <c r="E102" s="1" t="str">
        <f t="shared" si="29"/>
        <v/>
      </c>
      <c r="F102" s="1" t="str">
        <f t="shared" si="29"/>
        <v/>
      </c>
      <c r="G102" s="1" t="str">
        <f t="shared" si="29"/>
        <v/>
      </c>
      <c r="H102" s="1" t="str">
        <f t="shared" si="29"/>
        <v/>
      </c>
      <c r="I102" s="1">
        <f t="shared" si="29"/>
        <v>37.5</v>
      </c>
      <c r="J102" s="1" t="str">
        <f t="shared" si="29"/>
        <v/>
      </c>
      <c r="K102" s="1">
        <f t="shared" si="29"/>
        <v>119.5</v>
      </c>
      <c r="L102" s="1" t="str">
        <f t="shared" si="29"/>
        <v/>
      </c>
      <c r="M102" s="1" t="str">
        <f t="shared" si="29"/>
        <v/>
      </c>
      <c r="N102" s="1" t="str">
        <f t="shared" si="29"/>
        <v/>
      </c>
      <c r="O102" s="1">
        <f t="shared" si="29"/>
        <v>37.5</v>
      </c>
      <c r="P102" s="1">
        <f t="shared" si="29"/>
        <v>111.5</v>
      </c>
      <c r="Q102" s="1">
        <f t="shared" si="29"/>
        <v>63.5</v>
      </c>
      <c r="R102" s="1" t="str">
        <f t="shared" si="29"/>
        <v/>
      </c>
      <c r="S102" s="1">
        <f t="shared" si="29"/>
        <v>63.5</v>
      </c>
    </row>
    <row r="103" spans="1:20" x14ac:dyDescent="0.25">
      <c r="A103" t="s">
        <v>49</v>
      </c>
      <c r="B103" s="1" t="str">
        <f t="shared" ref="B103:S103" si="30">IF(_xlfn.RANK.AVG(B32,$B$2:$S$33,0)&gt;150,"",_xlfn.RANK.AVG(B32,$B$2:$S$33,0))</f>
        <v/>
      </c>
      <c r="C103" s="1" t="str">
        <f t="shared" si="30"/>
        <v/>
      </c>
      <c r="D103" s="1" t="str">
        <f t="shared" si="30"/>
        <v/>
      </c>
      <c r="E103" s="1" t="str">
        <f t="shared" si="30"/>
        <v/>
      </c>
      <c r="F103" s="1" t="str">
        <f t="shared" si="30"/>
        <v/>
      </c>
      <c r="G103" s="1" t="str">
        <f t="shared" si="30"/>
        <v/>
      </c>
      <c r="H103" s="1" t="str">
        <f t="shared" si="30"/>
        <v/>
      </c>
      <c r="I103" s="1" t="str">
        <f t="shared" si="30"/>
        <v/>
      </c>
      <c r="J103" s="1" t="str">
        <f t="shared" si="30"/>
        <v/>
      </c>
      <c r="K103" s="1" t="str">
        <f t="shared" si="30"/>
        <v/>
      </c>
      <c r="L103" s="1" t="str">
        <f t="shared" si="30"/>
        <v/>
      </c>
      <c r="M103" s="1" t="str">
        <f t="shared" si="30"/>
        <v/>
      </c>
      <c r="N103" s="1" t="str">
        <f t="shared" si="30"/>
        <v/>
      </c>
      <c r="O103" s="1" t="str">
        <f t="shared" si="30"/>
        <v/>
      </c>
      <c r="P103" s="1" t="str">
        <f t="shared" si="30"/>
        <v/>
      </c>
      <c r="Q103" s="1" t="str">
        <f t="shared" si="30"/>
        <v/>
      </c>
      <c r="R103" s="1" t="str">
        <f t="shared" si="30"/>
        <v/>
      </c>
      <c r="S103" s="1" t="str">
        <f t="shared" si="30"/>
        <v/>
      </c>
    </row>
    <row r="104" spans="1:20" x14ac:dyDescent="0.25">
      <c r="A104" t="s">
        <v>50</v>
      </c>
      <c r="B104" s="1">
        <f t="shared" ref="B104:S104" si="31">IF(_xlfn.RANK.AVG(B33,$B$2:$S$33,0)&gt;150,"",_xlfn.RANK.AVG(B33,$B$2:$S$33,0))</f>
        <v>32.5</v>
      </c>
      <c r="C104" s="1" t="str">
        <f t="shared" si="31"/>
        <v/>
      </c>
      <c r="D104" s="1">
        <f t="shared" si="31"/>
        <v>68</v>
      </c>
      <c r="E104" s="1">
        <f t="shared" si="31"/>
        <v>51</v>
      </c>
      <c r="F104" s="1" t="str">
        <f t="shared" si="31"/>
        <v/>
      </c>
      <c r="G104" s="1" t="str">
        <f t="shared" si="31"/>
        <v/>
      </c>
      <c r="H104" s="1">
        <f t="shared" si="31"/>
        <v>148.5</v>
      </c>
      <c r="I104" s="1" t="str">
        <f t="shared" si="31"/>
        <v/>
      </c>
      <c r="J104" s="1">
        <f t="shared" si="31"/>
        <v>90</v>
      </c>
      <c r="K104" s="1" t="str">
        <f t="shared" si="31"/>
        <v/>
      </c>
      <c r="L104" s="1">
        <f t="shared" si="31"/>
        <v>113.5</v>
      </c>
      <c r="M104" s="1" t="str">
        <f t="shared" si="31"/>
        <v/>
      </c>
      <c r="N104" s="1" t="str">
        <f t="shared" si="31"/>
        <v/>
      </c>
      <c r="O104" s="1" t="str">
        <f t="shared" si="31"/>
        <v/>
      </c>
      <c r="P104" s="1">
        <f t="shared" si="31"/>
        <v>32.5</v>
      </c>
      <c r="Q104" s="1" t="str">
        <f t="shared" si="31"/>
        <v/>
      </c>
      <c r="R104" s="1">
        <f t="shared" si="31"/>
        <v>148.5</v>
      </c>
      <c r="S104" s="1" t="str">
        <f t="shared" si="31"/>
        <v/>
      </c>
    </row>
    <row r="108" spans="1:20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12</v>
      </c>
      <c r="N108" t="s">
        <v>13</v>
      </c>
      <c r="O108" t="s">
        <v>14</v>
      </c>
      <c r="P108" t="s">
        <v>15</v>
      </c>
      <c r="Q108" t="s">
        <v>16</v>
      </c>
      <c r="R108" t="s">
        <v>17</v>
      </c>
      <c r="S108" t="s">
        <v>18</v>
      </c>
      <c r="T108" t="s">
        <v>53</v>
      </c>
    </row>
    <row r="109" spans="1:20" x14ac:dyDescent="0.25">
      <c r="A109" t="s">
        <v>20</v>
      </c>
      <c r="B109" s="1" t="s">
        <v>51</v>
      </c>
      <c r="C109" s="1" t="s">
        <v>51</v>
      </c>
      <c r="D109" s="1" t="s">
        <v>51</v>
      </c>
      <c r="E109" s="1" t="s">
        <v>51</v>
      </c>
      <c r="F109" s="1" t="s">
        <v>51</v>
      </c>
      <c r="G109" s="1" t="s">
        <v>51</v>
      </c>
      <c r="H109" s="1" t="s">
        <v>51</v>
      </c>
      <c r="I109" s="1" t="s">
        <v>51</v>
      </c>
      <c r="J109" s="1" t="s">
        <v>51</v>
      </c>
      <c r="K109" s="1" t="s">
        <v>51</v>
      </c>
      <c r="L109" s="1" t="s">
        <v>51</v>
      </c>
      <c r="M109" s="1" t="s">
        <v>51</v>
      </c>
      <c r="N109" s="1" t="s">
        <v>51</v>
      </c>
      <c r="O109" s="1" t="s">
        <v>51</v>
      </c>
      <c r="P109" s="1" t="s">
        <v>51</v>
      </c>
      <c r="Q109" s="1" t="s">
        <v>51</v>
      </c>
      <c r="R109" s="1" t="s">
        <v>51</v>
      </c>
      <c r="S109" s="1" t="s">
        <v>51</v>
      </c>
      <c r="T109">
        <f t="shared" ref="T109:T140" si="32">COUNT(B109:S109)</f>
        <v>0</v>
      </c>
    </row>
    <row r="110" spans="1:20" x14ac:dyDescent="0.25">
      <c r="A110" t="s">
        <v>23</v>
      </c>
      <c r="B110" s="1" t="s">
        <v>51</v>
      </c>
      <c r="C110" s="1" t="s">
        <v>51</v>
      </c>
      <c r="D110" s="1" t="s">
        <v>51</v>
      </c>
      <c r="E110" s="1" t="s">
        <v>51</v>
      </c>
      <c r="F110" s="1" t="s">
        <v>51</v>
      </c>
      <c r="G110" s="1" t="s">
        <v>51</v>
      </c>
      <c r="H110" s="1" t="s">
        <v>51</v>
      </c>
      <c r="I110" s="1" t="s">
        <v>51</v>
      </c>
      <c r="J110" s="1" t="s">
        <v>51</v>
      </c>
      <c r="K110" s="1" t="s">
        <v>51</v>
      </c>
      <c r="L110" s="1" t="s">
        <v>51</v>
      </c>
      <c r="M110" s="1" t="s">
        <v>51</v>
      </c>
      <c r="N110" s="1" t="s">
        <v>51</v>
      </c>
      <c r="O110" s="1" t="s">
        <v>51</v>
      </c>
      <c r="P110" s="1" t="s">
        <v>51</v>
      </c>
      <c r="Q110" s="1" t="s">
        <v>51</v>
      </c>
      <c r="R110" s="1" t="s">
        <v>51</v>
      </c>
      <c r="S110" s="1" t="s">
        <v>51</v>
      </c>
      <c r="T110">
        <f t="shared" si="32"/>
        <v>0</v>
      </c>
    </row>
    <row r="111" spans="1:20" s="2" customFormat="1" x14ac:dyDescent="0.25">
      <c r="A111" t="s">
        <v>26</v>
      </c>
      <c r="B111" s="1" t="s">
        <v>51</v>
      </c>
      <c r="C111" s="1" t="s">
        <v>51</v>
      </c>
      <c r="D111" s="1" t="s">
        <v>51</v>
      </c>
      <c r="E111" s="1" t="s">
        <v>51</v>
      </c>
      <c r="F111" s="1" t="s">
        <v>51</v>
      </c>
      <c r="G111" s="1" t="s">
        <v>51</v>
      </c>
      <c r="H111" s="1" t="s">
        <v>51</v>
      </c>
      <c r="I111" s="1" t="s">
        <v>51</v>
      </c>
      <c r="J111" s="1" t="s">
        <v>51</v>
      </c>
      <c r="K111" s="1" t="s">
        <v>51</v>
      </c>
      <c r="L111" s="1" t="s">
        <v>51</v>
      </c>
      <c r="M111" s="1" t="s">
        <v>51</v>
      </c>
      <c r="N111" s="1" t="s">
        <v>51</v>
      </c>
      <c r="O111" s="1" t="s">
        <v>51</v>
      </c>
      <c r="P111" s="1" t="s">
        <v>51</v>
      </c>
      <c r="Q111" s="1" t="s">
        <v>51</v>
      </c>
      <c r="R111" s="1" t="s">
        <v>51</v>
      </c>
      <c r="S111" s="1" t="s">
        <v>51</v>
      </c>
      <c r="T111">
        <f t="shared" si="32"/>
        <v>0</v>
      </c>
    </row>
    <row r="112" spans="1:20" s="2" customFormat="1" x14ac:dyDescent="0.25">
      <c r="A112" t="s">
        <v>32</v>
      </c>
      <c r="B112" s="1" t="s">
        <v>51</v>
      </c>
      <c r="C112" s="1" t="s">
        <v>51</v>
      </c>
      <c r="D112" s="1" t="s">
        <v>51</v>
      </c>
      <c r="E112" s="1" t="s">
        <v>51</v>
      </c>
      <c r="F112" s="1" t="s">
        <v>51</v>
      </c>
      <c r="G112" s="1" t="s">
        <v>51</v>
      </c>
      <c r="H112" s="1" t="s">
        <v>51</v>
      </c>
      <c r="I112" s="1" t="s">
        <v>51</v>
      </c>
      <c r="J112" s="1" t="s">
        <v>51</v>
      </c>
      <c r="K112" s="1" t="s">
        <v>51</v>
      </c>
      <c r="L112" s="1" t="s">
        <v>51</v>
      </c>
      <c r="M112" s="1" t="s">
        <v>51</v>
      </c>
      <c r="N112" s="1" t="s">
        <v>51</v>
      </c>
      <c r="O112" s="1" t="s">
        <v>51</v>
      </c>
      <c r="P112" s="1" t="s">
        <v>51</v>
      </c>
      <c r="Q112" s="1" t="s">
        <v>51</v>
      </c>
      <c r="R112" s="1" t="s">
        <v>51</v>
      </c>
      <c r="S112" s="1" t="s">
        <v>51</v>
      </c>
      <c r="T112">
        <f t="shared" si="32"/>
        <v>0</v>
      </c>
    </row>
    <row r="113" spans="1:23" x14ac:dyDescent="0.25">
      <c r="A113" t="s">
        <v>33</v>
      </c>
      <c r="B113" s="1" t="s">
        <v>51</v>
      </c>
      <c r="C113" s="1" t="s">
        <v>51</v>
      </c>
      <c r="D113" s="1" t="s">
        <v>51</v>
      </c>
      <c r="E113" s="1" t="s">
        <v>51</v>
      </c>
      <c r="F113" s="1" t="s">
        <v>51</v>
      </c>
      <c r="G113" s="1" t="s">
        <v>51</v>
      </c>
      <c r="H113" s="1" t="s">
        <v>51</v>
      </c>
      <c r="I113" s="1" t="s">
        <v>51</v>
      </c>
      <c r="J113" s="1" t="s">
        <v>51</v>
      </c>
      <c r="K113" s="1" t="s">
        <v>51</v>
      </c>
      <c r="L113" s="1" t="s">
        <v>51</v>
      </c>
      <c r="M113" s="1" t="s">
        <v>51</v>
      </c>
      <c r="N113" s="1" t="s">
        <v>51</v>
      </c>
      <c r="O113" s="1" t="s">
        <v>51</v>
      </c>
      <c r="P113" s="1" t="s">
        <v>51</v>
      </c>
      <c r="Q113" s="1" t="s">
        <v>51</v>
      </c>
      <c r="R113" s="1" t="s">
        <v>51</v>
      </c>
      <c r="S113" s="1" t="s">
        <v>51</v>
      </c>
      <c r="T113">
        <f t="shared" si="32"/>
        <v>0</v>
      </c>
    </row>
    <row r="114" spans="1:23" s="2" customFormat="1" x14ac:dyDescent="0.25">
      <c r="A114" t="s">
        <v>35</v>
      </c>
      <c r="B114" s="1" t="s">
        <v>51</v>
      </c>
      <c r="C114" s="1" t="s">
        <v>51</v>
      </c>
      <c r="D114" s="1" t="s">
        <v>51</v>
      </c>
      <c r="E114" s="1" t="s">
        <v>51</v>
      </c>
      <c r="F114" s="1" t="s">
        <v>51</v>
      </c>
      <c r="G114" s="1" t="s">
        <v>51</v>
      </c>
      <c r="H114" s="1" t="s">
        <v>51</v>
      </c>
      <c r="I114" s="1" t="s">
        <v>51</v>
      </c>
      <c r="J114" s="1" t="s">
        <v>51</v>
      </c>
      <c r="K114" s="1" t="s">
        <v>51</v>
      </c>
      <c r="L114" s="1" t="s">
        <v>51</v>
      </c>
      <c r="M114" s="1" t="s">
        <v>51</v>
      </c>
      <c r="N114" s="1" t="s">
        <v>51</v>
      </c>
      <c r="O114" s="1" t="s">
        <v>51</v>
      </c>
      <c r="P114" s="1" t="s">
        <v>51</v>
      </c>
      <c r="Q114" s="1" t="s">
        <v>51</v>
      </c>
      <c r="R114" s="1" t="s">
        <v>51</v>
      </c>
      <c r="S114" s="1" t="s">
        <v>51</v>
      </c>
      <c r="T114">
        <f t="shared" si="32"/>
        <v>0</v>
      </c>
    </row>
    <row r="115" spans="1:23" x14ac:dyDescent="0.25">
      <c r="A115" t="s">
        <v>40</v>
      </c>
      <c r="B115" s="1" t="s">
        <v>51</v>
      </c>
      <c r="C115" s="1" t="s">
        <v>51</v>
      </c>
      <c r="D115" s="1" t="s">
        <v>51</v>
      </c>
      <c r="E115" s="1" t="s">
        <v>51</v>
      </c>
      <c r="F115" s="1" t="s">
        <v>51</v>
      </c>
      <c r="G115" s="1" t="s">
        <v>51</v>
      </c>
      <c r="H115" s="1" t="s">
        <v>51</v>
      </c>
      <c r="I115" s="1" t="s">
        <v>51</v>
      </c>
      <c r="J115" s="1" t="s">
        <v>51</v>
      </c>
      <c r="K115" s="1" t="s">
        <v>51</v>
      </c>
      <c r="L115" s="1" t="s">
        <v>51</v>
      </c>
      <c r="M115" s="1" t="s">
        <v>51</v>
      </c>
      <c r="N115" s="1" t="s">
        <v>51</v>
      </c>
      <c r="O115" s="1" t="s">
        <v>51</v>
      </c>
      <c r="P115" s="1" t="s">
        <v>51</v>
      </c>
      <c r="Q115" s="1" t="s">
        <v>51</v>
      </c>
      <c r="R115" s="1" t="s">
        <v>51</v>
      </c>
      <c r="S115" s="1" t="s">
        <v>51</v>
      </c>
      <c r="T115">
        <f t="shared" si="32"/>
        <v>0</v>
      </c>
    </row>
    <row r="116" spans="1:23" x14ac:dyDescent="0.25">
      <c r="A116" t="s">
        <v>41</v>
      </c>
      <c r="B116" s="1" t="s">
        <v>51</v>
      </c>
      <c r="C116" s="1" t="s">
        <v>51</v>
      </c>
      <c r="D116" s="1" t="s">
        <v>51</v>
      </c>
      <c r="E116" s="1" t="s">
        <v>51</v>
      </c>
      <c r="F116" s="1" t="s">
        <v>51</v>
      </c>
      <c r="G116" s="1" t="s">
        <v>51</v>
      </c>
      <c r="H116" s="1" t="s">
        <v>51</v>
      </c>
      <c r="I116" s="1" t="s">
        <v>51</v>
      </c>
      <c r="J116" s="1" t="s">
        <v>51</v>
      </c>
      <c r="K116" s="1" t="s">
        <v>51</v>
      </c>
      <c r="L116" s="1" t="s">
        <v>51</v>
      </c>
      <c r="M116" s="1" t="s">
        <v>51</v>
      </c>
      <c r="N116" s="1" t="s">
        <v>51</v>
      </c>
      <c r="O116" s="1" t="s">
        <v>51</v>
      </c>
      <c r="P116" s="1" t="s">
        <v>51</v>
      </c>
      <c r="Q116" s="1" t="s">
        <v>51</v>
      </c>
      <c r="R116" s="1" t="s">
        <v>51</v>
      </c>
      <c r="S116" s="1" t="s">
        <v>51</v>
      </c>
      <c r="T116">
        <f t="shared" si="32"/>
        <v>0</v>
      </c>
      <c r="V116">
        <v>11</v>
      </c>
      <c r="W116">
        <f>COUNTIF($T$109:$T$140,V116)</f>
        <v>1</v>
      </c>
    </row>
    <row r="117" spans="1:23" x14ac:dyDescent="0.25">
      <c r="A117" t="s">
        <v>42</v>
      </c>
      <c r="B117" s="1" t="s">
        <v>51</v>
      </c>
      <c r="C117" s="1" t="s">
        <v>51</v>
      </c>
      <c r="D117" s="1" t="s">
        <v>51</v>
      </c>
      <c r="E117" s="1" t="s">
        <v>51</v>
      </c>
      <c r="F117" s="1" t="s">
        <v>51</v>
      </c>
      <c r="G117" s="1" t="s">
        <v>51</v>
      </c>
      <c r="H117" s="1" t="s">
        <v>51</v>
      </c>
      <c r="I117" s="1" t="s">
        <v>51</v>
      </c>
      <c r="J117" s="1" t="s">
        <v>51</v>
      </c>
      <c r="K117" s="1" t="s">
        <v>51</v>
      </c>
      <c r="L117" s="1" t="s">
        <v>51</v>
      </c>
      <c r="M117" s="1" t="s">
        <v>51</v>
      </c>
      <c r="N117" s="1" t="s">
        <v>51</v>
      </c>
      <c r="O117" s="1" t="s">
        <v>51</v>
      </c>
      <c r="P117" s="1" t="s">
        <v>51</v>
      </c>
      <c r="Q117" s="1" t="s">
        <v>51</v>
      </c>
      <c r="R117" s="1" t="s">
        <v>51</v>
      </c>
      <c r="S117" s="1" t="s">
        <v>51</v>
      </c>
      <c r="T117">
        <f t="shared" si="32"/>
        <v>0</v>
      </c>
      <c r="V117">
        <v>10</v>
      </c>
      <c r="W117">
        <f>COUNTIF($T$109:$T$140,V117)</f>
        <v>1</v>
      </c>
    </row>
    <row r="118" spans="1:23" x14ac:dyDescent="0.25">
      <c r="A118" t="s">
        <v>43</v>
      </c>
      <c r="B118" s="1" t="s">
        <v>51</v>
      </c>
      <c r="C118" s="1" t="s">
        <v>51</v>
      </c>
      <c r="D118" s="1" t="s">
        <v>51</v>
      </c>
      <c r="E118" s="1" t="s">
        <v>51</v>
      </c>
      <c r="F118" s="1" t="s">
        <v>51</v>
      </c>
      <c r="G118" s="1" t="s">
        <v>51</v>
      </c>
      <c r="H118" s="1" t="s">
        <v>51</v>
      </c>
      <c r="I118" s="1" t="s">
        <v>51</v>
      </c>
      <c r="J118" s="1" t="s">
        <v>51</v>
      </c>
      <c r="K118" s="1" t="s">
        <v>51</v>
      </c>
      <c r="L118" s="1" t="s">
        <v>51</v>
      </c>
      <c r="M118" s="1" t="s">
        <v>51</v>
      </c>
      <c r="N118" s="1" t="s">
        <v>51</v>
      </c>
      <c r="O118" s="1" t="s">
        <v>51</v>
      </c>
      <c r="P118" s="1" t="s">
        <v>51</v>
      </c>
      <c r="Q118" s="1" t="s">
        <v>51</v>
      </c>
      <c r="R118" s="1" t="s">
        <v>51</v>
      </c>
      <c r="S118" s="1" t="s">
        <v>51</v>
      </c>
      <c r="T118">
        <f t="shared" si="32"/>
        <v>0</v>
      </c>
      <c r="V118">
        <v>9</v>
      </c>
      <c r="W118">
        <f t="shared" ref="W118:W127" si="33">COUNTIF($T$109:$T$140,V118)</f>
        <v>0</v>
      </c>
    </row>
    <row r="119" spans="1:23" x14ac:dyDescent="0.25">
      <c r="A119" t="s">
        <v>49</v>
      </c>
      <c r="B119" s="1" t="s">
        <v>51</v>
      </c>
      <c r="C119" s="1" t="s">
        <v>51</v>
      </c>
      <c r="D119" s="1" t="s">
        <v>51</v>
      </c>
      <c r="E119" s="1" t="s">
        <v>51</v>
      </c>
      <c r="F119" s="1" t="s">
        <v>51</v>
      </c>
      <c r="G119" s="1" t="s">
        <v>51</v>
      </c>
      <c r="H119" s="1" t="s">
        <v>51</v>
      </c>
      <c r="I119" s="1" t="s">
        <v>51</v>
      </c>
      <c r="J119" s="1" t="s">
        <v>51</v>
      </c>
      <c r="K119" s="1" t="s">
        <v>51</v>
      </c>
      <c r="L119" s="1" t="s">
        <v>51</v>
      </c>
      <c r="M119" s="1" t="s">
        <v>51</v>
      </c>
      <c r="N119" s="1" t="s">
        <v>51</v>
      </c>
      <c r="O119" s="1" t="s">
        <v>51</v>
      </c>
      <c r="P119" s="1" t="s">
        <v>51</v>
      </c>
      <c r="Q119" s="1" t="s">
        <v>51</v>
      </c>
      <c r="R119" s="1" t="s">
        <v>51</v>
      </c>
      <c r="S119" s="1" t="s">
        <v>51</v>
      </c>
      <c r="T119">
        <f t="shared" si="32"/>
        <v>0</v>
      </c>
      <c r="V119">
        <v>8</v>
      </c>
      <c r="W119">
        <f t="shared" si="33"/>
        <v>2</v>
      </c>
    </row>
    <row r="120" spans="1:23" x14ac:dyDescent="0.25">
      <c r="A120" t="s">
        <v>47</v>
      </c>
      <c r="B120" s="1" t="s">
        <v>51</v>
      </c>
      <c r="C120" s="1" t="s">
        <v>51</v>
      </c>
      <c r="D120" s="1">
        <v>95</v>
      </c>
      <c r="E120" s="1" t="s">
        <v>51</v>
      </c>
      <c r="F120" s="1" t="s">
        <v>51</v>
      </c>
      <c r="G120" s="1" t="s">
        <v>51</v>
      </c>
      <c r="H120" s="1" t="s">
        <v>51</v>
      </c>
      <c r="I120" s="1" t="s">
        <v>51</v>
      </c>
      <c r="J120" s="1" t="s">
        <v>51</v>
      </c>
      <c r="K120" s="1" t="s">
        <v>51</v>
      </c>
      <c r="L120" s="1" t="s">
        <v>51</v>
      </c>
      <c r="M120" s="1" t="s">
        <v>51</v>
      </c>
      <c r="N120" s="1" t="s">
        <v>51</v>
      </c>
      <c r="O120" s="1" t="s">
        <v>51</v>
      </c>
      <c r="P120" s="1" t="s">
        <v>51</v>
      </c>
      <c r="Q120" s="1" t="s">
        <v>51</v>
      </c>
      <c r="R120" s="1" t="s">
        <v>51</v>
      </c>
      <c r="S120" s="1" t="s">
        <v>51</v>
      </c>
      <c r="T120">
        <f t="shared" si="32"/>
        <v>1</v>
      </c>
      <c r="V120">
        <v>7</v>
      </c>
      <c r="W120">
        <f t="shared" si="33"/>
        <v>0</v>
      </c>
    </row>
    <row r="121" spans="1:23" x14ac:dyDescent="0.25">
      <c r="A121" t="s">
        <v>19</v>
      </c>
      <c r="B121" s="1">
        <v>77.5</v>
      </c>
      <c r="C121" s="1" t="s">
        <v>51</v>
      </c>
      <c r="D121" s="1" t="s">
        <v>51</v>
      </c>
      <c r="E121" s="1" t="s">
        <v>51</v>
      </c>
      <c r="F121" s="1">
        <v>90</v>
      </c>
      <c r="G121" s="1" t="s">
        <v>51</v>
      </c>
      <c r="H121" s="1" t="s">
        <v>51</v>
      </c>
      <c r="I121" s="1" t="s">
        <v>51</v>
      </c>
      <c r="J121" s="1" t="s">
        <v>51</v>
      </c>
      <c r="K121" s="1" t="s">
        <v>51</v>
      </c>
      <c r="L121" s="1" t="s">
        <v>51</v>
      </c>
      <c r="M121" s="1" t="s">
        <v>51</v>
      </c>
      <c r="N121" s="1" t="s">
        <v>51</v>
      </c>
      <c r="O121" s="1" t="s">
        <v>51</v>
      </c>
      <c r="P121" s="1" t="s">
        <v>51</v>
      </c>
      <c r="Q121" s="1" t="s">
        <v>51</v>
      </c>
      <c r="R121" s="1" t="s">
        <v>51</v>
      </c>
      <c r="S121" s="1" t="s">
        <v>51</v>
      </c>
      <c r="T121">
        <f t="shared" si="32"/>
        <v>2</v>
      </c>
      <c r="V121">
        <v>6</v>
      </c>
      <c r="W121">
        <f t="shared" si="33"/>
        <v>3</v>
      </c>
    </row>
    <row r="122" spans="1:23" ht="15.75" thickBot="1" x14ac:dyDescent="0.3">
      <c r="A122" t="s">
        <v>27</v>
      </c>
      <c r="B122" s="1" t="s">
        <v>51</v>
      </c>
      <c r="C122" s="1" t="s">
        <v>51</v>
      </c>
      <c r="D122" s="1" t="s">
        <v>51</v>
      </c>
      <c r="E122" s="1" t="s">
        <v>51</v>
      </c>
      <c r="F122" s="1">
        <v>71.5</v>
      </c>
      <c r="G122" s="1">
        <v>95</v>
      </c>
      <c r="H122" s="1" t="s">
        <v>51</v>
      </c>
      <c r="I122" s="1" t="s">
        <v>51</v>
      </c>
      <c r="J122" s="1" t="s">
        <v>51</v>
      </c>
      <c r="K122" s="1" t="s">
        <v>51</v>
      </c>
      <c r="L122" s="1" t="s">
        <v>51</v>
      </c>
      <c r="M122" s="1" t="s">
        <v>51</v>
      </c>
      <c r="N122" s="1" t="s">
        <v>51</v>
      </c>
      <c r="O122" s="1" t="s">
        <v>51</v>
      </c>
      <c r="P122" s="1" t="s">
        <v>51</v>
      </c>
      <c r="Q122" s="1" t="s">
        <v>51</v>
      </c>
      <c r="R122" s="1" t="s">
        <v>51</v>
      </c>
      <c r="S122" s="1" t="s">
        <v>51</v>
      </c>
      <c r="T122">
        <f t="shared" si="32"/>
        <v>2</v>
      </c>
      <c r="V122">
        <v>5</v>
      </c>
      <c r="W122">
        <f t="shared" si="33"/>
        <v>2</v>
      </c>
    </row>
    <row r="123" spans="1:23" ht="15.75" thickBot="1" x14ac:dyDescent="0.3">
      <c r="A123" t="s">
        <v>31</v>
      </c>
      <c r="B123" s="1" t="s">
        <v>51</v>
      </c>
      <c r="C123" s="1" t="s">
        <v>51</v>
      </c>
      <c r="D123" s="1" t="s">
        <v>51</v>
      </c>
      <c r="E123" s="1">
        <v>43</v>
      </c>
      <c r="F123" s="1" t="s">
        <v>51</v>
      </c>
      <c r="G123" s="1" t="s">
        <v>51</v>
      </c>
      <c r="H123" s="1" t="s">
        <v>51</v>
      </c>
      <c r="I123" s="1" t="s">
        <v>51</v>
      </c>
      <c r="J123" s="1" t="s">
        <v>51</v>
      </c>
      <c r="K123" s="1" t="s">
        <v>51</v>
      </c>
      <c r="L123" s="4">
        <v>43</v>
      </c>
      <c r="M123" s="1" t="s">
        <v>51</v>
      </c>
      <c r="N123" s="1" t="s">
        <v>51</v>
      </c>
      <c r="O123" s="1" t="s">
        <v>51</v>
      </c>
      <c r="P123" s="1" t="s">
        <v>51</v>
      </c>
      <c r="Q123" s="1" t="s">
        <v>51</v>
      </c>
      <c r="R123" s="1" t="s">
        <v>51</v>
      </c>
      <c r="S123" s="1" t="s">
        <v>51</v>
      </c>
      <c r="T123">
        <f t="shared" si="32"/>
        <v>2</v>
      </c>
      <c r="V123">
        <v>4</v>
      </c>
      <c r="W123">
        <f t="shared" si="33"/>
        <v>1</v>
      </c>
    </row>
    <row r="124" spans="1:23" s="2" customFormat="1" ht="15.75" thickBot="1" x14ac:dyDescent="0.3">
      <c r="A124" t="s">
        <v>38</v>
      </c>
      <c r="B124" s="1" t="s">
        <v>51</v>
      </c>
      <c r="C124" s="1" t="s">
        <v>51</v>
      </c>
      <c r="D124" s="1" t="s">
        <v>51</v>
      </c>
      <c r="E124" s="1" t="s">
        <v>51</v>
      </c>
      <c r="F124" s="1" t="s">
        <v>51</v>
      </c>
      <c r="G124" s="1" t="s">
        <v>51</v>
      </c>
      <c r="H124" s="1">
        <v>92</v>
      </c>
      <c r="I124" s="1" t="s">
        <v>51</v>
      </c>
      <c r="J124" s="1" t="s">
        <v>51</v>
      </c>
      <c r="K124" s="1" t="s">
        <v>51</v>
      </c>
      <c r="L124" s="1" t="s">
        <v>51</v>
      </c>
      <c r="M124" s="1" t="s">
        <v>51</v>
      </c>
      <c r="N124" s="4">
        <v>75</v>
      </c>
      <c r="O124" s="1" t="s">
        <v>51</v>
      </c>
      <c r="P124" s="1" t="s">
        <v>51</v>
      </c>
      <c r="Q124" s="1" t="s">
        <v>51</v>
      </c>
      <c r="R124" s="1" t="s">
        <v>51</v>
      </c>
      <c r="S124" s="1" t="s">
        <v>51</v>
      </c>
      <c r="T124">
        <f t="shared" si="32"/>
        <v>2</v>
      </c>
      <c r="V124">
        <v>3</v>
      </c>
      <c r="W124">
        <f t="shared" si="33"/>
        <v>3</v>
      </c>
    </row>
    <row r="125" spans="1:23" ht="15.75" thickBot="1" x14ac:dyDescent="0.3">
      <c r="A125" t="s">
        <v>39</v>
      </c>
      <c r="B125" s="1" t="s">
        <v>51</v>
      </c>
      <c r="C125" s="1" t="s">
        <v>51</v>
      </c>
      <c r="D125" s="1" t="s">
        <v>51</v>
      </c>
      <c r="E125" s="1" t="s">
        <v>51</v>
      </c>
      <c r="F125" s="4">
        <v>47.5</v>
      </c>
      <c r="G125" s="1" t="s">
        <v>51</v>
      </c>
      <c r="H125" s="1" t="s">
        <v>51</v>
      </c>
      <c r="I125" s="1" t="s">
        <v>51</v>
      </c>
      <c r="J125" s="1" t="s">
        <v>51</v>
      </c>
      <c r="K125" s="1" t="s">
        <v>51</v>
      </c>
      <c r="L125" s="1" t="s">
        <v>51</v>
      </c>
      <c r="M125" s="1" t="s">
        <v>51</v>
      </c>
      <c r="N125" s="1" t="s">
        <v>51</v>
      </c>
      <c r="O125" s="1" t="s">
        <v>51</v>
      </c>
      <c r="P125" s="1" t="s">
        <v>51</v>
      </c>
      <c r="Q125" s="1">
        <v>75</v>
      </c>
      <c r="R125" s="1" t="s">
        <v>51</v>
      </c>
      <c r="S125" s="1" t="s">
        <v>51</v>
      </c>
      <c r="T125">
        <f t="shared" si="32"/>
        <v>2</v>
      </c>
      <c r="V125">
        <v>2</v>
      </c>
      <c r="W125">
        <f t="shared" si="33"/>
        <v>5</v>
      </c>
    </row>
    <row r="126" spans="1:23" s="2" customFormat="1" ht="15.75" thickBot="1" x14ac:dyDescent="0.3">
      <c r="A126" t="s">
        <v>24</v>
      </c>
      <c r="B126" s="1" t="s">
        <v>51</v>
      </c>
      <c r="C126" s="1" t="s">
        <v>51</v>
      </c>
      <c r="D126" s="1" t="s">
        <v>51</v>
      </c>
      <c r="E126" s="1" t="s">
        <v>51</v>
      </c>
      <c r="F126" s="1" t="s">
        <v>51</v>
      </c>
      <c r="G126" s="1" t="s">
        <v>51</v>
      </c>
      <c r="H126" s="4">
        <v>46</v>
      </c>
      <c r="I126" s="1" t="s">
        <v>51</v>
      </c>
      <c r="J126" s="1" t="s">
        <v>51</v>
      </c>
      <c r="K126" s="1">
        <v>87</v>
      </c>
      <c r="L126" s="1" t="s">
        <v>51</v>
      </c>
      <c r="M126" s="1" t="s">
        <v>51</v>
      </c>
      <c r="N126" s="1" t="s">
        <v>51</v>
      </c>
      <c r="O126" s="1" t="s">
        <v>51</v>
      </c>
      <c r="P126" s="1">
        <v>55</v>
      </c>
      <c r="Q126" s="1" t="s">
        <v>51</v>
      </c>
      <c r="R126" s="1" t="s">
        <v>51</v>
      </c>
      <c r="S126" s="1" t="s">
        <v>51</v>
      </c>
      <c r="T126" s="2">
        <f t="shared" si="32"/>
        <v>3</v>
      </c>
      <c r="V126">
        <v>1</v>
      </c>
      <c r="W126">
        <f t="shared" si="33"/>
        <v>1</v>
      </c>
    </row>
    <row r="127" spans="1:23" s="5" customFormat="1" ht="16.5" customHeight="1" thickBot="1" x14ac:dyDescent="0.3">
      <c r="A127" s="5" t="s">
        <v>28</v>
      </c>
      <c r="B127" s="6" t="s">
        <v>51</v>
      </c>
      <c r="C127" s="6" t="s">
        <v>51</v>
      </c>
      <c r="D127" s="6" t="s">
        <v>51</v>
      </c>
      <c r="E127" s="6" t="s">
        <v>51</v>
      </c>
      <c r="F127" s="6" t="s">
        <v>51</v>
      </c>
      <c r="G127" s="6" t="s">
        <v>51</v>
      </c>
      <c r="H127" s="6" t="s">
        <v>51</v>
      </c>
      <c r="I127" s="6" t="s">
        <v>51</v>
      </c>
      <c r="J127" s="6" t="s">
        <v>51</v>
      </c>
      <c r="K127" s="6" t="s">
        <v>51</v>
      </c>
      <c r="L127" s="6" t="s">
        <v>51</v>
      </c>
      <c r="M127" s="6" t="s">
        <v>51</v>
      </c>
      <c r="N127" s="6" t="s">
        <v>51</v>
      </c>
      <c r="O127" s="6" t="s">
        <v>51</v>
      </c>
      <c r="P127" s="6" t="s">
        <v>51</v>
      </c>
      <c r="Q127" s="6" t="s">
        <v>51</v>
      </c>
      <c r="R127" s="6" t="s">
        <v>51</v>
      </c>
      <c r="S127" s="6" t="s">
        <v>51</v>
      </c>
      <c r="T127" s="6" t="s">
        <v>51</v>
      </c>
      <c r="V127" s="5">
        <v>0</v>
      </c>
      <c r="W127" s="5">
        <f t="shared" si="33"/>
        <v>11</v>
      </c>
    </row>
    <row r="128" spans="1:23" ht="15.75" thickBot="1" x14ac:dyDescent="0.3">
      <c r="A128" t="s">
        <v>30</v>
      </c>
      <c r="B128" s="1" t="s">
        <v>51</v>
      </c>
      <c r="C128" s="1" t="s">
        <v>51</v>
      </c>
      <c r="D128" s="4">
        <v>21</v>
      </c>
      <c r="E128" s="1" t="s">
        <v>51</v>
      </c>
      <c r="F128" s="1" t="s">
        <v>51</v>
      </c>
      <c r="G128" s="1" t="s">
        <v>51</v>
      </c>
      <c r="H128" s="1" t="s">
        <v>51</v>
      </c>
      <c r="I128" s="1" t="s">
        <v>51</v>
      </c>
      <c r="J128" s="1">
        <v>35</v>
      </c>
      <c r="K128" s="1" t="s">
        <v>51</v>
      </c>
      <c r="L128" s="1">
        <v>40</v>
      </c>
      <c r="M128" s="1" t="s">
        <v>51</v>
      </c>
      <c r="N128" s="1" t="s">
        <v>51</v>
      </c>
      <c r="O128" s="1" t="s">
        <v>51</v>
      </c>
      <c r="P128" s="1" t="s">
        <v>51</v>
      </c>
      <c r="Q128" s="1" t="s">
        <v>51</v>
      </c>
      <c r="R128" s="1" t="s">
        <v>51</v>
      </c>
      <c r="S128" s="1" t="s">
        <v>51</v>
      </c>
      <c r="T128">
        <f t="shared" si="32"/>
        <v>3</v>
      </c>
    </row>
    <row r="129" spans="1:20" ht="15.75" thickBot="1" x14ac:dyDescent="0.3">
      <c r="A129" t="s">
        <v>45</v>
      </c>
      <c r="B129" s="1">
        <v>75</v>
      </c>
      <c r="C129" s="1" t="s">
        <v>51</v>
      </c>
      <c r="D129" s="1" t="s">
        <v>51</v>
      </c>
      <c r="E129" s="1" t="s">
        <v>51</v>
      </c>
      <c r="F129" s="1" t="s">
        <v>51</v>
      </c>
      <c r="G129" s="1">
        <v>68</v>
      </c>
      <c r="H129" s="1" t="s">
        <v>51</v>
      </c>
      <c r="I129" s="1" t="s">
        <v>51</v>
      </c>
      <c r="J129" s="1" t="s">
        <v>51</v>
      </c>
      <c r="K129" s="1" t="s">
        <v>51</v>
      </c>
      <c r="L129" s="1" t="s">
        <v>51</v>
      </c>
      <c r="M129" s="1" t="s">
        <v>51</v>
      </c>
      <c r="N129" s="1" t="s">
        <v>51</v>
      </c>
      <c r="O129" s="1" t="s">
        <v>51</v>
      </c>
      <c r="P129" s="1" t="s">
        <v>51</v>
      </c>
      <c r="Q129" s="1" t="s">
        <v>51</v>
      </c>
      <c r="R129" s="4">
        <v>68</v>
      </c>
      <c r="S129" s="1" t="s">
        <v>51</v>
      </c>
      <c r="T129">
        <f t="shared" si="32"/>
        <v>3</v>
      </c>
    </row>
    <row r="130" spans="1:20" ht="15.75" thickBot="1" x14ac:dyDescent="0.3">
      <c r="A130" t="s">
        <v>37</v>
      </c>
      <c r="B130" s="1" t="s">
        <v>51</v>
      </c>
      <c r="C130" s="1">
        <v>30</v>
      </c>
      <c r="D130" s="1" t="s">
        <v>51</v>
      </c>
      <c r="E130" s="1" t="s">
        <v>51</v>
      </c>
      <c r="F130" s="1" t="s">
        <v>51</v>
      </c>
      <c r="G130" s="1" t="s">
        <v>51</v>
      </c>
      <c r="H130" s="1" t="s">
        <v>51</v>
      </c>
      <c r="I130" s="1" t="s">
        <v>51</v>
      </c>
      <c r="J130" s="4">
        <v>28</v>
      </c>
      <c r="K130" s="1" t="s">
        <v>51</v>
      </c>
      <c r="L130" s="1" t="s">
        <v>51</v>
      </c>
      <c r="M130" s="1" t="s">
        <v>51</v>
      </c>
      <c r="N130" s="1">
        <v>47.5</v>
      </c>
      <c r="O130" s="1" t="s">
        <v>51</v>
      </c>
      <c r="P130" s="1" t="s">
        <v>51</v>
      </c>
      <c r="Q130" s="1" t="s">
        <v>51</v>
      </c>
      <c r="R130" s="1">
        <v>79</v>
      </c>
      <c r="S130" s="1" t="s">
        <v>51</v>
      </c>
      <c r="T130">
        <f t="shared" si="32"/>
        <v>4</v>
      </c>
    </row>
    <row r="131" spans="1:20" s="5" customFormat="1" ht="15.75" thickBot="1" x14ac:dyDescent="0.3">
      <c r="A131" s="5" t="s">
        <v>25</v>
      </c>
      <c r="B131" s="6" t="s">
        <v>51</v>
      </c>
      <c r="C131" s="6" t="s">
        <v>51</v>
      </c>
      <c r="D131" s="6" t="s">
        <v>51</v>
      </c>
      <c r="E131" s="6" t="s">
        <v>51</v>
      </c>
      <c r="F131" s="6" t="s">
        <v>51</v>
      </c>
      <c r="G131" s="6" t="s">
        <v>51</v>
      </c>
      <c r="H131" s="6" t="s">
        <v>51</v>
      </c>
      <c r="I131" s="6" t="s">
        <v>51</v>
      </c>
      <c r="J131" s="6" t="s">
        <v>51</v>
      </c>
      <c r="K131" s="6" t="s">
        <v>51</v>
      </c>
      <c r="L131" s="6" t="s">
        <v>51</v>
      </c>
      <c r="M131" s="6" t="s">
        <v>51</v>
      </c>
      <c r="N131" s="6" t="s">
        <v>51</v>
      </c>
      <c r="O131" s="6" t="s">
        <v>51</v>
      </c>
      <c r="P131" s="6" t="s">
        <v>51</v>
      </c>
      <c r="Q131" s="6" t="s">
        <v>51</v>
      </c>
      <c r="R131" s="6" t="s">
        <v>51</v>
      </c>
      <c r="S131" s="6" t="s">
        <v>51</v>
      </c>
      <c r="T131" s="6" t="s">
        <v>51</v>
      </c>
    </row>
    <row r="132" spans="1:20" ht="15.75" thickBot="1" x14ac:dyDescent="0.3">
      <c r="A132" t="s">
        <v>48</v>
      </c>
      <c r="B132" s="1" t="s">
        <v>51</v>
      </c>
      <c r="C132" s="1" t="s">
        <v>51</v>
      </c>
      <c r="D132" s="1">
        <v>49</v>
      </c>
      <c r="E132" s="1" t="s">
        <v>51</v>
      </c>
      <c r="F132" s="1" t="s">
        <v>51</v>
      </c>
      <c r="G132" s="1" t="s">
        <v>51</v>
      </c>
      <c r="H132" s="1" t="s">
        <v>51</v>
      </c>
      <c r="I132" s="4">
        <v>37.5</v>
      </c>
      <c r="J132" s="1" t="s">
        <v>51</v>
      </c>
      <c r="K132" s="1" t="s">
        <v>51</v>
      </c>
      <c r="L132" s="1" t="s">
        <v>51</v>
      </c>
      <c r="M132" s="1" t="s">
        <v>51</v>
      </c>
      <c r="N132" s="1" t="s">
        <v>51</v>
      </c>
      <c r="O132" s="1">
        <v>37.5</v>
      </c>
      <c r="P132" s="1" t="s">
        <v>51</v>
      </c>
      <c r="Q132" s="1">
        <v>63.5</v>
      </c>
      <c r="R132" s="1" t="s">
        <v>51</v>
      </c>
      <c r="S132" s="1">
        <v>63.5</v>
      </c>
      <c r="T132">
        <f t="shared" si="32"/>
        <v>5</v>
      </c>
    </row>
    <row r="133" spans="1:20" ht="15.75" thickBot="1" x14ac:dyDescent="0.3">
      <c r="A133" t="s">
        <v>50</v>
      </c>
      <c r="B133" s="1">
        <v>32.5</v>
      </c>
      <c r="C133" s="1" t="s">
        <v>51</v>
      </c>
      <c r="D133" s="1">
        <v>68</v>
      </c>
      <c r="E133" s="1">
        <v>51</v>
      </c>
      <c r="F133" s="1" t="s">
        <v>51</v>
      </c>
      <c r="G133" s="1" t="s">
        <v>51</v>
      </c>
      <c r="H133" s="1" t="s">
        <v>51</v>
      </c>
      <c r="I133" s="1" t="s">
        <v>51</v>
      </c>
      <c r="J133" s="1">
        <v>90</v>
      </c>
      <c r="K133" s="1" t="s">
        <v>51</v>
      </c>
      <c r="L133" s="1" t="s">
        <v>51</v>
      </c>
      <c r="M133" s="1" t="s">
        <v>51</v>
      </c>
      <c r="N133" s="1" t="s">
        <v>51</v>
      </c>
      <c r="O133" s="1" t="s">
        <v>51</v>
      </c>
      <c r="P133" s="4">
        <v>32.5</v>
      </c>
      <c r="Q133" s="1" t="s">
        <v>51</v>
      </c>
      <c r="R133" s="1" t="s">
        <v>51</v>
      </c>
      <c r="S133" s="1" t="s">
        <v>51</v>
      </c>
      <c r="T133">
        <f t="shared" si="32"/>
        <v>5</v>
      </c>
    </row>
    <row r="134" spans="1:20" ht="15.75" thickBot="1" x14ac:dyDescent="0.3">
      <c r="A134" t="s">
        <v>29</v>
      </c>
      <c r="B134" s="1" t="s">
        <v>51</v>
      </c>
      <c r="C134" s="1">
        <v>83.5</v>
      </c>
      <c r="D134" s="1" t="s">
        <v>51</v>
      </c>
      <c r="E134" s="1">
        <v>6.5</v>
      </c>
      <c r="F134" s="1" t="s">
        <v>51</v>
      </c>
      <c r="G134" s="1" t="s">
        <v>51</v>
      </c>
      <c r="H134" s="1" t="s">
        <v>51</v>
      </c>
      <c r="I134" s="1" t="s">
        <v>51</v>
      </c>
      <c r="J134" s="1" t="s">
        <v>51</v>
      </c>
      <c r="K134" s="1" t="s">
        <v>51</v>
      </c>
      <c r="L134" s="1" t="s">
        <v>51</v>
      </c>
      <c r="M134" s="4">
        <v>14</v>
      </c>
      <c r="N134" s="1" t="s">
        <v>51</v>
      </c>
      <c r="O134" s="1">
        <v>71.5</v>
      </c>
      <c r="P134" s="1" t="s">
        <v>51</v>
      </c>
      <c r="Q134" s="1">
        <v>68</v>
      </c>
      <c r="R134" s="1" t="s">
        <v>51</v>
      </c>
      <c r="S134" s="1">
        <v>83.5</v>
      </c>
      <c r="T134">
        <f t="shared" si="32"/>
        <v>6</v>
      </c>
    </row>
    <row r="135" spans="1:20" s="2" customFormat="1" ht="15.75" thickBot="1" x14ac:dyDescent="0.3">
      <c r="A135" t="s">
        <v>36</v>
      </c>
      <c r="B135" s="1" t="s">
        <v>51</v>
      </c>
      <c r="C135" s="1">
        <v>87</v>
      </c>
      <c r="D135" s="1" t="s">
        <v>51</v>
      </c>
      <c r="E135" s="4">
        <v>43</v>
      </c>
      <c r="F135" s="1" t="s">
        <v>51</v>
      </c>
      <c r="G135" s="1" t="s">
        <v>51</v>
      </c>
      <c r="H135" s="1">
        <v>95</v>
      </c>
      <c r="I135" s="1" t="s">
        <v>51</v>
      </c>
      <c r="J135" s="1">
        <v>21</v>
      </c>
      <c r="K135" s="1" t="s">
        <v>51</v>
      </c>
      <c r="L135" s="1">
        <v>95</v>
      </c>
      <c r="M135" s="1" t="s">
        <v>51</v>
      </c>
      <c r="N135" s="1">
        <v>87</v>
      </c>
      <c r="O135" s="1" t="s">
        <v>51</v>
      </c>
      <c r="P135" s="1" t="s">
        <v>51</v>
      </c>
      <c r="Q135" s="1" t="s">
        <v>51</v>
      </c>
      <c r="R135" s="1" t="s">
        <v>51</v>
      </c>
      <c r="S135" s="1" t="s">
        <v>51</v>
      </c>
      <c r="T135">
        <f t="shared" si="32"/>
        <v>6</v>
      </c>
    </row>
    <row r="136" spans="1:20" s="2" customFormat="1" ht="15.75" thickBot="1" x14ac:dyDescent="0.3">
      <c r="A136" t="s">
        <v>46</v>
      </c>
      <c r="B136" s="1" t="s">
        <v>51</v>
      </c>
      <c r="C136" s="4">
        <v>31</v>
      </c>
      <c r="D136" s="1" t="s">
        <v>51</v>
      </c>
      <c r="E136" s="1" t="s">
        <v>51</v>
      </c>
      <c r="F136" s="1" t="s">
        <v>51</v>
      </c>
      <c r="G136" s="1" t="s">
        <v>51</v>
      </c>
      <c r="H136" s="1">
        <v>95</v>
      </c>
      <c r="I136" s="1" t="s">
        <v>51</v>
      </c>
      <c r="J136" s="1">
        <v>61</v>
      </c>
      <c r="K136" s="1" t="s">
        <v>51</v>
      </c>
      <c r="L136" s="1" t="s">
        <v>51</v>
      </c>
      <c r="M136" s="1">
        <v>55</v>
      </c>
      <c r="N136" s="1">
        <v>39</v>
      </c>
      <c r="O136" s="1" t="s">
        <v>51</v>
      </c>
      <c r="P136" s="1">
        <v>36</v>
      </c>
      <c r="Q136" s="1" t="s">
        <v>51</v>
      </c>
      <c r="R136" s="1" t="s">
        <v>51</v>
      </c>
      <c r="S136" s="1" t="s">
        <v>51</v>
      </c>
      <c r="T136">
        <f t="shared" si="32"/>
        <v>6</v>
      </c>
    </row>
    <row r="137" spans="1:20" ht="15.75" thickBot="1" x14ac:dyDescent="0.3">
      <c r="A137" t="s">
        <v>34</v>
      </c>
      <c r="B137" s="1" t="s">
        <v>51</v>
      </c>
      <c r="C137" s="1" t="s">
        <v>51</v>
      </c>
      <c r="D137" s="1">
        <v>11</v>
      </c>
      <c r="E137" s="1" t="s">
        <v>51</v>
      </c>
      <c r="F137" s="1">
        <v>28</v>
      </c>
      <c r="G137" s="1" t="s">
        <v>51</v>
      </c>
      <c r="H137" s="1">
        <v>21</v>
      </c>
      <c r="I137" s="1" t="s">
        <v>51</v>
      </c>
      <c r="J137" s="1" t="s">
        <v>51</v>
      </c>
      <c r="K137" s="1" t="s">
        <v>51</v>
      </c>
      <c r="L137" s="1" t="s">
        <v>51</v>
      </c>
      <c r="M137" s="1">
        <v>28</v>
      </c>
      <c r="N137" s="1">
        <v>55</v>
      </c>
      <c r="O137" s="1">
        <v>80.5</v>
      </c>
      <c r="P137" s="1" t="s">
        <v>51</v>
      </c>
      <c r="Q137" s="4">
        <v>1</v>
      </c>
      <c r="R137" s="1" t="s">
        <v>51</v>
      </c>
      <c r="S137" s="1">
        <v>21</v>
      </c>
      <c r="T137">
        <f t="shared" si="32"/>
        <v>8</v>
      </c>
    </row>
    <row r="138" spans="1:20" s="2" customFormat="1" ht="15.75" thickBot="1" x14ac:dyDescent="0.3">
      <c r="A138" t="s">
        <v>44</v>
      </c>
      <c r="B138" s="1">
        <v>55</v>
      </c>
      <c r="C138" s="1" t="s">
        <v>51</v>
      </c>
      <c r="D138" s="1" t="s">
        <v>51</v>
      </c>
      <c r="E138" s="1">
        <v>80.5</v>
      </c>
      <c r="F138" s="1" t="s">
        <v>51</v>
      </c>
      <c r="G138" s="4">
        <v>11</v>
      </c>
      <c r="H138" s="1">
        <v>77.5</v>
      </c>
      <c r="I138" s="1">
        <v>11</v>
      </c>
      <c r="J138" s="1" t="s">
        <v>51</v>
      </c>
      <c r="K138" s="1" t="s">
        <v>51</v>
      </c>
      <c r="L138" s="1" t="s">
        <v>51</v>
      </c>
      <c r="M138" s="1">
        <v>55</v>
      </c>
      <c r="N138" s="1">
        <v>65</v>
      </c>
      <c r="O138" s="1" t="s">
        <v>51</v>
      </c>
      <c r="P138" s="1">
        <v>21</v>
      </c>
      <c r="Q138" s="1" t="s">
        <v>51</v>
      </c>
      <c r="R138" s="1" t="s">
        <v>51</v>
      </c>
      <c r="S138" s="1" t="s">
        <v>51</v>
      </c>
      <c r="T138">
        <f t="shared" si="32"/>
        <v>8</v>
      </c>
    </row>
    <row r="139" spans="1:20" ht="15.75" thickBot="1" x14ac:dyDescent="0.3">
      <c r="A139" t="s">
        <v>21</v>
      </c>
      <c r="B139" s="1" t="s">
        <v>51</v>
      </c>
      <c r="C139" s="1">
        <v>3.5</v>
      </c>
      <c r="D139" s="1" t="s">
        <v>51</v>
      </c>
      <c r="E139" s="1" t="s">
        <v>51</v>
      </c>
      <c r="F139" s="1">
        <v>90</v>
      </c>
      <c r="G139" s="1" t="s">
        <v>51</v>
      </c>
      <c r="H139" s="1" t="s">
        <v>51</v>
      </c>
      <c r="I139" s="1">
        <v>73</v>
      </c>
      <c r="J139" s="1">
        <v>45</v>
      </c>
      <c r="K139" s="1">
        <v>83.5</v>
      </c>
      <c r="L139" s="1">
        <v>3.5</v>
      </c>
      <c r="M139" s="1">
        <v>5</v>
      </c>
      <c r="N139" s="1" t="s">
        <v>51</v>
      </c>
      <c r="O139" s="4">
        <v>59</v>
      </c>
      <c r="P139" s="1" t="s">
        <v>51</v>
      </c>
      <c r="Q139" s="1">
        <v>15</v>
      </c>
      <c r="R139" s="1" t="s">
        <v>51</v>
      </c>
      <c r="S139" s="1">
        <v>59</v>
      </c>
      <c r="T139">
        <f t="shared" si="32"/>
        <v>10</v>
      </c>
    </row>
    <row r="140" spans="1:20" s="2" customFormat="1" ht="15.75" thickBot="1" x14ac:dyDescent="0.3">
      <c r="A140" t="s">
        <v>22</v>
      </c>
      <c r="B140" s="1" t="s">
        <v>51</v>
      </c>
      <c r="C140" s="1">
        <v>8.5</v>
      </c>
      <c r="D140" s="1">
        <v>51</v>
      </c>
      <c r="E140" s="1">
        <v>2</v>
      </c>
      <c r="F140" s="1">
        <v>25</v>
      </c>
      <c r="G140" s="1">
        <v>17</v>
      </c>
      <c r="H140" s="1" t="s">
        <v>51</v>
      </c>
      <c r="I140" s="1">
        <v>13</v>
      </c>
      <c r="J140" s="1" t="s">
        <v>51</v>
      </c>
      <c r="K140" s="4">
        <v>51</v>
      </c>
      <c r="L140" s="1" t="s">
        <v>51</v>
      </c>
      <c r="M140" s="1" t="s">
        <v>51</v>
      </c>
      <c r="N140" s="1">
        <v>68</v>
      </c>
      <c r="O140" s="1" t="s">
        <v>51</v>
      </c>
      <c r="P140" s="1">
        <v>25</v>
      </c>
      <c r="Q140" s="1">
        <v>6.5</v>
      </c>
      <c r="R140" s="1" t="s">
        <v>51</v>
      </c>
      <c r="S140" s="1">
        <v>8.5</v>
      </c>
      <c r="T140">
        <f t="shared" si="32"/>
        <v>11</v>
      </c>
    </row>
    <row r="141" spans="1:20" s="3" customFormat="1" x14ac:dyDescent="0.25"/>
    <row r="143" spans="1:20" x14ac:dyDescent="0.25">
      <c r="B143" t="s">
        <v>52</v>
      </c>
      <c r="C143" t="s">
        <v>52</v>
      </c>
      <c r="D143" t="s">
        <v>52</v>
      </c>
      <c r="E143" t="s">
        <v>52</v>
      </c>
      <c r="F143" t="s">
        <v>52</v>
      </c>
      <c r="G143" t="s">
        <v>52</v>
      </c>
      <c r="H143" t="s">
        <v>52</v>
      </c>
      <c r="J143" t="s">
        <v>52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52</v>
      </c>
      <c r="Q143" t="s">
        <v>52</v>
      </c>
      <c r="R143" t="s">
        <v>52</v>
      </c>
      <c r="S143" t="s">
        <v>52</v>
      </c>
    </row>
    <row r="144" spans="1:20" x14ac:dyDescent="0.25">
      <c r="B144">
        <v>34</v>
      </c>
      <c r="C144">
        <v>31</v>
      </c>
      <c r="D144">
        <v>21</v>
      </c>
      <c r="E144">
        <v>43</v>
      </c>
      <c r="F144">
        <v>48</v>
      </c>
      <c r="G144">
        <v>11</v>
      </c>
      <c r="H144">
        <v>46</v>
      </c>
      <c r="I144">
        <v>38</v>
      </c>
      <c r="J144">
        <v>28</v>
      </c>
      <c r="K144">
        <v>51</v>
      </c>
      <c r="L144">
        <v>43</v>
      </c>
      <c r="M144">
        <v>14</v>
      </c>
      <c r="N144">
        <v>75</v>
      </c>
      <c r="O144">
        <v>59</v>
      </c>
      <c r="P144">
        <v>33</v>
      </c>
      <c r="Q144">
        <v>1</v>
      </c>
      <c r="R144">
        <v>68</v>
      </c>
      <c r="S144">
        <v>17</v>
      </c>
    </row>
  </sheetData>
  <autoFilter ref="A108:T140" xr:uid="{05B25D2F-AF01-4CC9-8B01-8FAF624F9E46}">
    <sortState xmlns:xlrd2="http://schemas.microsoft.com/office/spreadsheetml/2017/richdata2" ref="A109:T140">
      <sortCondition ref="T108"/>
    </sortState>
  </autoFilter>
  <conditionalFormatting sqref="B2:S2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S3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S4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S5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S6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S7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S8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S9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S10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S11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S12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S13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S14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S15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S16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S17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S1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S19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S20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S21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S22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S23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S2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S25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S26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S27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S2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9:S29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S30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S31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2:S32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3:S33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8:S69">
    <cfRule type="colorScale" priority="4">
      <colorScale>
        <cfvo type="min"/>
        <cfvo type="max"/>
        <color rgb="FFFCFCFF"/>
        <color rgb="FF63BE7B"/>
      </colorScale>
    </cfRule>
  </conditionalFormatting>
  <conditionalFormatting sqref="B73:S10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09:S126 B131:T131 B128:S140 B127:T1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254B-1DB6-41CD-B7A1-887B0C11B426}">
  <dimension ref="A1:W141"/>
  <sheetViews>
    <sheetView topLeftCell="A111" workbookViewId="0">
      <selection activeCell="S141" sqref="C141:S141"/>
    </sheetView>
  </sheetViews>
  <sheetFormatPr defaultRowHeight="15" x14ac:dyDescent="0.25"/>
  <cols>
    <col min="1" max="1" width="24.28515625" bestFit="1" customWidth="1"/>
    <col min="2" max="10" width="9.42578125" bestFit="1" customWidth="1"/>
    <col min="11" max="17" width="10.42578125" bestFit="1" customWidth="1"/>
    <col min="18" max="18" width="8.140625" bestFit="1" customWidth="1"/>
    <col min="19" max="19" width="10.42578125" bestFit="1" customWidth="1"/>
    <col min="20" max="20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4.9000000000000004</v>
      </c>
      <c r="C2">
        <v>4.8</v>
      </c>
      <c r="D2">
        <v>-2.9</v>
      </c>
      <c r="E2">
        <v>1.6</v>
      </c>
      <c r="F2">
        <v>5.8</v>
      </c>
      <c r="G2">
        <v>-1.1000000000000001</v>
      </c>
      <c r="H2">
        <v>-5.5</v>
      </c>
      <c r="J2">
        <v>-1.2</v>
      </c>
      <c r="K2">
        <v>1.6</v>
      </c>
      <c r="L2">
        <v>-2.9</v>
      </c>
      <c r="M2">
        <v>0.2</v>
      </c>
      <c r="N2">
        <v>-2.2000000000000002</v>
      </c>
      <c r="O2">
        <v>-2.5</v>
      </c>
      <c r="P2">
        <v>-0.6</v>
      </c>
      <c r="Q2">
        <v>2.2000000000000002</v>
      </c>
      <c r="R2">
        <v>-2.2000000000000002</v>
      </c>
      <c r="S2">
        <v>-2.5</v>
      </c>
    </row>
    <row r="3" spans="1:19" x14ac:dyDescent="0.25">
      <c r="A3" t="s">
        <v>20</v>
      </c>
      <c r="B3">
        <v>-4.4000000000000004</v>
      </c>
      <c r="C3">
        <v>-4.2</v>
      </c>
      <c r="D3">
        <v>2.6</v>
      </c>
      <c r="E3">
        <v>-5.6</v>
      </c>
      <c r="G3">
        <v>-7.2</v>
      </c>
      <c r="H3">
        <v>-5.0999999999999996</v>
      </c>
      <c r="I3">
        <v>0.9</v>
      </c>
      <c r="J3">
        <v>0.4</v>
      </c>
      <c r="K3">
        <v>-3.3</v>
      </c>
      <c r="L3">
        <v>2.6</v>
      </c>
      <c r="M3">
        <v>2.7</v>
      </c>
      <c r="N3">
        <v>0.2</v>
      </c>
      <c r="O3">
        <v>-0.6</v>
      </c>
      <c r="P3">
        <v>-4.4000000000000004</v>
      </c>
      <c r="Q3">
        <v>-2.2000000000000002</v>
      </c>
      <c r="R3">
        <v>-4.7</v>
      </c>
      <c r="S3">
        <v>2.7</v>
      </c>
    </row>
    <row r="4" spans="1:19" x14ac:dyDescent="0.25">
      <c r="A4" t="s">
        <v>21</v>
      </c>
      <c r="B4">
        <v>3</v>
      </c>
      <c r="C4">
        <v>11.6</v>
      </c>
      <c r="D4">
        <v>4.5</v>
      </c>
      <c r="E4">
        <v>2.7</v>
      </c>
      <c r="F4">
        <v>7.4</v>
      </c>
      <c r="G4">
        <v>5.5</v>
      </c>
      <c r="I4">
        <v>7.5</v>
      </c>
      <c r="J4">
        <v>11.1</v>
      </c>
      <c r="K4">
        <v>6</v>
      </c>
      <c r="L4">
        <v>11.6</v>
      </c>
      <c r="M4">
        <v>10.4</v>
      </c>
      <c r="N4">
        <v>5.8</v>
      </c>
      <c r="O4">
        <v>6.8</v>
      </c>
      <c r="P4">
        <v>5.8</v>
      </c>
      <c r="Q4">
        <v>10.6</v>
      </c>
      <c r="R4">
        <v>2.5</v>
      </c>
      <c r="S4">
        <v>6.8</v>
      </c>
    </row>
    <row r="5" spans="1:19" x14ac:dyDescent="0.25">
      <c r="A5" t="s">
        <v>22</v>
      </c>
      <c r="B5">
        <v>-3</v>
      </c>
      <c r="C5">
        <v>7.4</v>
      </c>
      <c r="D5">
        <v>8.1</v>
      </c>
      <c r="E5">
        <v>9.9</v>
      </c>
      <c r="F5">
        <v>7.6</v>
      </c>
      <c r="G5">
        <v>7.2</v>
      </c>
      <c r="I5">
        <v>9.8000000000000007</v>
      </c>
      <c r="J5">
        <v>-0.3</v>
      </c>
      <c r="K5">
        <v>8.1</v>
      </c>
      <c r="L5">
        <v>2.8</v>
      </c>
      <c r="M5">
        <v>4.4000000000000004</v>
      </c>
      <c r="N5">
        <v>3.8</v>
      </c>
      <c r="O5">
        <v>2.8</v>
      </c>
      <c r="P5">
        <v>7.6</v>
      </c>
      <c r="Q5">
        <v>8.6</v>
      </c>
      <c r="R5">
        <v>-0.9</v>
      </c>
      <c r="S5">
        <v>7.4</v>
      </c>
    </row>
    <row r="6" spans="1:19" x14ac:dyDescent="0.25">
      <c r="A6" t="s">
        <v>23</v>
      </c>
      <c r="B6">
        <v>-4.5999999999999996</v>
      </c>
      <c r="C6">
        <v>-4.8</v>
      </c>
      <c r="D6">
        <v>-2.6</v>
      </c>
      <c r="E6">
        <v>-2.2000000000000002</v>
      </c>
      <c r="F6">
        <v>-1.7</v>
      </c>
      <c r="G6">
        <v>-6</v>
      </c>
      <c r="H6">
        <v>-2.4</v>
      </c>
      <c r="I6">
        <v>-9.8000000000000007</v>
      </c>
      <c r="J6">
        <v>-10.3</v>
      </c>
      <c r="K6">
        <v>0.1</v>
      </c>
      <c r="L6">
        <v>-2.6</v>
      </c>
      <c r="M6">
        <v>-7.7</v>
      </c>
      <c r="N6">
        <v>-7.3</v>
      </c>
      <c r="P6">
        <v>0.1</v>
      </c>
      <c r="Q6">
        <v>-7</v>
      </c>
      <c r="R6">
        <v>-3.2</v>
      </c>
      <c r="S6">
        <v>-7</v>
      </c>
    </row>
    <row r="7" spans="1:19" x14ac:dyDescent="0.25">
      <c r="A7" t="s">
        <v>24</v>
      </c>
      <c r="B7">
        <v>-1.5</v>
      </c>
      <c r="C7">
        <v>-3</v>
      </c>
      <c r="D7">
        <v>-0.7</v>
      </c>
      <c r="E7">
        <v>1.4</v>
      </c>
      <c r="G7">
        <v>-2.9</v>
      </c>
      <c r="H7">
        <v>5.4</v>
      </c>
      <c r="I7">
        <v>-7.5</v>
      </c>
      <c r="J7">
        <v>-1.7</v>
      </c>
      <c r="K7">
        <v>4.2</v>
      </c>
      <c r="L7">
        <v>-1.5</v>
      </c>
      <c r="M7">
        <v>-0.7</v>
      </c>
      <c r="N7">
        <v>-5.4</v>
      </c>
      <c r="O7">
        <v>-5</v>
      </c>
      <c r="P7">
        <v>4.0999999999999996</v>
      </c>
      <c r="Q7">
        <v>-5</v>
      </c>
      <c r="R7">
        <v>-2.4</v>
      </c>
      <c r="S7">
        <v>-3</v>
      </c>
    </row>
    <row r="8" spans="1:19" x14ac:dyDescent="0.25">
      <c r="A8" t="s">
        <v>25</v>
      </c>
      <c r="B8">
        <v>5.8</v>
      </c>
      <c r="C8">
        <v>2.4</v>
      </c>
      <c r="D8">
        <v>0.2</v>
      </c>
      <c r="E8">
        <v>0.6</v>
      </c>
      <c r="F8">
        <v>-1.3</v>
      </c>
      <c r="G8">
        <v>-3.3</v>
      </c>
      <c r="H8">
        <v>1</v>
      </c>
      <c r="I8">
        <v>4.5999999999999996</v>
      </c>
      <c r="J8">
        <v>1.7</v>
      </c>
      <c r="L8">
        <v>1</v>
      </c>
      <c r="M8">
        <v>4.8</v>
      </c>
      <c r="N8">
        <v>-5.8</v>
      </c>
      <c r="O8">
        <v>-2.8</v>
      </c>
      <c r="P8">
        <v>-5.8</v>
      </c>
      <c r="Q8">
        <v>5.3</v>
      </c>
      <c r="R8">
        <v>2.2000000000000002</v>
      </c>
      <c r="S8">
        <v>5.8</v>
      </c>
    </row>
    <row r="9" spans="1:19" x14ac:dyDescent="0.25">
      <c r="A9" t="s">
        <v>26</v>
      </c>
      <c r="B9">
        <v>-5.8</v>
      </c>
      <c r="C9">
        <v>-11.6</v>
      </c>
      <c r="D9">
        <v>-9.1</v>
      </c>
      <c r="E9">
        <v>-7.1</v>
      </c>
      <c r="F9">
        <v>-5.6</v>
      </c>
      <c r="G9">
        <v>-4.8</v>
      </c>
      <c r="H9">
        <v>-0.5</v>
      </c>
      <c r="I9">
        <v>-1</v>
      </c>
      <c r="K9">
        <v>-1.2</v>
      </c>
      <c r="L9">
        <v>-11.6</v>
      </c>
      <c r="M9">
        <v>-2.7</v>
      </c>
      <c r="N9">
        <v>-6.5</v>
      </c>
      <c r="O9">
        <v>2.2000000000000002</v>
      </c>
      <c r="P9">
        <v>-4.0999999999999996</v>
      </c>
      <c r="Q9">
        <v>-8.6</v>
      </c>
      <c r="R9">
        <v>-4.8</v>
      </c>
      <c r="S9">
        <v>-5.8</v>
      </c>
    </row>
    <row r="10" spans="1:19" x14ac:dyDescent="0.25">
      <c r="A10" t="s">
        <v>27</v>
      </c>
      <c r="B10">
        <v>-4.7</v>
      </c>
      <c r="C10">
        <v>4.9000000000000004</v>
      </c>
      <c r="D10">
        <v>0.7</v>
      </c>
      <c r="E10">
        <v>-4.3</v>
      </c>
      <c r="F10">
        <v>3.6</v>
      </c>
      <c r="G10">
        <v>6</v>
      </c>
      <c r="H10">
        <v>-2.2000000000000002</v>
      </c>
      <c r="I10">
        <v>-0.4</v>
      </c>
      <c r="J10">
        <v>1.2</v>
      </c>
      <c r="L10">
        <v>2.1</v>
      </c>
      <c r="M10">
        <v>-4.7</v>
      </c>
      <c r="N10">
        <v>-4.0999999999999996</v>
      </c>
      <c r="O10">
        <v>-2.2999999999999998</v>
      </c>
      <c r="P10">
        <v>-0.8</v>
      </c>
      <c r="Q10">
        <v>-3.3</v>
      </c>
      <c r="R10">
        <v>-2.2000000000000002</v>
      </c>
      <c r="S10">
        <v>4.9000000000000004</v>
      </c>
    </row>
    <row r="11" spans="1:19" x14ac:dyDescent="0.25">
      <c r="A11" t="s">
        <v>28</v>
      </c>
      <c r="B11">
        <v>7.4</v>
      </c>
      <c r="C11">
        <v>0.5</v>
      </c>
      <c r="D11">
        <v>-2.9</v>
      </c>
      <c r="E11">
        <v>-0.6</v>
      </c>
      <c r="F11">
        <v>-4.3</v>
      </c>
      <c r="G11">
        <v>4</v>
      </c>
      <c r="H11">
        <v>5.3</v>
      </c>
      <c r="I11">
        <v>0.4</v>
      </c>
      <c r="J11">
        <v>1</v>
      </c>
      <c r="K11">
        <v>2.5</v>
      </c>
      <c r="L11">
        <v>-3.7</v>
      </c>
      <c r="N11">
        <v>-1.8</v>
      </c>
      <c r="O11">
        <v>2.5</v>
      </c>
      <c r="P11">
        <v>-3.9</v>
      </c>
      <c r="Q11">
        <v>1.8</v>
      </c>
      <c r="R11">
        <v>-3.7</v>
      </c>
      <c r="S11">
        <v>-2.9</v>
      </c>
    </row>
    <row r="12" spans="1:19" x14ac:dyDescent="0.25">
      <c r="A12" t="s">
        <v>29</v>
      </c>
      <c r="B12">
        <v>-2</v>
      </c>
      <c r="C12">
        <v>3</v>
      </c>
      <c r="D12">
        <v>-4.5</v>
      </c>
      <c r="E12">
        <v>7.1</v>
      </c>
      <c r="F12">
        <v>1.3</v>
      </c>
      <c r="G12">
        <v>-1.8</v>
      </c>
      <c r="H12">
        <v>1.3</v>
      </c>
      <c r="J12">
        <v>1.5</v>
      </c>
      <c r="K12">
        <v>0.1</v>
      </c>
      <c r="L12">
        <v>-2.4</v>
      </c>
      <c r="M12">
        <v>7.2</v>
      </c>
      <c r="N12">
        <v>-2</v>
      </c>
      <c r="O12">
        <v>2.2999999999999998</v>
      </c>
      <c r="P12">
        <v>1</v>
      </c>
      <c r="Q12">
        <v>2.2999999999999998</v>
      </c>
      <c r="R12">
        <v>1.5</v>
      </c>
      <c r="S12">
        <v>3</v>
      </c>
    </row>
    <row r="13" spans="1:19" x14ac:dyDescent="0.25">
      <c r="A13" t="s">
        <v>30</v>
      </c>
      <c r="B13">
        <v>2</v>
      </c>
      <c r="C13">
        <v>2.1</v>
      </c>
      <c r="D13">
        <v>9.1</v>
      </c>
      <c r="E13">
        <v>4.3</v>
      </c>
      <c r="G13">
        <v>3.3</v>
      </c>
      <c r="H13">
        <v>5.5</v>
      </c>
      <c r="I13">
        <v>4.3</v>
      </c>
      <c r="J13">
        <v>10.3</v>
      </c>
      <c r="K13">
        <v>-0.4</v>
      </c>
      <c r="L13">
        <v>9.1999999999999993</v>
      </c>
      <c r="M13">
        <v>3.5</v>
      </c>
      <c r="N13">
        <v>2</v>
      </c>
      <c r="O13">
        <v>5</v>
      </c>
      <c r="P13">
        <v>3.9</v>
      </c>
      <c r="Q13">
        <v>5</v>
      </c>
      <c r="R13">
        <v>-2.5</v>
      </c>
      <c r="S13">
        <v>3.5</v>
      </c>
    </row>
    <row r="14" spans="1:19" x14ac:dyDescent="0.25">
      <c r="A14" t="s">
        <v>31</v>
      </c>
      <c r="B14">
        <v>-1.9</v>
      </c>
      <c r="C14">
        <v>-1.6</v>
      </c>
      <c r="D14">
        <v>0.8</v>
      </c>
      <c r="E14">
        <v>6.4</v>
      </c>
      <c r="F14">
        <v>-7.4</v>
      </c>
      <c r="H14">
        <v>2.2000000000000002</v>
      </c>
      <c r="I14">
        <v>-2.2999999999999998</v>
      </c>
      <c r="J14">
        <v>-1</v>
      </c>
      <c r="K14">
        <v>0.8</v>
      </c>
      <c r="L14">
        <v>6.4</v>
      </c>
      <c r="M14">
        <v>-4.4000000000000004</v>
      </c>
      <c r="N14">
        <v>-0.5</v>
      </c>
      <c r="O14">
        <v>-4.7</v>
      </c>
      <c r="P14">
        <v>0.6</v>
      </c>
      <c r="Q14">
        <v>1.5</v>
      </c>
      <c r="R14">
        <v>-3.9</v>
      </c>
      <c r="S14">
        <v>-0.5</v>
      </c>
    </row>
    <row r="15" spans="1:19" x14ac:dyDescent="0.25">
      <c r="A15" t="s">
        <v>32</v>
      </c>
      <c r="B15">
        <v>4.2</v>
      </c>
      <c r="C15">
        <v>-0.5</v>
      </c>
      <c r="D15">
        <v>6.9</v>
      </c>
      <c r="E15">
        <v>-1.4</v>
      </c>
      <c r="F15">
        <v>2</v>
      </c>
      <c r="G15">
        <v>1.1000000000000001</v>
      </c>
      <c r="H15">
        <v>-3.4</v>
      </c>
      <c r="I15">
        <v>6.9</v>
      </c>
      <c r="J15">
        <v>-0.1</v>
      </c>
      <c r="K15">
        <v>3.3</v>
      </c>
      <c r="M15">
        <v>-4.2</v>
      </c>
      <c r="N15">
        <v>0.5</v>
      </c>
      <c r="O15">
        <v>1.3</v>
      </c>
      <c r="P15">
        <v>2.7</v>
      </c>
      <c r="Q15">
        <v>-1.8</v>
      </c>
      <c r="R15">
        <v>1.3</v>
      </c>
      <c r="S15">
        <v>0.5</v>
      </c>
    </row>
    <row r="16" spans="1:19" x14ac:dyDescent="0.25">
      <c r="A16" t="s">
        <v>33</v>
      </c>
      <c r="B16">
        <v>4.5999999999999996</v>
      </c>
      <c r="C16">
        <v>-2.4</v>
      </c>
      <c r="D16">
        <v>-0.8</v>
      </c>
      <c r="E16">
        <v>-3.1</v>
      </c>
      <c r="F16">
        <v>-5.5</v>
      </c>
      <c r="G16">
        <v>1.4</v>
      </c>
      <c r="H16">
        <v>-2.7</v>
      </c>
      <c r="J16">
        <v>0.7</v>
      </c>
      <c r="K16">
        <v>-0.8</v>
      </c>
      <c r="L16">
        <v>-4.7</v>
      </c>
      <c r="M16">
        <v>-0.2</v>
      </c>
      <c r="N16">
        <v>5.6</v>
      </c>
      <c r="O16">
        <v>-1.3</v>
      </c>
      <c r="P16">
        <v>2.2000000000000002</v>
      </c>
      <c r="Q16">
        <v>-1.8</v>
      </c>
      <c r="R16">
        <v>-1.3</v>
      </c>
      <c r="S16">
        <v>5.6</v>
      </c>
    </row>
    <row r="17" spans="1:19" x14ac:dyDescent="0.25">
      <c r="A17" t="s">
        <v>34</v>
      </c>
      <c r="B17">
        <v>0.8</v>
      </c>
      <c r="C17">
        <v>-0.6</v>
      </c>
      <c r="D17">
        <v>9</v>
      </c>
      <c r="E17">
        <v>-2.7</v>
      </c>
      <c r="F17">
        <v>5.5</v>
      </c>
      <c r="G17">
        <v>1.8</v>
      </c>
      <c r="H17">
        <v>6.2</v>
      </c>
      <c r="I17">
        <v>1.9</v>
      </c>
      <c r="J17">
        <v>0.3</v>
      </c>
      <c r="L17">
        <v>3.7</v>
      </c>
      <c r="M17">
        <v>4.2</v>
      </c>
      <c r="N17">
        <v>4.0999999999999996</v>
      </c>
      <c r="O17">
        <v>4.7</v>
      </c>
      <c r="P17">
        <v>0.8</v>
      </c>
      <c r="Q17">
        <v>11.1</v>
      </c>
      <c r="R17">
        <v>3.7</v>
      </c>
      <c r="S17">
        <v>6.2</v>
      </c>
    </row>
    <row r="18" spans="1:19" x14ac:dyDescent="0.25">
      <c r="A18" t="s">
        <v>35</v>
      </c>
      <c r="B18">
        <v>1.7</v>
      </c>
      <c r="C18">
        <v>-5.4</v>
      </c>
      <c r="D18">
        <v>-4.3</v>
      </c>
      <c r="E18">
        <v>-1.4</v>
      </c>
      <c r="F18">
        <v>-2</v>
      </c>
      <c r="G18">
        <v>4.9000000000000004</v>
      </c>
      <c r="H18">
        <v>-6.2</v>
      </c>
      <c r="J18">
        <v>-0.7</v>
      </c>
      <c r="K18">
        <v>-2.5</v>
      </c>
      <c r="L18">
        <v>-2.1</v>
      </c>
      <c r="M18">
        <v>2.7</v>
      </c>
      <c r="N18">
        <v>-5.4</v>
      </c>
      <c r="O18">
        <v>-2.5</v>
      </c>
      <c r="P18">
        <v>-6.8</v>
      </c>
      <c r="Q18">
        <v>-1.5</v>
      </c>
      <c r="R18">
        <v>2.8</v>
      </c>
      <c r="S18">
        <v>-6.2</v>
      </c>
    </row>
    <row r="19" spans="1:19" x14ac:dyDescent="0.25">
      <c r="A19" t="s">
        <v>36</v>
      </c>
      <c r="B19">
        <v>-0.8</v>
      </c>
      <c r="C19">
        <v>5.4</v>
      </c>
      <c r="D19">
        <v>2.9</v>
      </c>
      <c r="E19">
        <v>8.1999999999999993</v>
      </c>
      <c r="F19">
        <v>1.1000000000000001</v>
      </c>
      <c r="G19">
        <v>7.6</v>
      </c>
      <c r="H19">
        <v>3.4</v>
      </c>
      <c r="I19">
        <v>2.5</v>
      </c>
      <c r="J19">
        <v>10.3</v>
      </c>
      <c r="K19">
        <v>3.3</v>
      </c>
      <c r="L19">
        <v>4.7</v>
      </c>
      <c r="N19">
        <v>5.4</v>
      </c>
      <c r="O19">
        <v>-1.4</v>
      </c>
      <c r="P19">
        <v>-0.8</v>
      </c>
      <c r="Q19">
        <v>3.3</v>
      </c>
      <c r="R19">
        <v>3.9</v>
      </c>
      <c r="S19">
        <v>2.9</v>
      </c>
    </row>
    <row r="20" spans="1:19" x14ac:dyDescent="0.25">
      <c r="A20" t="s">
        <v>37</v>
      </c>
      <c r="B20">
        <v>1.9</v>
      </c>
      <c r="C20">
        <v>8.3000000000000007</v>
      </c>
      <c r="D20">
        <v>-3.4</v>
      </c>
      <c r="E20">
        <v>1.4</v>
      </c>
      <c r="F20">
        <v>-0.4</v>
      </c>
      <c r="G20">
        <v>-5.5</v>
      </c>
      <c r="H20">
        <v>2.7</v>
      </c>
      <c r="J20">
        <v>7.4</v>
      </c>
      <c r="K20">
        <v>-0.4</v>
      </c>
      <c r="L20">
        <v>4.0999999999999996</v>
      </c>
      <c r="M20">
        <v>0.3</v>
      </c>
      <c r="N20">
        <v>7.3</v>
      </c>
      <c r="O20">
        <v>2.5</v>
      </c>
      <c r="P20">
        <v>-1</v>
      </c>
      <c r="Q20">
        <v>4.0999999999999996</v>
      </c>
      <c r="R20">
        <v>4.7</v>
      </c>
      <c r="S20">
        <v>2.5</v>
      </c>
    </row>
    <row r="21" spans="1:19" x14ac:dyDescent="0.25">
      <c r="A21" t="s">
        <v>38</v>
      </c>
      <c r="B21">
        <v>-4.2</v>
      </c>
      <c r="C21">
        <v>-0.5</v>
      </c>
      <c r="D21">
        <v>-8.1</v>
      </c>
      <c r="E21">
        <v>-0.7</v>
      </c>
      <c r="F21">
        <v>1.7</v>
      </c>
      <c r="G21">
        <v>-7.6</v>
      </c>
      <c r="H21">
        <v>0.5</v>
      </c>
      <c r="I21">
        <v>-0.9</v>
      </c>
      <c r="J21">
        <v>-11.1</v>
      </c>
      <c r="K21">
        <v>-8.1</v>
      </c>
      <c r="L21">
        <v>-6.5</v>
      </c>
      <c r="N21">
        <v>1.8</v>
      </c>
      <c r="O21">
        <v>-0.7</v>
      </c>
      <c r="P21">
        <v>-4.3</v>
      </c>
      <c r="Q21">
        <v>-5.3</v>
      </c>
      <c r="R21">
        <v>-5.3</v>
      </c>
      <c r="S21">
        <v>-0.5</v>
      </c>
    </row>
    <row r="22" spans="1:19" x14ac:dyDescent="0.25">
      <c r="A22" t="s">
        <v>39</v>
      </c>
      <c r="B22">
        <v>1.5</v>
      </c>
      <c r="C22">
        <v>4.2</v>
      </c>
      <c r="D22">
        <v>-0.2</v>
      </c>
      <c r="E22">
        <v>0.8</v>
      </c>
      <c r="F22">
        <v>5.6</v>
      </c>
      <c r="H22">
        <v>-3.9</v>
      </c>
      <c r="I22">
        <v>-2.5</v>
      </c>
      <c r="J22">
        <v>-1.5</v>
      </c>
      <c r="K22">
        <v>-6</v>
      </c>
      <c r="L22">
        <v>1.5</v>
      </c>
      <c r="M22">
        <v>-3.5</v>
      </c>
      <c r="N22">
        <v>3.6</v>
      </c>
      <c r="O22">
        <v>-1.4</v>
      </c>
      <c r="P22">
        <v>0.8</v>
      </c>
      <c r="Q22">
        <v>5.7</v>
      </c>
      <c r="R22">
        <v>-1.5</v>
      </c>
      <c r="S22">
        <v>-3.5</v>
      </c>
    </row>
    <row r="23" spans="1:19" x14ac:dyDescent="0.25">
      <c r="A23" t="s">
        <v>40</v>
      </c>
      <c r="B23">
        <v>-1.7</v>
      </c>
      <c r="C23">
        <v>0.5</v>
      </c>
      <c r="D23">
        <v>-3.8</v>
      </c>
      <c r="E23">
        <v>2.2000000000000002</v>
      </c>
      <c r="F23">
        <v>-7.6</v>
      </c>
      <c r="G23">
        <v>2.2999999999999998</v>
      </c>
      <c r="H23">
        <v>3.2</v>
      </c>
      <c r="I23">
        <v>1</v>
      </c>
      <c r="J23">
        <v>-0.4</v>
      </c>
      <c r="K23">
        <v>-4.8</v>
      </c>
      <c r="L23">
        <v>-0.2</v>
      </c>
      <c r="M23">
        <v>-4.8</v>
      </c>
      <c r="N23">
        <v>1.1000000000000001</v>
      </c>
      <c r="P23">
        <v>-7.6</v>
      </c>
      <c r="Q23">
        <v>-10.6</v>
      </c>
      <c r="R23">
        <v>-0.2</v>
      </c>
      <c r="S23">
        <v>0.5</v>
      </c>
    </row>
    <row r="24" spans="1:19" x14ac:dyDescent="0.25">
      <c r="A24" t="s">
        <v>41</v>
      </c>
      <c r="B24">
        <v>-4.9000000000000004</v>
      </c>
      <c r="C24">
        <v>-7.8</v>
      </c>
      <c r="D24">
        <v>-3.3</v>
      </c>
      <c r="E24">
        <v>-9.9</v>
      </c>
      <c r="F24">
        <v>-1.2</v>
      </c>
      <c r="G24">
        <v>-2.2999999999999998</v>
      </c>
      <c r="H24">
        <v>-5.4</v>
      </c>
      <c r="I24">
        <v>-7.1</v>
      </c>
      <c r="J24">
        <v>-7.4</v>
      </c>
      <c r="K24">
        <v>-0.1</v>
      </c>
      <c r="M24">
        <v>-2.7</v>
      </c>
      <c r="N24">
        <v>-1.8</v>
      </c>
      <c r="O24">
        <v>-7.1</v>
      </c>
      <c r="P24">
        <v>-0.1</v>
      </c>
      <c r="Q24">
        <v>-2.5</v>
      </c>
      <c r="R24">
        <v>0.9</v>
      </c>
      <c r="S24">
        <v>-2.7</v>
      </c>
    </row>
    <row r="25" spans="1:19" x14ac:dyDescent="0.25">
      <c r="A25" t="s">
        <v>42</v>
      </c>
      <c r="B25">
        <v>-7.1</v>
      </c>
      <c r="C25">
        <v>-4.9000000000000004</v>
      </c>
      <c r="D25">
        <v>-9</v>
      </c>
      <c r="E25">
        <v>-8.1999999999999993</v>
      </c>
      <c r="F25">
        <v>1.2</v>
      </c>
      <c r="G25">
        <v>-9.6</v>
      </c>
      <c r="H25">
        <v>-5.3</v>
      </c>
      <c r="I25">
        <v>-9.6</v>
      </c>
      <c r="J25">
        <v>-6.6</v>
      </c>
      <c r="K25">
        <v>-4.2</v>
      </c>
      <c r="L25">
        <v>-9.1999999999999993</v>
      </c>
      <c r="M25">
        <v>-7.2</v>
      </c>
      <c r="N25">
        <v>-1.1000000000000001</v>
      </c>
      <c r="P25">
        <v>-7.1</v>
      </c>
      <c r="Q25">
        <v>-5.7</v>
      </c>
      <c r="R25">
        <v>-2.8</v>
      </c>
      <c r="S25">
        <v>-4.9000000000000004</v>
      </c>
    </row>
    <row r="26" spans="1:19" x14ac:dyDescent="0.25">
      <c r="A26" t="s">
        <v>43</v>
      </c>
      <c r="B26">
        <v>-3.6</v>
      </c>
      <c r="C26">
        <v>-7.4</v>
      </c>
      <c r="D26">
        <v>-4.5999999999999996</v>
      </c>
      <c r="E26">
        <v>0.7</v>
      </c>
      <c r="F26">
        <v>-3.6</v>
      </c>
      <c r="G26">
        <v>-4</v>
      </c>
      <c r="H26">
        <v>2.4</v>
      </c>
      <c r="I26">
        <v>-4.5999999999999996</v>
      </c>
      <c r="K26">
        <v>1.2</v>
      </c>
      <c r="L26">
        <v>0.2</v>
      </c>
      <c r="M26">
        <v>-10.4</v>
      </c>
      <c r="N26">
        <v>-0.2</v>
      </c>
      <c r="O26">
        <v>0.7</v>
      </c>
      <c r="P26">
        <v>-2.2000000000000002</v>
      </c>
      <c r="Q26">
        <v>2.5</v>
      </c>
      <c r="R26">
        <v>0.2</v>
      </c>
      <c r="S26">
        <v>-7.4</v>
      </c>
    </row>
    <row r="27" spans="1:19" x14ac:dyDescent="0.25">
      <c r="A27" t="s">
        <v>44</v>
      </c>
      <c r="B27">
        <v>4.7</v>
      </c>
      <c r="C27">
        <v>0.6</v>
      </c>
      <c r="D27">
        <v>3.4</v>
      </c>
      <c r="E27">
        <v>3.7</v>
      </c>
      <c r="F27">
        <v>4.3</v>
      </c>
      <c r="G27">
        <v>9.6</v>
      </c>
      <c r="H27">
        <v>3.9</v>
      </c>
      <c r="I27">
        <v>9.6</v>
      </c>
      <c r="K27">
        <v>0.4</v>
      </c>
      <c r="L27">
        <v>2.4</v>
      </c>
      <c r="M27">
        <v>4.7</v>
      </c>
      <c r="N27">
        <v>5.4</v>
      </c>
      <c r="O27">
        <v>1.4</v>
      </c>
      <c r="P27">
        <v>6.8</v>
      </c>
      <c r="Q27">
        <v>2.5</v>
      </c>
      <c r="R27">
        <v>0.9</v>
      </c>
      <c r="S27">
        <v>2.5</v>
      </c>
    </row>
    <row r="28" spans="1:19" x14ac:dyDescent="0.25">
      <c r="A28" t="s">
        <v>45</v>
      </c>
      <c r="B28">
        <v>3.6</v>
      </c>
      <c r="C28">
        <v>2.8</v>
      </c>
      <c r="D28">
        <v>3.8</v>
      </c>
      <c r="E28">
        <v>-0.8</v>
      </c>
      <c r="G28">
        <v>4.8</v>
      </c>
      <c r="H28">
        <v>-1</v>
      </c>
      <c r="I28">
        <v>-4.3</v>
      </c>
      <c r="J28">
        <v>0.1</v>
      </c>
      <c r="K28">
        <v>-3.3</v>
      </c>
      <c r="L28">
        <v>-1</v>
      </c>
      <c r="M28">
        <v>0.7</v>
      </c>
      <c r="N28">
        <v>-3.8</v>
      </c>
      <c r="O28">
        <v>-6.8</v>
      </c>
      <c r="P28">
        <v>4.3</v>
      </c>
      <c r="Q28">
        <v>-2.2999999999999998</v>
      </c>
      <c r="R28">
        <v>4.8</v>
      </c>
      <c r="S28">
        <v>-6.8</v>
      </c>
    </row>
    <row r="29" spans="1:19" x14ac:dyDescent="0.25">
      <c r="A29" t="s">
        <v>46</v>
      </c>
      <c r="B29">
        <v>4.5</v>
      </c>
      <c r="C29">
        <v>7.8</v>
      </c>
      <c r="D29">
        <v>2.9</v>
      </c>
      <c r="E29">
        <v>3.1</v>
      </c>
      <c r="F29">
        <v>0.4</v>
      </c>
      <c r="G29">
        <v>0.7</v>
      </c>
      <c r="H29">
        <v>5.0999999999999996</v>
      </c>
      <c r="I29">
        <v>2.2999999999999998</v>
      </c>
      <c r="J29">
        <v>6.6</v>
      </c>
      <c r="K29">
        <v>0.4</v>
      </c>
      <c r="L29">
        <v>2.9</v>
      </c>
      <c r="M29">
        <v>7.7</v>
      </c>
      <c r="N29">
        <v>6.5</v>
      </c>
      <c r="P29">
        <v>8.6999999999999993</v>
      </c>
      <c r="Q29">
        <v>1.8</v>
      </c>
      <c r="R29">
        <v>2.4</v>
      </c>
      <c r="S29">
        <v>4.5</v>
      </c>
    </row>
    <row r="30" spans="1:19" x14ac:dyDescent="0.25">
      <c r="A30" t="s">
        <v>47</v>
      </c>
      <c r="B30">
        <v>-4.5</v>
      </c>
      <c r="C30">
        <v>-2.8</v>
      </c>
      <c r="D30">
        <v>3.3</v>
      </c>
      <c r="E30">
        <v>-1.6</v>
      </c>
      <c r="F30">
        <v>-3.8</v>
      </c>
      <c r="G30">
        <v>-1.4</v>
      </c>
      <c r="H30">
        <v>-2.2000000000000002</v>
      </c>
      <c r="J30">
        <v>-5</v>
      </c>
      <c r="K30">
        <v>-1.6</v>
      </c>
      <c r="L30">
        <v>-4.0999999999999996</v>
      </c>
      <c r="M30">
        <v>4.2</v>
      </c>
      <c r="N30">
        <v>-3.6</v>
      </c>
      <c r="O30">
        <v>0.6</v>
      </c>
      <c r="P30">
        <v>-2.7</v>
      </c>
      <c r="Q30">
        <v>-4.0999999999999996</v>
      </c>
      <c r="R30">
        <v>3.2</v>
      </c>
      <c r="S30">
        <v>-4.5</v>
      </c>
    </row>
    <row r="31" spans="1:19" x14ac:dyDescent="0.25">
      <c r="A31" t="s">
        <v>48</v>
      </c>
      <c r="B31">
        <v>4.4000000000000004</v>
      </c>
      <c r="C31">
        <v>1.6</v>
      </c>
      <c r="D31">
        <v>4.5999999999999996</v>
      </c>
      <c r="E31">
        <v>-3.7</v>
      </c>
      <c r="F31">
        <v>3.8</v>
      </c>
      <c r="G31">
        <v>-0.7</v>
      </c>
      <c r="H31">
        <v>-1.3</v>
      </c>
      <c r="I31">
        <v>7.1</v>
      </c>
      <c r="K31">
        <v>4.8</v>
      </c>
      <c r="L31">
        <v>-2.8</v>
      </c>
      <c r="M31">
        <v>-0.3</v>
      </c>
      <c r="N31">
        <v>2.2000000000000002</v>
      </c>
      <c r="O31">
        <v>7.1</v>
      </c>
      <c r="P31">
        <v>4.4000000000000004</v>
      </c>
      <c r="Q31">
        <v>7</v>
      </c>
      <c r="R31">
        <v>5.3</v>
      </c>
      <c r="S31">
        <v>7</v>
      </c>
    </row>
    <row r="32" spans="1:19" x14ac:dyDescent="0.25">
      <c r="A32" t="s">
        <v>49</v>
      </c>
      <c r="B32">
        <v>-7.4</v>
      </c>
      <c r="C32">
        <v>-8.3000000000000007</v>
      </c>
      <c r="D32">
        <v>-6.9</v>
      </c>
      <c r="E32">
        <v>-6.4</v>
      </c>
      <c r="F32">
        <v>-5.8</v>
      </c>
      <c r="G32">
        <v>-4.9000000000000004</v>
      </c>
      <c r="H32">
        <v>-3.2</v>
      </c>
      <c r="I32">
        <v>-6.9</v>
      </c>
      <c r="J32">
        <v>-10.3</v>
      </c>
      <c r="L32">
        <v>-6.4</v>
      </c>
      <c r="M32">
        <v>-4.2</v>
      </c>
      <c r="N32">
        <v>-5.6</v>
      </c>
      <c r="O32">
        <v>-2.2000000000000002</v>
      </c>
      <c r="P32">
        <v>-8.6999999999999993</v>
      </c>
      <c r="Q32">
        <v>-11.1</v>
      </c>
      <c r="R32">
        <v>-0.9</v>
      </c>
      <c r="S32">
        <v>-5.6</v>
      </c>
    </row>
    <row r="33" spans="1:19" x14ac:dyDescent="0.25">
      <c r="A33" t="s">
        <v>50</v>
      </c>
      <c r="B33">
        <v>7.1</v>
      </c>
      <c r="C33">
        <v>-2.1</v>
      </c>
      <c r="D33">
        <v>4.3</v>
      </c>
      <c r="E33">
        <v>5.6</v>
      </c>
      <c r="F33">
        <v>-1.1000000000000001</v>
      </c>
      <c r="G33">
        <v>2.9</v>
      </c>
      <c r="H33">
        <v>2.2000000000000002</v>
      </c>
      <c r="I33">
        <v>-1.9</v>
      </c>
      <c r="J33">
        <v>5</v>
      </c>
      <c r="K33">
        <v>-0.1</v>
      </c>
      <c r="L33">
        <v>6.5</v>
      </c>
      <c r="N33">
        <v>1.8</v>
      </c>
      <c r="O33">
        <v>1.4</v>
      </c>
      <c r="P33">
        <v>7.1</v>
      </c>
      <c r="Q33">
        <v>-2.5</v>
      </c>
      <c r="R33">
        <v>2.2000000000000002</v>
      </c>
      <c r="S33">
        <v>-2.5</v>
      </c>
    </row>
    <row r="37" spans="1:19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</row>
    <row r="38" spans="1:19" x14ac:dyDescent="0.25">
      <c r="A38" t="s">
        <v>19</v>
      </c>
      <c r="B38">
        <v>4.5</v>
      </c>
      <c r="C38">
        <v>3.1</v>
      </c>
      <c r="D38">
        <v>-2.2000000000000002</v>
      </c>
      <c r="E38">
        <v>0.499999999999999</v>
      </c>
      <c r="F38">
        <v>4.1999999999999904</v>
      </c>
      <c r="G38">
        <v>0.9</v>
      </c>
      <c r="H38">
        <v>-3.3</v>
      </c>
      <c r="J38">
        <v>-0.9</v>
      </c>
      <c r="K38">
        <v>0.499999999999999</v>
      </c>
      <c r="L38">
        <v>-2.2000000000000002</v>
      </c>
      <c r="M38">
        <v>0.9</v>
      </c>
      <c r="N38">
        <v>-1.8</v>
      </c>
      <c r="O38">
        <v>-2.6</v>
      </c>
      <c r="P38">
        <v>-1.8</v>
      </c>
      <c r="Q38">
        <v>1.8</v>
      </c>
      <c r="R38">
        <v>-3.4</v>
      </c>
      <c r="S38">
        <v>-2.6</v>
      </c>
    </row>
    <row r="39" spans="1:19" x14ac:dyDescent="0.25">
      <c r="A39" t="s">
        <v>20</v>
      </c>
      <c r="B39">
        <v>-3.6</v>
      </c>
      <c r="C39">
        <v>-3.5</v>
      </c>
      <c r="D39">
        <v>1.2999999999999901</v>
      </c>
      <c r="E39">
        <v>-5.5</v>
      </c>
      <c r="G39">
        <v>-7.4</v>
      </c>
      <c r="H39">
        <v>-4</v>
      </c>
      <c r="I39">
        <v>-1.9</v>
      </c>
      <c r="J39">
        <v>-0.2</v>
      </c>
      <c r="K39">
        <v>-0.9</v>
      </c>
      <c r="L39">
        <v>1.2999999999999901</v>
      </c>
      <c r="M39">
        <v>2.7</v>
      </c>
      <c r="N39">
        <v>2</v>
      </c>
      <c r="O39">
        <v>-1.3</v>
      </c>
      <c r="P39">
        <v>-3.6</v>
      </c>
      <c r="Q39">
        <v>-1.8</v>
      </c>
      <c r="R39">
        <v>-4.4000000000000004</v>
      </c>
      <c r="S39">
        <v>2.7</v>
      </c>
    </row>
    <row r="40" spans="1:19" x14ac:dyDescent="0.25">
      <c r="A40" t="s">
        <v>21</v>
      </c>
      <c r="B40">
        <v>0.39999999999999902</v>
      </c>
      <c r="C40">
        <v>10</v>
      </c>
      <c r="D40">
        <v>0.39999999999999902</v>
      </c>
      <c r="E40">
        <v>-0.2</v>
      </c>
      <c r="F40">
        <v>4.1999999999999904</v>
      </c>
      <c r="G40">
        <v>3.3999999999999901</v>
      </c>
      <c r="I40">
        <v>4.6999999999999904</v>
      </c>
      <c r="J40">
        <v>5.8999999999999897</v>
      </c>
      <c r="K40">
        <v>4.3</v>
      </c>
      <c r="L40">
        <v>10</v>
      </c>
      <c r="M40">
        <v>9.8000000000000007</v>
      </c>
      <c r="N40">
        <v>2.5999999999999899</v>
      </c>
      <c r="O40">
        <v>5.1999999999999904</v>
      </c>
      <c r="P40">
        <v>2.5999999999999899</v>
      </c>
      <c r="Q40">
        <v>7.6</v>
      </c>
      <c r="R40">
        <v>2.69999999999999</v>
      </c>
      <c r="S40">
        <v>5.1999999999999904</v>
      </c>
    </row>
    <row r="41" spans="1:19" x14ac:dyDescent="0.25">
      <c r="A41" t="s">
        <v>22</v>
      </c>
      <c r="B41">
        <v>-0.39999999999999902</v>
      </c>
      <c r="C41">
        <v>9.4</v>
      </c>
      <c r="D41">
        <v>5.5</v>
      </c>
      <c r="E41">
        <v>10.1</v>
      </c>
      <c r="F41">
        <v>7.2</v>
      </c>
      <c r="G41">
        <v>7.4</v>
      </c>
      <c r="I41">
        <v>8.6999999999999993</v>
      </c>
      <c r="J41">
        <v>-0.59999999999999898</v>
      </c>
      <c r="K41">
        <v>5.5</v>
      </c>
      <c r="L41">
        <v>3.8</v>
      </c>
      <c r="M41">
        <v>3.8</v>
      </c>
      <c r="N41">
        <v>4.8</v>
      </c>
      <c r="O41">
        <v>2.2000000000000002</v>
      </c>
      <c r="P41">
        <v>7.2</v>
      </c>
      <c r="Q41">
        <v>9.6</v>
      </c>
      <c r="R41">
        <v>-0.59999999999999898</v>
      </c>
      <c r="S41">
        <v>9.4</v>
      </c>
    </row>
    <row r="42" spans="1:19" x14ac:dyDescent="0.25">
      <c r="A42" t="s">
        <v>23</v>
      </c>
      <c r="B42">
        <v>-2.2000000000000002</v>
      </c>
      <c r="C42">
        <v>-3.1</v>
      </c>
      <c r="D42">
        <v>-1.2999999999999901</v>
      </c>
      <c r="E42">
        <v>-1.5</v>
      </c>
      <c r="F42">
        <v>-3.2</v>
      </c>
      <c r="G42">
        <v>-4</v>
      </c>
      <c r="H42">
        <v>0.7</v>
      </c>
      <c r="I42">
        <v>-8.6999999999999993</v>
      </c>
      <c r="J42">
        <v>-6.4</v>
      </c>
      <c r="K42">
        <v>1.4</v>
      </c>
      <c r="L42">
        <v>-1.2999999999999901</v>
      </c>
      <c r="M42">
        <v>-5.3</v>
      </c>
      <c r="N42">
        <v>-5.7</v>
      </c>
      <c r="P42">
        <v>1.4</v>
      </c>
      <c r="Q42">
        <v>-4.9000000000000004</v>
      </c>
      <c r="R42">
        <v>-2.6</v>
      </c>
      <c r="S42">
        <v>-4.9000000000000004</v>
      </c>
    </row>
    <row r="43" spans="1:19" x14ac:dyDescent="0.25">
      <c r="A43" t="s">
        <v>24</v>
      </c>
      <c r="B43">
        <v>-0.4</v>
      </c>
      <c r="C43">
        <v>-4.3</v>
      </c>
      <c r="D43">
        <v>0.4</v>
      </c>
      <c r="E43">
        <v>2.4</v>
      </c>
      <c r="G43">
        <v>-2.4</v>
      </c>
      <c r="H43">
        <v>5.8</v>
      </c>
      <c r="I43">
        <v>-4.6999999999999904</v>
      </c>
      <c r="J43">
        <v>-2.1</v>
      </c>
      <c r="K43">
        <v>4.2</v>
      </c>
      <c r="L43">
        <v>-0.4</v>
      </c>
      <c r="M43">
        <v>0.5</v>
      </c>
      <c r="N43">
        <v>-4.8999999999999897</v>
      </c>
      <c r="O43">
        <v>-2</v>
      </c>
      <c r="P43">
        <v>5.3</v>
      </c>
      <c r="Q43">
        <v>-2</v>
      </c>
      <c r="R43">
        <v>-0.9</v>
      </c>
      <c r="S43">
        <v>-4.3</v>
      </c>
    </row>
    <row r="44" spans="1:19" x14ac:dyDescent="0.25">
      <c r="A44" t="s">
        <v>25</v>
      </c>
      <c r="B44">
        <v>7.4</v>
      </c>
      <c r="C44">
        <v>4.3</v>
      </c>
      <c r="D44">
        <v>1.7</v>
      </c>
      <c r="E44">
        <v>1.1000000000000001</v>
      </c>
      <c r="F44">
        <v>-2.2000000000000002</v>
      </c>
      <c r="G44">
        <v>0.1</v>
      </c>
      <c r="H44">
        <v>2.6</v>
      </c>
      <c r="I44">
        <v>7.2</v>
      </c>
      <c r="J44">
        <v>2.1</v>
      </c>
      <c r="L44">
        <v>2.6</v>
      </c>
      <c r="M44">
        <v>5</v>
      </c>
      <c r="N44">
        <v>-2.5999999999999899</v>
      </c>
      <c r="O44">
        <v>-2.2000000000000002</v>
      </c>
      <c r="P44">
        <v>-2.5999999999999899</v>
      </c>
      <c r="Q44">
        <v>3.3</v>
      </c>
      <c r="R44">
        <v>3.4</v>
      </c>
      <c r="S44">
        <v>7.4</v>
      </c>
    </row>
    <row r="45" spans="1:19" x14ac:dyDescent="0.25">
      <c r="A45" t="s">
        <v>26</v>
      </c>
      <c r="B45">
        <v>-7.4</v>
      </c>
      <c r="C45">
        <v>-10</v>
      </c>
      <c r="D45">
        <v>-7.3</v>
      </c>
      <c r="E45">
        <v>-9.6</v>
      </c>
      <c r="F45">
        <v>-5.7</v>
      </c>
      <c r="G45">
        <v>-4.8</v>
      </c>
      <c r="H45">
        <v>-4.0999999999999996</v>
      </c>
      <c r="I45">
        <v>-2.4</v>
      </c>
      <c r="K45">
        <v>-0.2</v>
      </c>
      <c r="L45">
        <v>-10</v>
      </c>
      <c r="M45">
        <v>-2.9</v>
      </c>
      <c r="N45">
        <v>-6.2</v>
      </c>
      <c r="O45">
        <v>0.19999999999999901</v>
      </c>
      <c r="P45">
        <v>-5.3</v>
      </c>
      <c r="Q45">
        <v>-9.6</v>
      </c>
      <c r="R45">
        <v>-4.8</v>
      </c>
      <c r="S45">
        <v>-7.4</v>
      </c>
    </row>
    <row r="46" spans="1:19" x14ac:dyDescent="0.25">
      <c r="A46" t="s">
        <v>27</v>
      </c>
      <c r="B46">
        <v>-5.3</v>
      </c>
      <c r="C46">
        <v>3.8</v>
      </c>
      <c r="D46">
        <v>-0.4</v>
      </c>
      <c r="E46">
        <v>-2.4</v>
      </c>
      <c r="F46">
        <v>4.7</v>
      </c>
      <c r="G46">
        <v>4</v>
      </c>
      <c r="H46">
        <v>-2.8</v>
      </c>
      <c r="I46">
        <v>-1.4</v>
      </c>
      <c r="J46">
        <v>0.9</v>
      </c>
      <c r="L46">
        <v>2</v>
      </c>
      <c r="M46">
        <v>-5.3</v>
      </c>
      <c r="N46">
        <v>-5.3</v>
      </c>
      <c r="O46">
        <v>-4.7</v>
      </c>
      <c r="P46">
        <v>-0.8</v>
      </c>
      <c r="Q46">
        <v>-2.2000000000000002</v>
      </c>
      <c r="R46">
        <v>-2.8</v>
      </c>
      <c r="S46">
        <v>3.8</v>
      </c>
    </row>
    <row r="47" spans="1:19" x14ac:dyDescent="0.25">
      <c r="A47" t="s">
        <v>28</v>
      </c>
      <c r="B47">
        <v>6.5</v>
      </c>
      <c r="C47">
        <v>3.2</v>
      </c>
      <c r="D47">
        <v>-0.8</v>
      </c>
      <c r="E47">
        <v>-1.1000000000000001</v>
      </c>
      <c r="F47">
        <v>-3.9</v>
      </c>
      <c r="G47">
        <v>6.1</v>
      </c>
      <c r="H47">
        <v>5.1999999999999904</v>
      </c>
      <c r="I47">
        <v>1.4</v>
      </c>
      <c r="J47">
        <v>0.499999999999999</v>
      </c>
      <c r="K47">
        <v>3.4</v>
      </c>
      <c r="L47">
        <v>-3.9</v>
      </c>
      <c r="N47">
        <v>-1.4</v>
      </c>
      <c r="O47">
        <v>3.4</v>
      </c>
      <c r="P47">
        <v>-1</v>
      </c>
      <c r="Q47">
        <v>3.2</v>
      </c>
      <c r="R47">
        <v>-3.9</v>
      </c>
      <c r="S47">
        <v>-0.8</v>
      </c>
    </row>
    <row r="48" spans="1:19" x14ac:dyDescent="0.25">
      <c r="A48" t="s">
        <v>29</v>
      </c>
      <c r="B48">
        <v>2.2999999999999998</v>
      </c>
      <c r="C48">
        <v>4.3</v>
      </c>
      <c r="D48">
        <v>-0.39999999999999902</v>
      </c>
      <c r="E48">
        <v>9.6</v>
      </c>
      <c r="F48">
        <v>2.2000000000000002</v>
      </c>
      <c r="G48">
        <v>-0.59999999999999898</v>
      </c>
      <c r="H48">
        <v>3.8</v>
      </c>
      <c r="J48">
        <v>3.9</v>
      </c>
      <c r="K48">
        <v>1.9</v>
      </c>
      <c r="L48">
        <v>-0.59999999999999898</v>
      </c>
      <c r="M48">
        <v>8.5</v>
      </c>
      <c r="N48">
        <v>2.2999999999999998</v>
      </c>
      <c r="O48">
        <v>4.7</v>
      </c>
      <c r="P48">
        <v>3</v>
      </c>
      <c r="Q48">
        <v>4.8</v>
      </c>
      <c r="R48">
        <v>3.9</v>
      </c>
      <c r="S48">
        <v>4.3</v>
      </c>
    </row>
    <row r="49" spans="1:19" x14ac:dyDescent="0.25">
      <c r="A49" t="s">
        <v>30</v>
      </c>
      <c r="B49">
        <v>-2.2999999999999998</v>
      </c>
      <c r="C49">
        <v>-0.39999999999999902</v>
      </c>
      <c r="D49">
        <v>7.3</v>
      </c>
      <c r="E49">
        <v>2.4</v>
      </c>
      <c r="G49">
        <v>-0.1</v>
      </c>
      <c r="H49">
        <v>3.3</v>
      </c>
      <c r="I49">
        <v>2.5</v>
      </c>
      <c r="J49">
        <v>6.4</v>
      </c>
      <c r="K49">
        <v>-2.9</v>
      </c>
      <c r="L49">
        <v>6.1999999999999904</v>
      </c>
      <c r="M49">
        <v>1.5999999999999901</v>
      </c>
      <c r="N49">
        <v>-2.2999999999999998</v>
      </c>
      <c r="O49">
        <v>2</v>
      </c>
      <c r="P49">
        <v>1</v>
      </c>
      <c r="Q49">
        <v>2</v>
      </c>
      <c r="R49">
        <v>-2.69999999999999</v>
      </c>
      <c r="S49">
        <v>1.5999999999999901</v>
      </c>
    </row>
    <row r="50" spans="1:19" x14ac:dyDescent="0.25">
      <c r="A50" t="s">
        <v>31</v>
      </c>
      <c r="B50">
        <v>-0.79999999999999905</v>
      </c>
      <c r="C50">
        <v>0</v>
      </c>
      <c r="D50">
        <v>2.7</v>
      </c>
      <c r="E50">
        <v>6</v>
      </c>
      <c r="F50">
        <v>-4.1999999999999904</v>
      </c>
      <c r="H50">
        <v>2.2999999999999998</v>
      </c>
      <c r="I50">
        <v>-0.4</v>
      </c>
      <c r="J50">
        <v>-0.499999999999999</v>
      </c>
      <c r="K50">
        <v>2.7</v>
      </c>
      <c r="L50">
        <v>6</v>
      </c>
      <c r="M50">
        <v>-3.8</v>
      </c>
      <c r="N50">
        <v>2.7</v>
      </c>
      <c r="O50">
        <v>-4.3999999999999897</v>
      </c>
      <c r="P50">
        <v>1.8</v>
      </c>
      <c r="Q50">
        <v>2.9</v>
      </c>
      <c r="R50">
        <v>-1.3</v>
      </c>
      <c r="S50">
        <v>2.7</v>
      </c>
    </row>
    <row r="51" spans="1:19" x14ac:dyDescent="0.25">
      <c r="A51" t="s">
        <v>32</v>
      </c>
      <c r="B51">
        <v>-1</v>
      </c>
      <c r="C51">
        <v>-3.2</v>
      </c>
      <c r="D51">
        <v>3.3</v>
      </c>
      <c r="E51">
        <v>-3.5</v>
      </c>
      <c r="F51">
        <v>0.19999999999999901</v>
      </c>
      <c r="G51">
        <v>-0.9</v>
      </c>
      <c r="H51">
        <v>-4</v>
      </c>
      <c r="I51">
        <v>3.3</v>
      </c>
      <c r="J51">
        <v>-1.7</v>
      </c>
      <c r="K51">
        <v>0.9</v>
      </c>
      <c r="M51">
        <v>-7.1</v>
      </c>
      <c r="N51">
        <v>-2.7</v>
      </c>
      <c r="O51">
        <v>0</v>
      </c>
      <c r="P51">
        <v>-0.4</v>
      </c>
      <c r="Q51">
        <v>-3.1</v>
      </c>
      <c r="R51">
        <v>0</v>
      </c>
      <c r="S51">
        <v>-2.7</v>
      </c>
    </row>
    <row r="52" spans="1:19" x14ac:dyDescent="0.25">
      <c r="A52" t="s">
        <v>33</v>
      </c>
      <c r="B52">
        <v>2.2000000000000002</v>
      </c>
      <c r="C52">
        <v>-4.3</v>
      </c>
      <c r="D52">
        <v>-2.7</v>
      </c>
      <c r="E52">
        <v>-3.1</v>
      </c>
      <c r="F52">
        <v>-7.1</v>
      </c>
      <c r="G52">
        <v>-0.4</v>
      </c>
      <c r="H52">
        <v>-3.5</v>
      </c>
      <c r="J52">
        <v>0.19999999999999901</v>
      </c>
      <c r="K52">
        <v>-2.7</v>
      </c>
      <c r="L52">
        <v>-4</v>
      </c>
      <c r="M52">
        <v>-0.9</v>
      </c>
      <c r="N52">
        <v>3.3</v>
      </c>
      <c r="O52">
        <v>0</v>
      </c>
      <c r="P52">
        <v>2.9</v>
      </c>
      <c r="Q52">
        <v>-3.2</v>
      </c>
      <c r="R52">
        <v>0</v>
      </c>
      <c r="S52">
        <v>3.3</v>
      </c>
    </row>
    <row r="53" spans="1:19" x14ac:dyDescent="0.25">
      <c r="A53" t="s">
        <v>34</v>
      </c>
      <c r="B53">
        <v>3.0999999999999899</v>
      </c>
      <c r="C53">
        <v>0</v>
      </c>
      <c r="D53">
        <v>9.1</v>
      </c>
      <c r="E53">
        <v>0.2</v>
      </c>
      <c r="F53">
        <v>7.1</v>
      </c>
      <c r="G53">
        <v>0.59999999999999898</v>
      </c>
      <c r="H53">
        <v>7.3</v>
      </c>
      <c r="I53">
        <v>2.5</v>
      </c>
      <c r="J53">
        <v>0.59999999999999898</v>
      </c>
      <c r="L53">
        <v>3.9</v>
      </c>
      <c r="M53">
        <v>7.1</v>
      </c>
      <c r="N53">
        <v>5.3</v>
      </c>
      <c r="O53">
        <v>4.3999999999999897</v>
      </c>
      <c r="P53">
        <v>3.0999999999999899</v>
      </c>
      <c r="Q53">
        <v>10.399999999999901</v>
      </c>
      <c r="R53">
        <v>3.9</v>
      </c>
      <c r="S53">
        <v>7.3</v>
      </c>
    </row>
    <row r="54" spans="1:19" x14ac:dyDescent="0.25">
      <c r="A54" t="s">
        <v>35</v>
      </c>
      <c r="B54">
        <v>0.5</v>
      </c>
      <c r="C54">
        <v>-4.2</v>
      </c>
      <c r="D54">
        <v>-4.8</v>
      </c>
      <c r="E54">
        <v>-2.4</v>
      </c>
      <c r="F54">
        <v>-0.19999999999999901</v>
      </c>
      <c r="G54">
        <v>3.0999999999999899</v>
      </c>
      <c r="H54">
        <v>-7.3</v>
      </c>
      <c r="J54">
        <v>-0.19999999999999901</v>
      </c>
      <c r="K54">
        <v>-3.4</v>
      </c>
      <c r="L54">
        <v>-2</v>
      </c>
      <c r="M54">
        <v>2.9</v>
      </c>
      <c r="N54">
        <v>-4.2</v>
      </c>
      <c r="O54">
        <v>-3.4</v>
      </c>
      <c r="P54">
        <v>-7.3</v>
      </c>
      <c r="Q54">
        <v>-2.9</v>
      </c>
      <c r="R54">
        <v>1.7999999999999901</v>
      </c>
      <c r="S54">
        <v>-7.3</v>
      </c>
    </row>
    <row r="55" spans="1:19" x14ac:dyDescent="0.25">
      <c r="A55" t="s">
        <v>36</v>
      </c>
      <c r="B55">
        <v>-3.0999999999999899</v>
      </c>
      <c r="C55">
        <v>4.2</v>
      </c>
      <c r="D55">
        <v>0.8</v>
      </c>
      <c r="E55">
        <v>6</v>
      </c>
      <c r="F55">
        <v>-0.59999999999999898</v>
      </c>
      <c r="G55">
        <v>3</v>
      </c>
      <c r="H55">
        <v>4</v>
      </c>
      <c r="I55">
        <v>1.4</v>
      </c>
      <c r="J55">
        <v>7.3</v>
      </c>
      <c r="K55">
        <v>2.2999999999999998</v>
      </c>
      <c r="L55">
        <v>4</v>
      </c>
      <c r="N55">
        <v>4.2</v>
      </c>
      <c r="O55">
        <v>-3.0999999999999899</v>
      </c>
      <c r="P55">
        <v>-3.0999999999999899</v>
      </c>
      <c r="Q55">
        <v>2.2000000000000002</v>
      </c>
      <c r="R55">
        <v>1.3</v>
      </c>
      <c r="S55">
        <v>0.8</v>
      </c>
    </row>
    <row r="56" spans="1:19" x14ac:dyDescent="0.25">
      <c r="A56" t="s">
        <v>37</v>
      </c>
      <c r="B56">
        <v>0.79999999999999905</v>
      </c>
      <c r="C56">
        <v>6.8</v>
      </c>
      <c r="D56">
        <v>-3.5999999999999899</v>
      </c>
      <c r="E56">
        <v>3.5</v>
      </c>
      <c r="F56">
        <v>0.39999999999999902</v>
      </c>
      <c r="G56">
        <v>-3.3999999999999901</v>
      </c>
      <c r="H56">
        <v>3.5</v>
      </c>
      <c r="J56">
        <v>7.1</v>
      </c>
      <c r="K56">
        <v>0.39999999999999902</v>
      </c>
      <c r="L56">
        <v>3.0999999999999899</v>
      </c>
      <c r="M56">
        <v>0.79999999999999905</v>
      </c>
      <c r="N56">
        <v>5.7</v>
      </c>
      <c r="O56">
        <v>2.6</v>
      </c>
      <c r="P56">
        <v>-3</v>
      </c>
      <c r="Q56">
        <v>3.0999999999999899</v>
      </c>
      <c r="R56">
        <v>4.4000000000000004</v>
      </c>
      <c r="S56">
        <v>2.6</v>
      </c>
    </row>
    <row r="57" spans="1:19" x14ac:dyDescent="0.25">
      <c r="A57" t="s">
        <v>38</v>
      </c>
      <c r="B57">
        <v>1</v>
      </c>
      <c r="C57">
        <v>1.7</v>
      </c>
      <c r="D57">
        <v>-5.5</v>
      </c>
      <c r="E57">
        <v>3.9</v>
      </c>
      <c r="F57">
        <v>3.2</v>
      </c>
      <c r="G57">
        <v>-3</v>
      </c>
      <c r="H57">
        <v>4.0999999999999996</v>
      </c>
      <c r="I57">
        <v>1.9</v>
      </c>
      <c r="J57">
        <v>-5.8999999999999897</v>
      </c>
      <c r="K57">
        <v>-5.5</v>
      </c>
      <c r="L57">
        <v>-3.5999999999999899</v>
      </c>
      <c r="N57">
        <v>4.5999999999999996</v>
      </c>
      <c r="O57">
        <v>3.9</v>
      </c>
      <c r="P57">
        <v>-0.7</v>
      </c>
      <c r="Q57">
        <v>-3.3</v>
      </c>
      <c r="R57">
        <v>-1.7</v>
      </c>
      <c r="S57">
        <v>1.7</v>
      </c>
    </row>
    <row r="58" spans="1:19" x14ac:dyDescent="0.25">
      <c r="A58" t="s">
        <v>39</v>
      </c>
      <c r="B58">
        <v>0.4</v>
      </c>
      <c r="C58">
        <v>3.5</v>
      </c>
      <c r="D58">
        <v>-1.7</v>
      </c>
      <c r="E58">
        <v>0.9</v>
      </c>
      <c r="F58">
        <v>5.7</v>
      </c>
      <c r="H58">
        <v>-4.5</v>
      </c>
      <c r="I58">
        <v>-1.4</v>
      </c>
      <c r="J58">
        <v>-3.9</v>
      </c>
      <c r="K58">
        <v>-4.3</v>
      </c>
      <c r="L58">
        <v>0.4</v>
      </c>
      <c r="M58">
        <v>-1.5999999999999901</v>
      </c>
      <c r="N58">
        <v>2.2000000000000002</v>
      </c>
      <c r="O58">
        <v>-1.99999999999999</v>
      </c>
      <c r="P58">
        <v>0.8</v>
      </c>
      <c r="Q58">
        <v>4.5999999999999996</v>
      </c>
      <c r="R58">
        <v>-3.9</v>
      </c>
      <c r="S58">
        <v>-1.5999999999999901</v>
      </c>
    </row>
    <row r="59" spans="1:19" x14ac:dyDescent="0.25">
      <c r="A59" t="s">
        <v>40</v>
      </c>
      <c r="B59">
        <v>-0.5</v>
      </c>
      <c r="C59">
        <v>-1.7</v>
      </c>
      <c r="D59">
        <v>-2.4</v>
      </c>
      <c r="E59">
        <v>1.5</v>
      </c>
      <c r="F59">
        <v>-7.2</v>
      </c>
      <c r="G59">
        <v>2.9</v>
      </c>
      <c r="H59">
        <v>2.5999999999999899</v>
      </c>
      <c r="I59">
        <v>2.4</v>
      </c>
      <c r="J59">
        <v>0.2</v>
      </c>
      <c r="K59">
        <v>-3.4</v>
      </c>
      <c r="L59">
        <v>2.2000000000000002</v>
      </c>
      <c r="M59">
        <v>-5</v>
      </c>
      <c r="N59">
        <v>1.2999999999999901</v>
      </c>
      <c r="P59">
        <v>-7.2</v>
      </c>
      <c r="Q59">
        <v>-7.6</v>
      </c>
      <c r="R59">
        <v>2.2000000000000002</v>
      </c>
      <c r="S59">
        <v>-1.7</v>
      </c>
    </row>
    <row r="60" spans="1:19" x14ac:dyDescent="0.25">
      <c r="A60" t="s">
        <v>41</v>
      </c>
      <c r="B60">
        <v>-4.5</v>
      </c>
      <c r="C60">
        <v>-6.7</v>
      </c>
      <c r="D60">
        <v>-4</v>
      </c>
      <c r="E60">
        <v>-10.1</v>
      </c>
      <c r="F60">
        <v>-1.6</v>
      </c>
      <c r="G60">
        <v>-2.9</v>
      </c>
      <c r="H60">
        <v>-5.8</v>
      </c>
      <c r="I60">
        <v>-6.3</v>
      </c>
      <c r="J60">
        <v>-7.1</v>
      </c>
      <c r="K60">
        <v>-1.4</v>
      </c>
      <c r="M60">
        <v>-2.7</v>
      </c>
      <c r="N60">
        <v>-4.5999999999999996</v>
      </c>
      <c r="O60">
        <v>-6.3</v>
      </c>
      <c r="P60">
        <v>-1.4</v>
      </c>
      <c r="Q60">
        <v>-0.7</v>
      </c>
      <c r="R60">
        <v>-0.3</v>
      </c>
      <c r="S60">
        <v>-2.7</v>
      </c>
    </row>
    <row r="61" spans="1:19" x14ac:dyDescent="0.25">
      <c r="A61" t="s">
        <v>42</v>
      </c>
      <c r="B61">
        <v>-6.6</v>
      </c>
      <c r="C61">
        <v>-3.8</v>
      </c>
      <c r="D61">
        <v>-9.1</v>
      </c>
      <c r="E61">
        <v>-6</v>
      </c>
      <c r="F61">
        <v>1.6</v>
      </c>
      <c r="G61">
        <v>-9.1</v>
      </c>
      <c r="H61">
        <v>-5.1999999999999904</v>
      </c>
      <c r="I61">
        <v>-9.1</v>
      </c>
      <c r="J61">
        <v>-5.0999999999999996</v>
      </c>
      <c r="K61">
        <v>-4.2</v>
      </c>
      <c r="L61">
        <v>-6.1999999999999904</v>
      </c>
      <c r="M61">
        <v>-8.5</v>
      </c>
      <c r="N61">
        <v>-1.2999999999999901</v>
      </c>
      <c r="P61">
        <v>-6.6</v>
      </c>
      <c r="Q61">
        <v>-4.5999999999999996</v>
      </c>
      <c r="R61">
        <v>-1.7999999999999901</v>
      </c>
      <c r="S61">
        <v>-3.8</v>
      </c>
    </row>
    <row r="62" spans="1:19" x14ac:dyDescent="0.25">
      <c r="A62" t="s">
        <v>43</v>
      </c>
      <c r="B62">
        <v>-4.5999999999999996</v>
      </c>
      <c r="C62">
        <v>-9.4</v>
      </c>
      <c r="D62">
        <v>-5.6</v>
      </c>
      <c r="E62">
        <v>-3.9</v>
      </c>
      <c r="F62">
        <v>-4.7</v>
      </c>
      <c r="G62">
        <v>-6.1</v>
      </c>
      <c r="H62">
        <v>-0.7</v>
      </c>
      <c r="I62">
        <v>-7.2</v>
      </c>
      <c r="K62">
        <v>0.2</v>
      </c>
      <c r="L62">
        <v>-2.2000000000000002</v>
      </c>
      <c r="M62">
        <v>-9.8000000000000007</v>
      </c>
      <c r="N62">
        <v>-2</v>
      </c>
      <c r="O62">
        <v>-3.9</v>
      </c>
      <c r="P62">
        <v>-2.9</v>
      </c>
      <c r="Q62">
        <v>0.7</v>
      </c>
      <c r="R62">
        <v>-2.2000000000000002</v>
      </c>
      <c r="S62">
        <v>-9.4</v>
      </c>
    </row>
    <row r="63" spans="1:19" x14ac:dyDescent="0.25">
      <c r="A63" t="s">
        <v>44</v>
      </c>
      <c r="B63">
        <v>5.3</v>
      </c>
      <c r="C63">
        <v>0</v>
      </c>
      <c r="D63">
        <v>3.5999999999999899</v>
      </c>
      <c r="E63">
        <v>4.3999999999999897</v>
      </c>
      <c r="F63">
        <v>3.9</v>
      </c>
      <c r="G63">
        <v>9.1</v>
      </c>
      <c r="H63">
        <v>4.5</v>
      </c>
      <c r="I63">
        <v>9.1</v>
      </c>
      <c r="K63">
        <v>2.9</v>
      </c>
      <c r="L63">
        <v>0.59999999999999898</v>
      </c>
      <c r="M63">
        <v>5.3</v>
      </c>
      <c r="N63">
        <v>4.8999999999999897</v>
      </c>
      <c r="O63">
        <v>3.0999999999999899</v>
      </c>
      <c r="P63">
        <v>7.3</v>
      </c>
      <c r="Q63">
        <v>2.5</v>
      </c>
      <c r="R63">
        <v>0.59999999999999898</v>
      </c>
      <c r="S63">
        <v>2.5</v>
      </c>
    </row>
    <row r="64" spans="1:19" x14ac:dyDescent="0.25">
      <c r="A64" t="s">
        <v>45</v>
      </c>
      <c r="B64">
        <v>4.5999999999999996</v>
      </c>
      <c r="C64">
        <v>1.2999999999999901</v>
      </c>
      <c r="D64">
        <v>2.4</v>
      </c>
      <c r="E64">
        <v>-0.9</v>
      </c>
      <c r="G64">
        <v>4.8</v>
      </c>
      <c r="H64">
        <v>-2.6</v>
      </c>
      <c r="I64">
        <v>-2.5</v>
      </c>
      <c r="J64">
        <v>1.7</v>
      </c>
      <c r="K64">
        <v>-2.2999999999999998</v>
      </c>
      <c r="L64">
        <v>-2.6</v>
      </c>
      <c r="M64">
        <v>-0.5</v>
      </c>
      <c r="N64">
        <v>-4.8</v>
      </c>
      <c r="O64">
        <v>-5.1999999999999904</v>
      </c>
      <c r="P64">
        <v>0.7</v>
      </c>
      <c r="Q64">
        <v>-4.8</v>
      </c>
      <c r="R64">
        <v>4.8</v>
      </c>
      <c r="S64">
        <v>-5.1999999999999904</v>
      </c>
    </row>
    <row r="65" spans="1:19" x14ac:dyDescent="0.25">
      <c r="A65" t="s">
        <v>46</v>
      </c>
      <c r="B65">
        <v>2.7</v>
      </c>
      <c r="C65">
        <v>6.7</v>
      </c>
      <c r="D65">
        <v>2.2000000000000002</v>
      </c>
      <c r="E65">
        <v>3.1</v>
      </c>
      <c r="F65">
        <v>-0.39999999999999902</v>
      </c>
      <c r="G65">
        <v>0.4</v>
      </c>
      <c r="H65">
        <v>4</v>
      </c>
      <c r="I65">
        <v>0.4</v>
      </c>
      <c r="J65">
        <v>5.0999999999999996</v>
      </c>
      <c r="K65">
        <v>-0.39999999999999902</v>
      </c>
      <c r="L65">
        <v>2.2000000000000002</v>
      </c>
      <c r="M65">
        <v>5.3</v>
      </c>
      <c r="N65">
        <v>6.2</v>
      </c>
      <c r="P65">
        <v>6.3999999999999897</v>
      </c>
      <c r="Q65">
        <v>3.1</v>
      </c>
      <c r="R65">
        <v>0.9</v>
      </c>
      <c r="S65">
        <v>2.7</v>
      </c>
    </row>
    <row r="66" spans="1:19" x14ac:dyDescent="0.25">
      <c r="A66" t="s">
        <v>47</v>
      </c>
      <c r="B66">
        <v>-2.7</v>
      </c>
      <c r="C66">
        <v>-1.2999999999999901</v>
      </c>
      <c r="D66">
        <v>4</v>
      </c>
      <c r="E66">
        <v>-0.499999999999999</v>
      </c>
      <c r="F66">
        <v>-2.2999999999999998</v>
      </c>
      <c r="G66">
        <v>0.4</v>
      </c>
      <c r="H66">
        <v>-2.2999999999999998</v>
      </c>
      <c r="J66">
        <v>-4.1999999999999904</v>
      </c>
      <c r="K66">
        <v>-0.499999999999999</v>
      </c>
      <c r="L66">
        <v>-3.0999999999999899</v>
      </c>
      <c r="M66">
        <v>3.69999999999999</v>
      </c>
      <c r="N66">
        <v>-2.2000000000000002</v>
      </c>
      <c r="O66">
        <v>1.3</v>
      </c>
      <c r="P66">
        <v>0.4</v>
      </c>
      <c r="Q66">
        <v>-3.0999999999999899</v>
      </c>
      <c r="R66">
        <v>2.6</v>
      </c>
      <c r="S66">
        <v>-2.7</v>
      </c>
    </row>
    <row r="67" spans="1:19" x14ac:dyDescent="0.25">
      <c r="A67" t="s">
        <v>48</v>
      </c>
      <c r="B67">
        <v>3.6</v>
      </c>
      <c r="C67">
        <v>0</v>
      </c>
      <c r="D67">
        <v>5.6</v>
      </c>
      <c r="E67">
        <v>-4.3999999999999897</v>
      </c>
      <c r="F67">
        <v>2.2999999999999998</v>
      </c>
      <c r="G67">
        <v>-0.4</v>
      </c>
      <c r="H67">
        <v>-3.8</v>
      </c>
      <c r="I67">
        <v>6.3</v>
      </c>
      <c r="K67">
        <v>3.4</v>
      </c>
      <c r="L67">
        <v>-3.8</v>
      </c>
      <c r="M67">
        <v>-0.79999999999999905</v>
      </c>
      <c r="N67">
        <v>1.8</v>
      </c>
      <c r="O67">
        <v>6.3</v>
      </c>
      <c r="P67">
        <v>3.6</v>
      </c>
      <c r="Q67">
        <v>4.9000000000000004</v>
      </c>
      <c r="R67">
        <v>1.7</v>
      </c>
      <c r="S67">
        <v>4.9000000000000004</v>
      </c>
    </row>
    <row r="68" spans="1:19" x14ac:dyDescent="0.25">
      <c r="A68" t="s">
        <v>49</v>
      </c>
      <c r="B68">
        <v>-6.5</v>
      </c>
      <c r="C68">
        <v>-6.8</v>
      </c>
      <c r="D68">
        <v>-3.3</v>
      </c>
      <c r="E68">
        <v>-6</v>
      </c>
      <c r="F68">
        <v>-4.1999999999999904</v>
      </c>
      <c r="G68">
        <v>-3.0999999999999899</v>
      </c>
      <c r="H68">
        <v>-2.5999999999999899</v>
      </c>
      <c r="I68">
        <v>-3.3</v>
      </c>
      <c r="J68">
        <v>-7.3</v>
      </c>
      <c r="L68">
        <v>-6</v>
      </c>
      <c r="M68">
        <v>-3.69999999999999</v>
      </c>
      <c r="N68">
        <v>-3.3</v>
      </c>
      <c r="O68">
        <v>-0.19999999999999901</v>
      </c>
      <c r="P68">
        <v>-6.3999999999999897</v>
      </c>
      <c r="Q68">
        <v>-10.399999999999901</v>
      </c>
      <c r="R68">
        <v>0.3</v>
      </c>
      <c r="S68">
        <v>-3.3</v>
      </c>
    </row>
    <row r="69" spans="1:19" x14ac:dyDescent="0.25">
      <c r="A69" t="s">
        <v>50</v>
      </c>
      <c r="B69">
        <v>6.6</v>
      </c>
      <c r="C69">
        <v>0.39999999999999902</v>
      </c>
      <c r="D69">
        <v>4.8</v>
      </c>
      <c r="E69">
        <v>5.5</v>
      </c>
      <c r="F69">
        <v>0.59999999999999898</v>
      </c>
      <c r="G69">
        <v>2.4</v>
      </c>
      <c r="H69">
        <v>2.8</v>
      </c>
      <c r="I69">
        <v>-2.5</v>
      </c>
      <c r="J69">
        <v>4.1999999999999904</v>
      </c>
      <c r="K69">
        <v>-1.9</v>
      </c>
      <c r="L69">
        <v>3.5999999999999899</v>
      </c>
      <c r="N69">
        <v>1.4</v>
      </c>
      <c r="O69">
        <v>1.99999999999999</v>
      </c>
      <c r="P69">
        <v>6.6</v>
      </c>
      <c r="Q69">
        <v>-2.5</v>
      </c>
      <c r="R69">
        <v>2.8</v>
      </c>
      <c r="S69">
        <v>-2.5</v>
      </c>
    </row>
    <row r="72" spans="1:19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t="s">
        <v>14</v>
      </c>
      <c r="P72" t="s">
        <v>15</v>
      </c>
      <c r="Q72" t="s">
        <v>16</v>
      </c>
      <c r="R72" t="s">
        <v>17</v>
      </c>
      <c r="S72" t="s">
        <v>18</v>
      </c>
    </row>
    <row r="73" spans="1:19" x14ac:dyDescent="0.25">
      <c r="A73" t="s">
        <v>19</v>
      </c>
      <c r="B73" s="1">
        <f t="shared" ref="B73:H73" si="0">IFERROR(IF(_xlfn.RANK.AVG(B2,$B$2:$S$33,0)&gt;150,"",_xlfn.RANK.AVG(B2,$B$2:$S$33,0)),"")</f>
        <v>82.5</v>
      </c>
      <c r="C73" s="1">
        <f t="shared" si="0"/>
        <v>87</v>
      </c>
      <c r="D73" s="1" t="str">
        <f t="shared" si="0"/>
        <v/>
      </c>
      <c r="E73" s="1" t="str">
        <f t="shared" si="0"/>
        <v/>
      </c>
      <c r="F73" s="1">
        <f t="shared" si="0"/>
        <v>59</v>
      </c>
      <c r="G73" s="1" t="str">
        <f t="shared" si="0"/>
        <v/>
      </c>
      <c r="H73" s="1" t="str">
        <f t="shared" si="0"/>
        <v/>
      </c>
      <c r="I73" s="1" t="str">
        <f>IFERROR(IF(_xlfn.RANK.AVG(I2,$B$2:$S$33,0)&gt;150,"",_xlfn.RANK.AVG(I2,$B$2:$S$33,0)),"")</f>
        <v/>
      </c>
      <c r="J73" s="1" t="str">
        <f t="shared" ref="J73:S73" si="1">IFERROR(IF(_xlfn.RANK.AVG(J2,$B$2:$S$33,0)&gt;150,"",_xlfn.RANK.AVG(J2,$B$2:$S$33,0)),"")</f>
        <v/>
      </c>
      <c r="K73" s="1" t="str">
        <f t="shared" si="1"/>
        <v/>
      </c>
      <c r="L73" s="1" t="str">
        <f t="shared" si="1"/>
        <v/>
      </c>
      <c r="M73" s="1" t="str">
        <f t="shared" si="1"/>
        <v/>
      </c>
      <c r="N73" s="1" t="str">
        <f t="shared" si="1"/>
        <v/>
      </c>
      <c r="O73" s="1" t="str">
        <f t="shared" si="1"/>
        <v/>
      </c>
      <c r="P73" s="1" t="str">
        <f t="shared" si="1"/>
        <v/>
      </c>
      <c r="Q73" s="1" t="str">
        <f t="shared" si="1"/>
        <v/>
      </c>
      <c r="R73" s="1" t="str">
        <f t="shared" si="1"/>
        <v/>
      </c>
      <c r="S73" s="1" t="str">
        <f t="shared" si="1"/>
        <v/>
      </c>
    </row>
    <row r="74" spans="1:19" x14ac:dyDescent="0.25">
      <c r="A74" t="s">
        <v>20</v>
      </c>
      <c r="B74" s="1" t="str">
        <f t="shared" ref="B74:S74" si="2">IFERROR(IF(_xlfn.RANK.AVG(B3,$B$2:$S$33,0)&gt;150,"",_xlfn.RANK.AVG(B3,$B$2:$S$33,0)),"")</f>
        <v/>
      </c>
      <c r="C74" s="1" t="str">
        <f t="shared" si="2"/>
        <v/>
      </c>
      <c r="D74" s="1" t="str">
        <f t="shared" si="2"/>
        <v/>
      </c>
      <c r="E74" s="1" t="str">
        <f t="shared" si="2"/>
        <v/>
      </c>
      <c r="F74" s="1" t="str">
        <f t="shared" si="2"/>
        <v/>
      </c>
      <c r="G74" s="1" t="str">
        <f t="shared" si="2"/>
        <v/>
      </c>
      <c r="H74" s="1" t="str">
        <f t="shared" si="2"/>
        <v/>
      </c>
      <c r="I74" s="1" t="str">
        <f t="shared" si="2"/>
        <v/>
      </c>
      <c r="J74" s="1" t="str">
        <f t="shared" si="2"/>
        <v/>
      </c>
      <c r="K74" s="1" t="str">
        <f t="shared" si="2"/>
        <v/>
      </c>
      <c r="L74" s="1" t="str">
        <f t="shared" si="2"/>
        <v/>
      </c>
      <c r="M74" s="1" t="str">
        <f t="shared" si="2"/>
        <v/>
      </c>
      <c r="N74" s="1" t="str">
        <f t="shared" si="2"/>
        <v/>
      </c>
      <c r="O74" s="1" t="str">
        <f t="shared" si="2"/>
        <v/>
      </c>
      <c r="P74" s="1" t="str">
        <f t="shared" si="2"/>
        <v/>
      </c>
      <c r="Q74" s="1" t="str">
        <f t="shared" si="2"/>
        <v/>
      </c>
      <c r="R74" s="1" t="str">
        <f t="shared" si="2"/>
        <v/>
      </c>
      <c r="S74" s="1" t="str">
        <f t="shared" si="2"/>
        <v/>
      </c>
    </row>
    <row r="75" spans="1:19" x14ac:dyDescent="0.25">
      <c r="A75" t="s">
        <v>21</v>
      </c>
      <c r="B75" s="1">
        <f t="shared" ref="B75:S75" si="3">IFERROR(IF(_xlfn.RANK.AVG(B4,$B$2:$S$33,0)&gt;150,"",_xlfn.RANK.AVG(B4,$B$2:$S$33,0)),"")</f>
        <v>144</v>
      </c>
      <c r="C75" s="1">
        <f t="shared" si="3"/>
        <v>1.5</v>
      </c>
      <c r="D75" s="1">
        <f t="shared" si="3"/>
        <v>99</v>
      </c>
      <c r="E75" s="1" t="str">
        <f t="shared" si="3"/>
        <v/>
      </c>
      <c r="F75" s="1">
        <f t="shared" si="3"/>
        <v>30</v>
      </c>
      <c r="G75" s="1">
        <f t="shared" si="3"/>
        <v>68</v>
      </c>
      <c r="H75" s="1" t="str">
        <f t="shared" si="3"/>
        <v/>
      </c>
      <c r="I75" s="1">
        <f t="shared" si="3"/>
        <v>27</v>
      </c>
      <c r="J75" s="1">
        <f t="shared" si="3"/>
        <v>3.5</v>
      </c>
      <c r="K75" s="1">
        <f t="shared" si="3"/>
        <v>55.5</v>
      </c>
      <c r="L75" s="1">
        <f t="shared" si="3"/>
        <v>1.5</v>
      </c>
      <c r="M75" s="1">
        <f t="shared" si="3"/>
        <v>6</v>
      </c>
      <c r="N75" s="1">
        <f t="shared" si="3"/>
        <v>59</v>
      </c>
      <c r="O75" s="1">
        <f t="shared" si="3"/>
        <v>46</v>
      </c>
      <c r="P75" s="1">
        <f t="shared" si="3"/>
        <v>59</v>
      </c>
      <c r="Q75" s="1">
        <f t="shared" si="3"/>
        <v>5</v>
      </c>
      <c r="R75" s="1" t="str">
        <f t="shared" si="3"/>
        <v/>
      </c>
      <c r="S75" s="1">
        <f t="shared" si="3"/>
        <v>46</v>
      </c>
    </row>
    <row r="76" spans="1:19" x14ac:dyDescent="0.25">
      <c r="A76" t="s">
        <v>22</v>
      </c>
      <c r="B76" s="1" t="str">
        <f t="shared" ref="B76:S76" si="4">IFERROR(IF(_xlfn.RANK.AVG(B5,$B$2:$S$33,0)&gt;150,"",_xlfn.RANK.AVG(B5,$B$2:$S$33,0)),"")</f>
        <v/>
      </c>
      <c r="C76" s="1">
        <f t="shared" si="4"/>
        <v>30</v>
      </c>
      <c r="D76" s="1">
        <f t="shared" si="4"/>
        <v>20.5</v>
      </c>
      <c r="E76" s="1">
        <f t="shared" si="4"/>
        <v>9</v>
      </c>
      <c r="F76" s="1">
        <f t="shared" si="4"/>
        <v>25</v>
      </c>
      <c r="G76" s="1">
        <f t="shared" si="4"/>
        <v>34.5</v>
      </c>
      <c r="H76" s="1" t="str">
        <f t="shared" si="4"/>
        <v/>
      </c>
      <c r="I76" s="1">
        <f t="shared" si="4"/>
        <v>10</v>
      </c>
      <c r="J76" s="1" t="str">
        <f t="shared" si="4"/>
        <v/>
      </c>
      <c r="K76" s="1">
        <f t="shared" si="4"/>
        <v>20.5</v>
      </c>
      <c r="L76" s="1" t="str">
        <f t="shared" si="4"/>
        <v/>
      </c>
      <c r="M76" s="1">
        <f t="shared" si="4"/>
        <v>102</v>
      </c>
      <c r="N76" s="1">
        <f t="shared" si="4"/>
        <v>123</v>
      </c>
      <c r="O76" s="1" t="str">
        <f t="shared" si="4"/>
        <v/>
      </c>
      <c r="P76" s="1">
        <f t="shared" si="4"/>
        <v>25</v>
      </c>
      <c r="Q76" s="1">
        <f t="shared" si="4"/>
        <v>17</v>
      </c>
      <c r="R76" s="1" t="str">
        <f t="shared" si="4"/>
        <v/>
      </c>
      <c r="S76" s="1">
        <f t="shared" si="4"/>
        <v>30</v>
      </c>
    </row>
    <row r="77" spans="1:19" x14ac:dyDescent="0.25">
      <c r="A77" t="s">
        <v>23</v>
      </c>
      <c r="B77" s="1" t="str">
        <f t="shared" ref="B77:S77" si="5">IFERROR(IF(_xlfn.RANK.AVG(B6,$B$2:$S$33,0)&gt;150,"",_xlfn.RANK.AVG(B6,$B$2:$S$33,0)),"")</f>
        <v/>
      </c>
      <c r="C77" s="1" t="str">
        <f t="shared" si="5"/>
        <v/>
      </c>
      <c r="D77" s="1" t="str">
        <f t="shared" si="5"/>
        <v/>
      </c>
      <c r="E77" s="1" t="str">
        <f t="shared" si="5"/>
        <v/>
      </c>
      <c r="F77" s="1" t="str">
        <f t="shared" si="5"/>
        <v/>
      </c>
      <c r="G77" s="1" t="str">
        <f t="shared" si="5"/>
        <v/>
      </c>
      <c r="H77" s="1" t="str">
        <f t="shared" si="5"/>
        <v/>
      </c>
      <c r="I77" s="1" t="str">
        <f t="shared" si="5"/>
        <v/>
      </c>
      <c r="J77" s="1" t="str">
        <f t="shared" si="5"/>
        <v/>
      </c>
      <c r="K77" s="1" t="str">
        <f t="shared" si="5"/>
        <v/>
      </c>
      <c r="L77" s="1" t="str">
        <f t="shared" si="5"/>
        <v/>
      </c>
      <c r="M77" s="1" t="str">
        <f t="shared" si="5"/>
        <v/>
      </c>
      <c r="N77" s="1" t="str">
        <f t="shared" si="5"/>
        <v/>
      </c>
      <c r="O77" s="1" t="str">
        <f t="shared" si="5"/>
        <v/>
      </c>
      <c r="P77" s="1" t="str">
        <f t="shared" si="5"/>
        <v/>
      </c>
      <c r="Q77" s="1" t="str">
        <f t="shared" si="5"/>
        <v/>
      </c>
      <c r="R77" s="1" t="str">
        <f t="shared" si="5"/>
        <v/>
      </c>
      <c r="S77" s="1" t="str">
        <f t="shared" si="5"/>
        <v/>
      </c>
    </row>
    <row r="78" spans="1:19" x14ac:dyDescent="0.25">
      <c r="A78" t="s">
        <v>24</v>
      </c>
      <c r="B78" s="1" t="str">
        <f t="shared" ref="B78:S78" si="6">IFERROR(IF(_xlfn.RANK.AVG(B7,$B$2:$S$33,0)&gt;150,"",_xlfn.RANK.AVG(B7,$B$2:$S$33,0)),"")</f>
        <v/>
      </c>
      <c r="C78" s="1" t="str">
        <f t="shared" si="6"/>
        <v/>
      </c>
      <c r="D78" s="1" t="str">
        <f t="shared" si="6"/>
        <v/>
      </c>
      <c r="E78" s="1" t="str">
        <f t="shared" si="6"/>
        <v/>
      </c>
      <c r="F78" s="1" t="str">
        <f t="shared" si="6"/>
        <v/>
      </c>
      <c r="G78" s="1" t="str">
        <f t="shared" si="6"/>
        <v/>
      </c>
      <c r="H78" s="1">
        <f t="shared" si="6"/>
        <v>71.5</v>
      </c>
      <c r="I78" s="1" t="str">
        <f t="shared" si="6"/>
        <v/>
      </c>
      <c r="J78" s="1" t="str">
        <f t="shared" si="6"/>
        <v/>
      </c>
      <c r="K78" s="1">
        <f t="shared" si="6"/>
        <v>111</v>
      </c>
      <c r="L78" s="1" t="str">
        <f t="shared" si="6"/>
        <v/>
      </c>
      <c r="M78" s="1" t="str">
        <f t="shared" si="6"/>
        <v/>
      </c>
      <c r="N78" s="1" t="str">
        <f t="shared" si="6"/>
        <v/>
      </c>
      <c r="O78" s="1" t="str">
        <f t="shared" si="6"/>
        <v/>
      </c>
      <c r="P78" s="1">
        <f t="shared" si="6"/>
        <v>115.5</v>
      </c>
      <c r="Q78" s="1" t="str">
        <f t="shared" si="6"/>
        <v/>
      </c>
      <c r="R78" s="1" t="str">
        <f t="shared" si="6"/>
        <v/>
      </c>
      <c r="S78" s="1" t="str">
        <f t="shared" si="6"/>
        <v/>
      </c>
    </row>
    <row r="79" spans="1:19" x14ac:dyDescent="0.25">
      <c r="A79" t="s">
        <v>25</v>
      </c>
      <c r="B79" s="1">
        <f t="shared" ref="B79:S79" si="7">IFERROR(IF(_xlfn.RANK.AVG(B8,$B$2:$S$33,0)&gt;150,"",_xlfn.RANK.AVG(B8,$B$2:$S$33,0)),"")</f>
        <v>59</v>
      </c>
      <c r="C79" s="1" t="str">
        <f t="shared" si="7"/>
        <v/>
      </c>
      <c r="D79" s="1" t="str">
        <f t="shared" si="7"/>
        <v/>
      </c>
      <c r="E79" s="1" t="str">
        <f t="shared" si="7"/>
        <v/>
      </c>
      <c r="F79" s="1" t="str">
        <f t="shared" si="7"/>
        <v/>
      </c>
      <c r="G79" s="1" t="str">
        <f t="shared" si="7"/>
        <v/>
      </c>
      <c r="H79" s="1" t="str">
        <f t="shared" si="7"/>
        <v/>
      </c>
      <c r="I79" s="1">
        <f t="shared" si="7"/>
        <v>96</v>
      </c>
      <c r="J79" s="1" t="str">
        <f t="shared" si="7"/>
        <v/>
      </c>
      <c r="K79" s="1" t="str">
        <f t="shared" si="7"/>
        <v/>
      </c>
      <c r="L79" s="1" t="str">
        <f t="shared" si="7"/>
        <v/>
      </c>
      <c r="M79" s="1">
        <f t="shared" si="7"/>
        <v>87</v>
      </c>
      <c r="N79" s="1" t="str">
        <f t="shared" si="7"/>
        <v/>
      </c>
      <c r="O79" s="1" t="str">
        <f t="shared" si="7"/>
        <v/>
      </c>
      <c r="P79" s="1" t="str">
        <f t="shared" si="7"/>
        <v/>
      </c>
      <c r="Q79" s="1">
        <f t="shared" si="7"/>
        <v>75</v>
      </c>
      <c r="R79" s="1" t="str">
        <f t="shared" si="7"/>
        <v/>
      </c>
      <c r="S79" s="1">
        <f t="shared" si="7"/>
        <v>59</v>
      </c>
    </row>
    <row r="80" spans="1:19" x14ac:dyDescent="0.25">
      <c r="A80" t="s">
        <v>26</v>
      </c>
      <c r="B80" s="1" t="str">
        <f t="shared" ref="B80:S80" si="8">IFERROR(IF(_xlfn.RANK.AVG(B9,$B$2:$S$33,0)&gt;150,"",_xlfn.RANK.AVG(B9,$B$2:$S$33,0)),"")</f>
        <v/>
      </c>
      <c r="C80" s="1" t="str">
        <f t="shared" si="8"/>
        <v/>
      </c>
      <c r="D80" s="1" t="str">
        <f t="shared" si="8"/>
        <v/>
      </c>
      <c r="E80" s="1" t="str">
        <f t="shared" si="8"/>
        <v/>
      </c>
      <c r="F80" s="1" t="str">
        <f t="shared" si="8"/>
        <v/>
      </c>
      <c r="G80" s="1" t="str">
        <f t="shared" si="8"/>
        <v/>
      </c>
      <c r="H80" s="1" t="str">
        <f t="shared" si="8"/>
        <v/>
      </c>
      <c r="I80" s="1" t="str">
        <f t="shared" si="8"/>
        <v/>
      </c>
      <c r="J80" s="1" t="str">
        <f t="shared" si="8"/>
        <v/>
      </c>
      <c r="K80" s="1" t="str">
        <f t="shared" si="8"/>
        <v/>
      </c>
      <c r="L80" s="1" t="str">
        <f t="shared" si="8"/>
        <v/>
      </c>
      <c r="M80" s="1" t="str">
        <f t="shared" si="8"/>
        <v/>
      </c>
      <c r="N80" s="1" t="str">
        <f t="shared" si="8"/>
        <v/>
      </c>
      <c r="O80" s="1" t="str">
        <f t="shared" si="8"/>
        <v/>
      </c>
      <c r="P80" s="1" t="str">
        <f t="shared" si="8"/>
        <v/>
      </c>
      <c r="Q80" s="1" t="str">
        <f t="shared" si="8"/>
        <v/>
      </c>
      <c r="R80" s="1" t="str">
        <f t="shared" si="8"/>
        <v/>
      </c>
      <c r="S80" s="1" t="str">
        <f t="shared" si="8"/>
        <v/>
      </c>
    </row>
    <row r="81" spans="1:19" x14ac:dyDescent="0.25">
      <c r="A81" t="s">
        <v>27</v>
      </c>
      <c r="B81" s="1" t="str">
        <f t="shared" ref="B81:S81" si="9">IFERROR(IF(_xlfn.RANK.AVG(B10,$B$2:$S$33,0)&gt;150,"",_xlfn.RANK.AVG(B10,$B$2:$S$33,0)),"")</f>
        <v/>
      </c>
      <c r="C81" s="1">
        <f t="shared" si="9"/>
        <v>82.5</v>
      </c>
      <c r="D81" s="1" t="str">
        <f t="shared" si="9"/>
        <v/>
      </c>
      <c r="E81" s="1" t="str">
        <f t="shared" si="9"/>
        <v/>
      </c>
      <c r="F81" s="1">
        <f t="shared" si="9"/>
        <v>129</v>
      </c>
      <c r="G81" s="1">
        <f t="shared" si="9"/>
        <v>55.5</v>
      </c>
      <c r="H81" s="1" t="str">
        <f t="shared" si="9"/>
        <v/>
      </c>
      <c r="I81" s="1" t="str">
        <f t="shared" si="9"/>
        <v/>
      </c>
      <c r="J81" s="1" t="str">
        <f t="shared" si="9"/>
        <v/>
      </c>
      <c r="K81" s="1" t="str">
        <f t="shared" si="9"/>
        <v/>
      </c>
      <c r="L81" s="1" t="str">
        <f t="shared" si="9"/>
        <v/>
      </c>
      <c r="M81" s="1" t="str">
        <f t="shared" si="9"/>
        <v/>
      </c>
      <c r="N81" s="1" t="str">
        <f t="shared" si="9"/>
        <v/>
      </c>
      <c r="O81" s="1" t="str">
        <f t="shared" si="9"/>
        <v/>
      </c>
      <c r="P81" s="1" t="str">
        <f t="shared" si="9"/>
        <v/>
      </c>
      <c r="Q81" s="1" t="str">
        <f t="shared" si="9"/>
        <v/>
      </c>
      <c r="R81" s="1" t="str">
        <f t="shared" si="9"/>
        <v/>
      </c>
      <c r="S81" s="1">
        <f t="shared" si="9"/>
        <v>82.5</v>
      </c>
    </row>
    <row r="82" spans="1:19" x14ac:dyDescent="0.25">
      <c r="A82" t="s">
        <v>28</v>
      </c>
      <c r="B82" s="1">
        <f t="shared" ref="B82:S82" si="10">IFERROR(IF(_xlfn.RANK.AVG(B11,$B$2:$S$33,0)&gt;150,"",_xlfn.RANK.AVG(B11,$B$2:$S$33,0)),"")</f>
        <v>30</v>
      </c>
      <c r="C82" s="1" t="str">
        <f t="shared" si="10"/>
        <v/>
      </c>
      <c r="D82" s="1" t="str">
        <f t="shared" si="10"/>
        <v/>
      </c>
      <c r="E82" s="1" t="str">
        <f t="shared" si="10"/>
        <v/>
      </c>
      <c r="F82" s="1" t="str">
        <f t="shared" si="10"/>
        <v/>
      </c>
      <c r="G82" s="1">
        <f t="shared" si="10"/>
        <v>118</v>
      </c>
      <c r="H82" s="1">
        <f t="shared" si="10"/>
        <v>75</v>
      </c>
      <c r="I82" s="1" t="str">
        <f t="shared" si="10"/>
        <v/>
      </c>
      <c r="J82" s="1" t="str">
        <f t="shared" si="10"/>
        <v/>
      </c>
      <c r="K82" s="1" t="str">
        <f t="shared" si="10"/>
        <v/>
      </c>
      <c r="L82" s="1" t="str">
        <f t="shared" si="10"/>
        <v/>
      </c>
      <c r="M82" s="1" t="str">
        <f t="shared" si="10"/>
        <v/>
      </c>
      <c r="N82" s="1" t="str">
        <f t="shared" si="10"/>
        <v/>
      </c>
      <c r="O82" s="1" t="str">
        <f t="shared" si="10"/>
        <v/>
      </c>
      <c r="P82" s="1" t="str">
        <f t="shared" si="10"/>
        <v/>
      </c>
      <c r="Q82" s="1" t="str">
        <f t="shared" si="10"/>
        <v/>
      </c>
      <c r="R82" s="1" t="str">
        <f t="shared" si="10"/>
        <v/>
      </c>
      <c r="S82" s="1" t="str">
        <f t="shared" si="10"/>
        <v/>
      </c>
    </row>
    <row r="83" spans="1:19" x14ac:dyDescent="0.25">
      <c r="A83" t="s">
        <v>29</v>
      </c>
      <c r="B83" s="1" t="str">
        <f t="shared" ref="B83:S83" si="11">IFERROR(IF(_xlfn.RANK.AVG(B12,$B$2:$S$33,0)&gt;150,"",_xlfn.RANK.AVG(B12,$B$2:$S$33,0)),"")</f>
        <v/>
      </c>
      <c r="C83" s="1">
        <f t="shared" si="11"/>
        <v>144</v>
      </c>
      <c r="D83" s="1" t="str">
        <f t="shared" si="11"/>
        <v/>
      </c>
      <c r="E83" s="1">
        <f t="shared" si="11"/>
        <v>38</v>
      </c>
      <c r="F83" s="1" t="str">
        <f t="shared" si="11"/>
        <v/>
      </c>
      <c r="G83" s="1" t="str">
        <f t="shared" si="11"/>
        <v/>
      </c>
      <c r="H83" s="1" t="str">
        <f t="shared" si="11"/>
        <v/>
      </c>
      <c r="I83" s="1" t="str">
        <f t="shared" si="11"/>
        <v/>
      </c>
      <c r="J83" s="1" t="str">
        <f t="shared" si="11"/>
        <v/>
      </c>
      <c r="K83" s="1" t="str">
        <f t="shared" si="11"/>
        <v/>
      </c>
      <c r="L83" s="1" t="str">
        <f t="shared" si="11"/>
        <v/>
      </c>
      <c r="M83" s="1">
        <f t="shared" si="11"/>
        <v>34.5</v>
      </c>
      <c r="N83" s="1" t="str">
        <f t="shared" si="11"/>
        <v/>
      </c>
      <c r="O83" s="1" t="str">
        <f t="shared" si="11"/>
        <v/>
      </c>
      <c r="P83" s="1" t="str">
        <f t="shared" si="11"/>
        <v/>
      </c>
      <c r="Q83" s="1" t="str">
        <f t="shared" si="11"/>
        <v/>
      </c>
      <c r="R83" s="1" t="str">
        <f t="shared" si="11"/>
        <v/>
      </c>
      <c r="S83" s="1">
        <f t="shared" si="11"/>
        <v>144</v>
      </c>
    </row>
    <row r="84" spans="1:19" x14ac:dyDescent="0.25">
      <c r="A84" t="s">
        <v>30</v>
      </c>
      <c r="B84" s="1" t="str">
        <f t="shared" ref="B84:S84" si="12">IFERROR(IF(_xlfn.RANK.AVG(B13,$B$2:$S$33,0)&gt;150,"",_xlfn.RANK.AVG(B13,$B$2:$S$33,0)),"")</f>
        <v/>
      </c>
      <c r="C84" s="1" t="str">
        <f t="shared" si="12"/>
        <v/>
      </c>
      <c r="D84" s="1">
        <f t="shared" si="12"/>
        <v>14</v>
      </c>
      <c r="E84" s="1">
        <f t="shared" si="12"/>
        <v>106</v>
      </c>
      <c r="F84" s="1" t="str">
        <f t="shared" si="12"/>
        <v/>
      </c>
      <c r="G84" s="1">
        <f t="shared" si="12"/>
        <v>137</v>
      </c>
      <c r="H84" s="1">
        <f t="shared" si="12"/>
        <v>68</v>
      </c>
      <c r="I84" s="1">
        <f t="shared" si="12"/>
        <v>106</v>
      </c>
      <c r="J84" s="1">
        <f t="shared" si="12"/>
        <v>7.5</v>
      </c>
      <c r="K84" s="1" t="str">
        <f t="shared" si="12"/>
        <v/>
      </c>
      <c r="L84" s="1">
        <f t="shared" si="12"/>
        <v>13</v>
      </c>
      <c r="M84" s="1">
        <f t="shared" si="12"/>
        <v>131.5</v>
      </c>
      <c r="N84" s="1" t="str">
        <f t="shared" si="12"/>
        <v/>
      </c>
      <c r="O84" s="1">
        <f t="shared" si="12"/>
        <v>79</v>
      </c>
      <c r="P84" s="1">
        <f t="shared" si="12"/>
        <v>120</v>
      </c>
      <c r="Q84" s="1">
        <f t="shared" si="12"/>
        <v>79</v>
      </c>
      <c r="R84" s="1" t="str">
        <f t="shared" si="12"/>
        <v/>
      </c>
      <c r="S84" s="1">
        <f t="shared" si="12"/>
        <v>131.5</v>
      </c>
    </row>
    <row r="85" spans="1:19" x14ac:dyDescent="0.25">
      <c r="A85" t="s">
        <v>31</v>
      </c>
      <c r="B85" s="1" t="str">
        <f t="shared" ref="B85:S85" si="13">IFERROR(IF(_xlfn.RANK.AVG(B14,$B$2:$S$33,0)&gt;150,"",_xlfn.RANK.AVG(B14,$B$2:$S$33,0)),"")</f>
        <v/>
      </c>
      <c r="C85" s="1" t="str">
        <f t="shared" si="13"/>
        <v/>
      </c>
      <c r="D85" s="1" t="str">
        <f t="shared" si="13"/>
        <v/>
      </c>
      <c r="E85" s="1">
        <f t="shared" si="13"/>
        <v>51.5</v>
      </c>
      <c r="F85" s="1" t="str">
        <f t="shared" si="13"/>
        <v/>
      </c>
      <c r="G85" s="1" t="str">
        <f t="shared" si="13"/>
        <v/>
      </c>
      <c r="H85" s="1" t="str">
        <f t="shared" si="13"/>
        <v/>
      </c>
      <c r="I85" s="1" t="str">
        <f t="shared" si="13"/>
        <v/>
      </c>
      <c r="J85" s="1" t="str">
        <f t="shared" si="13"/>
        <v/>
      </c>
      <c r="K85" s="1" t="str">
        <f t="shared" si="13"/>
        <v/>
      </c>
      <c r="L85" s="1">
        <f t="shared" si="13"/>
        <v>51.5</v>
      </c>
      <c r="M85" s="1" t="str">
        <f t="shared" si="13"/>
        <v/>
      </c>
      <c r="N85" s="1" t="str">
        <f t="shared" si="13"/>
        <v/>
      </c>
      <c r="O85" s="1" t="str">
        <f t="shared" si="13"/>
        <v/>
      </c>
      <c r="P85" s="1" t="str">
        <f t="shared" si="13"/>
        <v/>
      </c>
      <c r="Q85" s="1" t="str">
        <f t="shared" si="13"/>
        <v/>
      </c>
      <c r="R85" s="1" t="str">
        <f t="shared" si="13"/>
        <v/>
      </c>
      <c r="S85" s="1" t="str">
        <f t="shared" si="13"/>
        <v/>
      </c>
    </row>
    <row r="86" spans="1:19" x14ac:dyDescent="0.25">
      <c r="A86" t="s">
        <v>32</v>
      </c>
      <c r="B86" s="1">
        <f t="shared" ref="B86:S86" si="14">IFERROR(IF(_xlfn.RANK.AVG(B15,$B$2:$S$33,0)&gt;150,"",_xlfn.RANK.AVG(B15,$B$2:$S$33,0)),"")</f>
        <v>111</v>
      </c>
      <c r="C86" s="1" t="str">
        <f t="shared" si="14"/>
        <v/>
      </c>
      <c r="D86" s="1">
        <f t="shared" si="14"/>
        <v>43.5</v>
      </c>
      <c r="E86" s="1" t="str">
        <f t="shared" si="14"/>
        <v/>
      </c>
      <c r="F86" s="1" t="str">
        <f t="shared" si="14"/>
        <v/>
      </c>
      <c r="G86" s="1" t="str">
        <f t="shared" si="14"/>
        <v/>
      </c>
      <c r="H86" s="1" t="str">
        <f t="shared" si="14"/>
        <v/>
      </c>
      <c r="I86" s="1">
        <f t="shared" si="14"/>
        <v>43.5</v>
      </c>
      <c r="J86" s="1" t="str">
        <f t="shared" si="14"/>
        <v/>
      </c>
      <c r="K86" s="1">
        <f t="shared" si="14"/>
        <v>137</v>
      </c>
      <c r="L86" s="1" t="str">
        <f t="shared" si="14"/>
        <v/>
      </c>
      <c r="M86" s="1" t="str">
        <f t="shared" si="14"/>
        <v/>
      </c>
      <c r="N86" s="1" t="str">
        <f t="shared" si="14"/>
        <v/>
      </c>
      <c r="O86" s="1" t="str">
        <f t="shared" si="14"/>
        <v/>
      </c>
      <c r="P86" s="1" t="str">
        <f t="shared" si="14"/>
        <v/>
      </c>
      <c r="Q86" s="1" t="str">
        <f t="shared" si="14"/>
        <v/>
      </c>
      <c r="R86" s="1" t="str">
        <f t="shared" si="14"/>
        <v/>
      </c>
      <c r="S86" s="1" t="str">
        <f t="shared" si="14"/>
        <v/>
      </c>
    </row>
    <row r="87" spans="1:19" x14ac:dyDescent="0.25">
      <c r="A87" t="s">
        <v>33</v>
      </c>
      <c r="B87" s="1">
        <f t="shared" ref="B87:S87" si="15">IFERROR(IF(_xlfn.RANK.AVG(B16,$B$2:$S$33,0)&gt;150,"",_xlfn.RANK.AVG(B16,$B$2:$S$33,0)),"")</f>
        <v>96</v>
      </c>
      <c r="C87" s="1" t="str">
        <f t="shared" si="15"/>
        <v/>
      </c>
      <c r="D87" s="1" t="str">
        <f t="shared" si="15"/>
        <v/>
      </c>
      <c r="E87" s="1" t="str">
        <f t="shared" si="15"/>
        <v/>
      </c>
      <c r="F87" s="1" t="str">
        <f t="shared" si="15"/>
        <v/>
      </c>
      <c r="G87" s="1" t="str">
        <f t="shared" si="15"/>
        <v/>
      </c>
      <c r="H87" s="1" t="str">
        <f t="shared" si="15"/>
        <v/>
      </c>
      <c r="I87" s="1" t="str">
        <f t="shared" si="15"/>
        <v/>
      </c>
      <c r="J87" s="1" t="str">
        <f t="shared" si="15"/>
        <v/>
      </c>
      <c r="K87" s="1" t="str">
        <f t="shared" si="15"/>
        <v/>
      </c>
      <c r="L87" s="1" t="str">
        <f t="shared" si="15"/>
        <v/>
      </c>
      <c r="M87" s="1" t="str">
        <f t="shared" si="15"/>
        <v/>
      </c>
      <c r="N87" s="1">
        <f t="shared" si="15"/>
        <v>64.5</v>
      </c>
      <c r="O87" s="1" t="str">
        <f t="shared" si="15"/>
        <v/>
      </c>
      <c r="P87" s="1" t="str">
        <f t="shared" si="15"/>
        <v/>
      </c>
      <c r="Q87" s="1" t="str">
        <f t="shared" si="15"/>
        <v/>
      </c>
      <c r="R87" s="1" t="str">
        <f t="shared" si="15"/>
        <v/>
      </c>
      <c r="S87" s="1">
        <f t="shared" si="15"/>
        <v>64.5</v>
      </c>
    </row>
    <row r="88" spans="1:19" x14ac:dyDescent="0.25">
      <c r="A88" t="s">
        <v>34</v>
      </c>
      <c r="B88" s="1" t="str">
        <f t="shared" ref="B88:S88" si="16">IFERROR(IF(_xlfn.RANK.AVG(B17,$B$2:$S$33,0)&gt;150,"",_xlfn.RANK.AVG(B17,$B$2:$S$33,0)),"")</f>
        <v/>
      </c>
      <c r="C88" s="1" t="str">
        <f t="shared" si="16"/>
        <v/>
      </c>
      <c r="D88" s="1">
        <f t="shared" si="16"/>
        <v>15</v>
      </c>
      <c r="E88" s="1" t="str">
        <f t="shared" si="16"/>
        <v/>
      </c>
      <c r="F88" s="1">
        <f t="shared" si="16"/>
        <v>68</v>
      </c>
      <c r="G88" s="1" t="str">
        <f t="shared" si="16"/>
        <v/>
      </c>
      <c r="H88" s="1">
        <f t="shared" si="16"/>
        <v>53.5</v>
      </c>
      <c r="I88" s="1" t="str">
        <f t="shared" si="16"/>
        <v/>
      </c>
      <c r="J88" s="1" t="str">
        <f t="shared" si="16"/>
        <v/>
      </c>
      <c r="K88" s="1" t="str">
        <f t="shared" si="16"/>
        <v/>
      </c>
      <c r="L88" s="1">
        <f t="shared" si="16"/>
        <v>126</v>
      </c>
      <c r="M88" s="1">
        <f t="shared" si="16"/>
        <v>111</v>
      </c>
      <c r="N88" s="1">
        <f t="shared" si="16"/>
        <v>115.5</v>
      </c>
      <c r="O88" s="1">
        <f t="shared" si="16"/>
        <v>92</v>
      </c>
      <c r="P88" s="1" t="str">
        <f t="shared" si="16"/>
        <v/>
      </c>
      <c r="Q88" s="1">
        <f t="shared" si="16"/>
        <v>3.5</v>
      </c>
      <c r="R88" s="1">
        <f t="shared" si="16"/>
        <v>126</v>
      </c>
      <c r="S88" s="1">
        <f t="shared" si="16"/>
        <v>53.5</v>
      </c>
    </row>
    <row r="89" spans="1:19" x14ac:dyDescent="0.25">
      <c r="A89" t="s">
        <v>35</v>
      </c>
      <c r="B89" s="1" t="str">
        <f t="shared" ref="B89:S89" si="17">IFERROR(IF(_xlfn.RANK.AVG(B18,$B$2:$S$33,0)&gt;150,"",_xlfn.RANK.AVG(B18,$B$2:$S$33,0)),"")</f>
        <v/>
      </c>
      <c r="C89" s="1" t="str">
        <f t="shared" si="17"/>
        <v/>
      </c>
      <c r="D89" s="1" t="str">
        <f t="shared" si="17"/>
        <v/>
      </c>
      <c r="E89" s="1" t="str">
        <f t="shared" si="17"/>
        <v/>
      </c>
      <c r="F89" s="1" t="str">
        <f t="shared" si="17"/>
        <v/>
      </c>
      <c r="G89" s="1">
        <f t="shared" si="17"/>
        <v>82.5</v>
      </c>
      <c r="H89" s="1" t="str">
        <f t="shared" si="17"/>
        <v/>
      </c>
      <c r="I89" s="1" t="str">
        <f t="shared" si="17"/>
        <v/>
      </c>
      <c r="J89" s="1" t="str">
        <f t="shared" si="17"/>
        <v/>
      </c>
      <c r="K89" s="1" t="str">
        <f t="shared" si="17"/>
        <v/>
      </c>
      <c r="L89" s="1" t="str">
        <f t="shared" si="17"/>
        <v/>
      </c>
      <c r="M89" s="1" t="str">
        <f t="shared" si="17"/>
        <v/>
      </c>
      <c r="N89" s="1" t="str">
        <f t="shared" si="17"/>
        <v/>
      </c>
      <c r="O89" s="1" t="str">
        <f t="shared" si="17"/>
        <v/>
      </c>
      <c r="P89" s="1" t="str">
        <f t="shared" si="17"/>
        <v/>
      </c>
      <c r="Q89" s="1" t="str">
        <f t="shared" si="17"/>
        <v/>
      </c>
      <c r="R89" s="1" t="str">
        <f t="shared" si="17"/>
        <v/>
      </c>
      <c r="S89" s="1" t="str">
        <f t="shared" si="17"/>
        <v/>
      </c>
    </row>
    <row r="90" spans="1:19" x14ac:dyDescent="0.25">
      <c r="A90" t="s">
        <v>36</v>
      </c>
      <c r="B90" s="1" t="str">
        <f t="shared" ref="B90:S90" si="18">IFERROR(IF(_xlfn.RANK.AVG(B19,$B$2:$S$33,0)&gt;150,"",_xlfn.RANK.AVG(B19,$B$2:$S$33,0)),"")</f>
        <v/>
      </c>
      <c r="C90" s="1">
        <f t="shared" si="18"/>
        <v>71.5</v>
      </c>
      <c r="D90" s="1">
        <f t="shared" si="18"/>
        <v>148</v>
      </c>
      <c r="E90" s="1">
        <f t="shared" si="18"/>
        <v>19</v>
      </c>
      <c r="F90" s="1" t="str">
        <f t="shared" si="18"/>
        <v/>
      </c>
      <c r="G90" s="1">
        <f t="shared" si="18"/>
        <v>25</v>
      </c>
      <c r="H90" s="1">
        <f t="shared" si="18"/>
        <v>133.5</v>
      </c>
      <c r="I90" s="1" t="str">
        <f t="shared" si="18"/>
        <v/>
      </c>
      <c r="J90" s="1">
        <f t="shared" si="18"/>
        <v>7.5</v>
      </c>
      <c r="K90" s="1">
        <f t="shared" si="18"/>
        <v>137</v>
      </c>
      <c r="L90" s="1">
        <f t="shared" si="18"/>
        <v>92</v>
      </c>
      <c r="M90" s="1" t="str">
        <f t="shared" si="18"/>
        <v/>
      </c>
      <c r="N90" s="1">
        <f t="shared" si="18"/>
        <v>71.5</v>
      </c>
      <c r="O90" s="1" t="str">
        <f t="shared" si="18"/>
        <v/>
      </c>
      <c r="P90" s="1" t="str">
        <f t="shared" si="18"/>
        <v/>
      </c>
      <c r="Q90" s="1">
        <f t="shared" si="18"/>
        <v>137</v>
      </c>
      <c r="R90" s="1">
        <f t="shared" si="18"/>
        <v>120</v>
      </c>
      <c r="S90" s="1">
        <f t="shared" si="18"/>
        <v>148</v>
      </c>
    </row>
    <row r="91" spans="1:19" x14ac:dyDescent="0.25">
      <c r="A91" t="s">
        <v>37</v>
      </c>
      <c r="B91" s="1" t="str">
        <f t="shared" ref="B91:S91" si="19">IFERROR(IF(_xlfn.RANK.AVG(B20,$B$2:$S$33,0)&gt;150,"",_xlfn.RANK.AVG(B20,$B$2:$S$33,0)),"")</f>
        <v/>
      </c>
      <c r="C91" s="1">
        <f t="shared" si="19"/>
        <v>18</v>
      </c>
      <c r="D91" s="1" t="str">
        <f t="shared" si="19"/>
        <v/>
      </c>
      <c r="E91" s="1" t="str">
        <f t="shared" si="19"/>
        <v/>
      </c>
      <c r="F91" s="1" t="str">
        <f t="shared" si="19"/>
        <v/>
      </c>
      <c r="G91" s="1" t="str">
        <f t="shared" si="19"/>
        <v/>
      </c>
      <c r="H91" s="1" t="str">
        <f t="shared" si="19"/>
        <v/>
      </c>
      <c r="I91" s="1" t="str">
        <f t="shared" si="19"/>
        <v/>
      </c>
      <c r="J91" s="1">
        <f t="shared" si="19"/>
        <v>30</v>
      </c>
      <c r="K91" s="1" t="str">
        <f t="shared" si="19"/>
        <v/>
      </c>
      <c r="L91" s="1">
        <f t="shared" si="19"/>
        <v>115.5</v>
      </c>
      <c r="M91" s="1" t="str">
        <f t="shared" si="19"/>
        <v/>
      </c>
      <c r="N91" s="1">
        <f t="shared" si="19"/>
        <v>33</v>
      </c>
      <c r="O91" s="1" t="str">
        <f t="shared" si="19"/>
        <v/>
      </c>
      <c r="P91" s="1" t="str">
        <f t="shared" si="19"/>
        <v/>
      </c>
      <c r="Q91" s="1">
        <f t="shared" si="19"/>
        <v>115.5</v>
      </c>
      <c r="R91" s="1">
        <f t="shared" si="19"/>
        <v>92</v>
      </c>
      <c r="S91" s="1" t="str">
        <f t="shared" si="19"/>
        <v/>
      </c>
    </row>
    <row r="92" spans="1:19" x14ac:dyDescent="0.25">
      <c r="A92" t="s">
        <v>38</v>
      </c>
      <c r="B92" s="1" t="str">
        <f t="shared" ref="B92:S92" si="20">IFERROR(IF(_xlfn.RANK.AVG(B21,$B$2:$S$33,0)&gt;150,"",_xlfn.RANK.AVG(B21,$B$2:$S$33,0)),"")</f>
        <v/>
      </c>
      <c r="C92" s="1" t="str">
        <f t="shared" si="20"/>
        <v/>
      </c>
      <c r="D92" s="1" t="str">
        <f t="shared" si="20"/>
        <v/>
      </c>
      <c r="E92" s="1" t="str">
        <f t="shared" si="20"/>
        <v/>
      </c>
      <c r="F92" s="1" t="str">
        <f t="shared" si="20"/>
        <v/>
      </c>
      <c r="G92" s="1" t="str">
        <f t="shared" si="20"/>
        <v/>
      </c>
      <c r="H92" s="1" t="str">
        <f t="shared" si="20"/>
        <v/>
      </c>
      <c r="I92" s="1" t="str">
        <f t="shared" si="20"/>
        <v/>
      </c>
      <c r="J92" s="1" t="str">
        <f t="shared" si="20"/>
        <v/>
      </c>
      <c r="K92" s="1" t="str">
        <f t="shared" si="20"/>
        <v/>
      </c>
      <c r="L92" s="1" t="str">
        <f t="shared" si="20"/>
        <v/>
      </c>
      <c r="M92" s="1" t="str">
        <f t="shared" si="20"/>
        <v/>
      </c>
      <c r="N92" s="1" t="str">
        <f t="shared" si="20"/>
        <v/>
      </c>
      <c r="O92" s="1" t="str">
        <f t="shared" si="20"/>
        <v/>
      </c>
      <c r="P92" s="1" t="str">
        <f t="shared" si="20"/>
        <v/>
      </c>
      <c r="Q92" s="1" t="str">
        <f t="shared" si="20"/>
        <v/>
      </c>
      <c r="R92" s="1" t="str">
        <f t="shared" si="20"/>
        <v/>
      </c>
      <c r="S92" s="1" t="str">
        <f t="shared" si="20"/>
        <v/>
      </c>
    </row>
    <row r="93" spans="1:19" x14ac:dyDescent="0.25">
      <c r="A93" t="s">
        <v>39</v>
      </c>
      <c r="B93" s="1" t="str">
        <f t="shared" ref="B93:S93" si="21">IFERROR(IF(_xlfn.RANK.AVG(B22,$B$2:$S$33,0)&gt;150,"",_xlfn.RANK.AVG(B22,$B$2:$S$33,0)),"")</f>
        <v/>
      </c>
      <c r="C93" s="1">
        <f t="shared" si="21"/>
        <v>111</v>
      </c>
      <c r="D93" s="1" t="str">
        <f t="shared" si="21"/>
        <v/>
      </c>
      <c r="E93" s="1" t="str">
        <f t="shared" si="21"/>
        <v/>
      </c>
      <c r="F93" s="1">
        <f t="shared" si="21"/>
        <v>64.5</v>
      </c>
      <c r="G93" s="1" t="str">
        <f t="shared" si="21"/>
        <v/>
      </c>
      <c r="H93" s="1" t="str">
        <f t="shared" si="21"/>
        <v/>
      </c>
      <c r="I93" s="1" t="str">
        <f t="shared" si="21"/>
        <v/>
      </c>
      <c r="J93" s="1" t="str">
        <f t="shared" si="21"/>
        <v/>
      </c>
      <c r="K93" s="1" t="str">
        <f t="shared" si="21"/>
        <v/>
      </c>
      <c r="L93" s="1" t="str">
        <f t="shared" si="21"/>
        <v/>
      </c>
      <c r="M93" s="1" t="str">
        <f t="shared" si="21"/>
        <v/>
      </c>
      <c r="N93" s="1">
        <f t="shared" si="21"/>
        <v>129</v>
      </c>
      <c r="O93" s="1" t="str">
        <f t="shared" si="21"/>
        <v/>
      </c>
      <c r="P93" s="1" t="str">
        <f t="shared" si="21"/>
        <v/>
      </c>
      <c r="Q93" s="1">
        <f t="shared" si="21"/>
        <v>62</v>
      </c>
      <c r="R93" s="1" t="str">
        <f t="shared" si="21"/>
        <v/>
      </c>
      <c r="S93" s="1" t="str">
        <f t="shared" si="21"/>
        <v/>
      </c>
    </row>
    <row r="94" spans="1:19" x14ac:dyDescent="0.25">
      <c r="A94" t="s">
        <v>40</v>
      </c>
      <c r="B94" s="1" t="str">
        <f t="shared" ref="B94:S94" si="22">IFERROR(IF(_xlfn.RANK.AVG(B23,$B$2:$S$33,0)&gt;150,"",_xlfn.RANK.AVG(B23,$B$2:$S$33,0)),"")</f>
        <v/>
      </c>
      <c r="C94" s="1" t="str">
        <f t="shared" si="22"/>
        <v/>
      </c>
      <c r="D94" s="1" t="str">
        <f t="shared" si="22"/>
        <v/>
      </c>
      <c r="E94" s="1" t="str">
        <f t="shared" si="22"/>
        <v/>
      </c>
      <c r="F94" s="1" t="str">
        <f t="shared" si="22"/>
        <v/>
      </c>
      <c r="G94" s="1" t="str">
        <f t="shared" si="22"/>
        <v/>
      </c>
      <c r="H94" s="1">
        <f t="shared" si="22"/>
        <v>140.5</v>
      </c>
      <c r="I94" s="1" t="str">
        <f t="shared" si="22"/>
        <v/>
      </c>
      <c r="J94" s="1" t="str">
        <f t="shared" si="22"/>
        <v/>
      </c>
      <c r="K94" s="1" t="str">
        <f t="shared" si="22"/>
        <v/>
      </c>
      <c r="L94" s="1" t="str">
        <f t="shared" si="22"/>
        <v/>
      </c>
      <c r="M94" s="1" t="str">
        <f t="shared" si="22"/>
        <v/>
      </c>
      <c r="N94" s="1" t="str">
        <f t="shared" si="22"/>
        <v/>
      </c>
      <c r="O94" s="1" t="str">
        <f t="shared" si="22"/>
        <v/>
      </c>
      <c r="P94" s="1" t="str">
        <f t="shared" si="22"/>
        <v/>
      </c>
      <c r="Q94" s="1" t="str">
        <f t="shared" si="22"/>
        <v/>
      </c>
      <c r="R94" s="1" t="str">
        <f t="shared" si="22"/>
        <v/>
      </c>
      <c r="S94" s="1" t="str">
        <f t="shared" si="22"/>
        <v/>
      </c>
    </row>
    <row r="95" spans="1:19" x14ac:dyDescent="0.25">
      <c r="A95" t="s">
        <v>41</v>
      </c>
      <c r="B95" s="1" t="str">
        <f t="shared" ref="B95:S95" si="23">IFERROR(IF(_xlfn.RANK.AVG(B24,$B$2:$S$33,0)&gt;150,"",_xlfn.RANK.AVG(B24,$B$2:$S$33,0)),"")</f>
        <v/>
      </c>
      <c r="C95" s="1" t="str">
        <f t="shared" si="23"/>
        <v/>
      </c>
      <c r="D95" s="1" t="str">
        <f t="shared" si="23"/>
        <v/>
      </c>
      <c r="E95" s="1" t="str">
        <f t="shared" si="23"/>
        <v/>
      </c>
      <c r="F95" s="1" t="str">
        <f t="shared" si="23"/>
        <v/>
      </c>
      <c r="G95" s="1" t="str">
        <f t="shared" si="23"/>
        <v/>
      </c>
      <c r="H95" s="1" t="str">
        <f t="shared" si="23"/>
        <v/>
      </c>
      <c r="I95" s="1" t="str">
        <f t="shared" si="23"/>
        <v/>
      </c>
      <c r="J95" s="1" t="str">
        <f t="shared" si="23"/>
        <v/>
      </c>
      <c r="K95" s="1" t="str">
        <f t="shared" si="23"/>
        <v/>
      </c>
      <c r="L95" s="1" t="str">
        <f t="shared" si="23"/>
        <v/>
      </c>
      <c r="M95" s="1" t="str">
        <f t="shared" si="23"/>
        <v/>
      </c>
      <c r="N95" s="1" t="str">
        <f t="shared" si="23"/>
        <v/>
      </c>
      <c r="O95" s="1" t="str">
        <f t="shared" si="23"/>
        <v/>
      </c>
      <c r="P95" s="1" t="str">
        <f t="shared" si="23"/>
        <v/>
      </c>
      <c r="Q95" s="1" t="str">
        <f t="shared" si="23"/>
        <v/>
      </c>
      <c r="R95" s="1" t="str">
        <f t="shared" si="23"/>
        <v/>
      </c>
      <c r="S95" s="1" t="str">
        <f t="shared" si="23"/>
        <v/>
      </c>
    </row>
    <row r="96" spans="1:19" x14ac:dyDescent="0.25">
      <c r="A96" t="s">
        <v>42</v>
      </c>
      <c r="B96" s="1" t="str">
        <f t="shared" ref="B96:S96" si="24">IFERROR(IF(_xlfn.RANK.AVG(B25,$B$2:$S$33,0)&gt;150,"",_xlfn.RANK.AVG(B25,$B$2:$S$33,0)),"")</f>
        <v/>
      </c>
      <c r="C96" s="1" t="str">
        <f t="shared" si="24"/>
        <v/>
      </c>
      <c r="D96" s="1" t="str">
        <f t="shared" si="24"/>
        <v/>
      </c>
      <c r="E96" s="1" t="str">
        <f t="shared" si="24"/>
        <v/>
      </c>
      <c r="F96" s="1" t="str">
        <f t="shared" si="24"/>
        <v/>
      </c>
      <c r="G96" s="1" t="str">
        <f t="shared" si="24"/>
        <v/>
      </c>
      <c r="H96" s="1" t="str">
        <f t="shared" si="24"/>
        <v/>
      </c>
      <c r="I96" s="1" t="str">
        <f t="shared" si="24"/>
        <v/>
      </c>
      <c r="J96" s="1" t="str">
        <f t="shared" si="24"/>
        <v/>
      </c>
      <c r="K96" s="1" t="str">
        <f t="shared" si="24"/>
        <v/>
      </c>
      <c r="L96" s="1" t="str">
        <f t="shared" si="24"/>
        <v/>
      </c>
      <c r="M96" s="1" t="str">
        <f t="shared" si="24"/>
        <v/>
      </c>
      <c r="N96" s="1" t="str">
        <f t="shared" si="24"/>
        <v/>
      </c>
      <c r="O96" s="1" t="str">
        <f t="shared" si="24"/>
        <v/>
      </c>
      <c r="P96" s="1" t="str">
        <f t="shared" si="24"/>
        <v/>
      </c>
      <c r="Q96" s="1" t="str">
        <f t="shared" si="24"/>
        <v/>
      </c>
      <c r="R96" s="1" t="str">
        <f t="shared" si="24"/>
        <v/>
      </c>
      <c r="S96" s="1" t="str">
        <f t="shared" si="24"/>
        <v/>
      </c>
    </row>
    <row r="97" spans="1:21" x14ac:dyDescent="0.25">
      <c r="A97" t="s">
        <v>43</v>
      </c>
      <c r="B97" s="1" t="str">
        <f t="shared" ref="B97:S97" si="25">IFERROR(IF(_xlfn.RANK.AVG(B26,$B$2:$S$33,0)&gt;150,"",_xlfn.RANK.AVG(B26,$B$2:$S$33,0)),"")</f>
        <v/>
      </c>
      <c r="C97" s="1" t="str">
        <f t="shared" si="25"/>
        <v/>
      </c>
      <c r="D97" s="1" t="str">
        <f t="shared" si="25"/>
        <v/>
      </c>
      <c r="E97" s="1" t="str">
        <f t="shared" si="25"/>
        <v/>
      </c>
      <c r="F97" s="1" t="str">
        <f t="shared" si="25"/>
        <v/>
      </c>
      <c r="G97" s="1" t="str">
        <f t="shared" si="25"/>
        <v/>
      </c>
      <c r="H97" s="1" t="str">
        <f t="shared" si="25"/>
        <v/>
      </c>
      <c r="I97" s="1" t="str">
        <f t="shared" si="25"/>
        <v/>
      </c>
      <c r="J97" s="1" t="str">
        <f t="shared" si="25"/>
        <v/>
      </c>
      <c r="K97" s="1" t="str">
        <f t="shared" si="25"/>
        <v/>
      </c>
      <c r="L97" s="1" t="str">
        <f t="shared" si="25"/>
        <v/>
      </c>
      <c r="M97" s="1" t="str">
        <f t="shared" si="25"/>
        <v/>
      </c>
      <c r="N97" s="1" t="str">
        <f t="shared" si="25"/>
        <v/>
      </c>
      <c r="O97" s="1" t="str">
        <f t="shared" si="25"/>
        <v/>
      </c>
      <c r="P97" s="1" t="str">
        <f t="shared" si="25"/>
        <v/>
      </c>
      <c r="Q97" s="1" t="str">
        <f t="shared" si="25"/>
        <v/>
      </c>
      <c r="R97" s="1" t="str">
        <f t="shared" si="25"/>
        <v/>
      </c>
      <c r="S97" s="1" t="str">
        <f t="shared" si="25"/>
        <v/>
      </c>
    </row>
    <row r="98" spans="1:21" x14ac:dyDescent="0.25">
      <c r="A98" t="s">
        <v>44</v>
      </c>
      <c r="B98" s="1">
        <f t="shared" ref="B98:S98" si="26">IFERROR(IF(_xlfn.RANK.AVG(B27,$B$2:$S$33,0)&gt;150,"",_xlfn.RANK.AVG(B27,$B$2:$S$33,0)),"")</f>
        <v>92</v>
      </c>
      <c r="C98" s="1" t="str">
        <f t="shared" si="26"/>
        <v/>
      </c>
      <c r="D98" s="1">
        <f t="shared" si="26"/>
        <v>133.5</v>
      </c>
      <c r="E98" s="1">
        <f t="shared" si="26"/>
        <v>126</v>
      </c>
      <c r="F98" s="1">
        <f t="shared" si="26"/>
        <v>106</v>
      </c>
      <c r="G98" s="1">
        <f t="shared" si="26"/>
        <v>11.5</v>
      </c>
      <c r="H98" s="1">
        <f t="shared" si="26"/>
        <v>120</v>
      </c>
      <c r="I98" s="1">
        <f t="shared" si="26"/>
        <v>11.5</v>
      </c>
      <c r="J98" s="1" t="str">
        <f t="shared" si="26"/>
        <v/>
      </c>
      <c r="K98" s="1" t="str">
        <f t="shared" si="26"/>
        <v/>
      </c>
      <c r="L98" s="1" t="str">
        <f t="shared" si="26"/>
        <v/>
      </c>
      <c r="M98" s="1">
        <f t="shared" si="26"/>
        <v>92</v>
      </c>
      <c r="N98" s="1">
        <f t="shared" si="26"/>
        <v>71.5</v>
      </c>
      <c r="O98" s="1" t="str">
        <f t="shared" si="26"/>
        <v/>
      </c>
      <c r="P98" s="1">
        <f t="shared" si="26"/>
        <v>46</v>
      </c>
      <c r="Q98" s="1" t="str">
        <f t="shared" si="26"/>
        <v/>
      </c>
      <c r="R98" s="1" t="str">
        <f t="shared" si="26"/>
        <v/>
      </c>
      <c r="S98" s="1" t="str">
        <f t="shared" si="26"/>
        <v/>
      </c>
    </row>
    <row r="99" spans="1:21" x14ac:dyDescent="0.25">
      <c r="A99" t="s">
        <v>45</v>
      </c>
      <c r="B99" s="1">
        <f t="shared" ref="B99:S99" si="27">IFERROR(IF(_xlfn.RANK.AVG(B28,$B$2:$S$33,0)&gt;150,"",_xlfn.RANK.AVG(B28,$B$2:$S$33,0)),"")</f>
        <v>129</v>
      </c>
      <c r="C99" s="1" t="str">
        <f t="shared" si="27"/>
        <v/>
      </c>
      <c r="D99" s="1">
        <f t="shared" si="27"/>
        <v>123</v>
      </c>
      <c r="E99" s="1" t="str">
        <f t="shared" si="27"/>
        <v/>
      </c>
      <c r="F99" s="1" t="str">
        <f t="shared" si="27"/>
        <v/>
      </c>
      <c r="G99" s="1">
        <f t="shared" si="27"/>
        <v>87</v>
      </c>
      <c r="H99" s="1" t="str">
        <f t="shared" si="27"/>
        <v/>
      </c>
      <c r="I99" s="1" t="str">
        <f t="shared" si="27"/>
        <v/>
      </c>
      <c r="J99" s="1" t="str">
        <f t="shared" si="27"/>
        <v/>
      </c>
      <c r="K99" s="1" t="str">
        <f t="shared" si="27"/>
        <v/>
      </c>
      <c r="L99" s="1" t="str">
        <f t="shared" si="27"/>
        <v/>
      </c>
      <c r="M99" s="1" t="str">
        <f t="shared" si="27"/>
        <v/>
      </c>
      <c r="N99" s="1" t="str">
        <f t="shared" si="27"/>
        <v/>
      </c>
      <c r="O99" s="1" t="str">
        <f t="shared" si="27"/>
        <v/>
      </c>
      <c r="P99" s="1">
        <f t="shared" si="27"/>
        <v>106</v>
      </c>
      <c r="Q99" s="1" t="str">
        <f t="shared" si="27"/>
        <v/>
      </c>
      <c r="R99" s="1">
        <f t="shared" si="27"/>
        <v>87</v>
      </c>
      <c r="S99" s="1" t="str">
        <f t="shared" si="27"/>
        <v/>
      </c>
    </row>
    <row r="100" spans="1:21" x14ac:dyDescent="0.25">
      <c r="A100" t="s">
        <v>46</v>
      </c>
      <c r="B100" s="1">
        <f t="shared" ref="B100:S100" si="28">IFERROR(IF(_xlfn.RANK.AVG(B29,$B$2:$S$33,0)&gt;150,"",_xlfn.RANK.AVG(B29,$B$2:$S$33,0)),"")</f>
        <v>99</v>
      </c>
      <c r="C100" s="1">
        <f t="shared" si="28"/>
        <v>22</v>
      </c>
      <c r="D100" s="1">
        <f t="shared" si="28"/>
        <v>148</v>
      </c>
      <c r="E100" s="1">
        <f t="shared" si="28"/>
        <v>142</v>
      </c>
      <c r="F100" s="1" t="str">
        <f t="shared" si="28"/>
        <v/>
      </c>
      <c r="G100" s="1" t="str">
        <f t="shared" si="28"/>
        <v/>
      </c>
      <c r="H100" s="1">
        <f t="shared" si="28"/>
        <v>77</v>
      </c>
      <c r="I100" s="1" t="str">
        <f t="shared" si="28"/>
        <v/>
      </c>
      <c r="J100" s="1">
        <f t="shared" si="28"/>
        <v>48</v>
      </c>
      <c r="K100" s="1" t="str">
        <f t="shared" si="28"/>
        <v/>
      </c>
      <c r="L100" s="1">
        <f t="shared" si="28"/>
        <v>148</v>
      </c>
      <c r="M100" s="1">
        <f t="shared" si="28"/>
        <v>23</v>
      </c>
      <c r="N100" s="1">
        <f t="shared" si="28"/>
        <v>49.5</v>
      </c>
      <c r="O100" s="1" t="str">
        <f t="shared" si="28"/>
        <v/>
      </c>
      <c r="P100" s="1">
        <f t="shared" si="28"/>
        <v>16</v>
      </c>
      <c r="Q100" s="1" t="str">
        <f t="shared" si="28"/>
        <v/>
      </c>
      <c r="R100" s="1" t="str">
        <f t="shared" si="28"/>
        <v/>
      </c>
      <c r="S100" s="1">
        <f t="shared" si="28"/>
        <v>99</v>
      </c>
    </row>
    <row r="101" spans="1:21" x14ac:dyDescent="0.25">
      <c r="A101" t="s">
        <v>47</v>
      </c>
      <c r="B101" s="1" t="str">
        <f t="shared" ref="B101:S101" si="29">IFERROR(IF(_xlfn.RANK.AVG(B30,$B$2:$S$33,0)&gt;150,"",_xlfn.RANK.AVG(B30,$B$2:$S$33,0)),"")</f>
        <v/>
      </c>
      <c r="C101" s="1" t="str">
        <f t="shared" si="29"/>
        <v/>
      </c>
      <c r="D101" s="1">
        <f t="shared" si="29"/>
        <v>137</v>
      </c>
      <c r="E101" s="1" t="str">
        <f t="shared" si="29"/>
        <v/>
      </c>
      <c r="F101" s="1" t="str">
        <f t="shared" si="29"/>
        <v/>
      </c>
      <c r="G101" s="1" t="str">
        <f t="shared" si="29"/>
        <v/>
      </c>
      <c r="H101" s="1" t="str">
        <f t="shared" si="29"/>
        <v/>
      </c>
      <c r="I101" s="1" t="str">
        <f t="shared" si="29"/>
        <v/>
      </c>
      <c r="J101" s="1" t="str">
        <f t="shared" si="29"/>
        <v/>
      </c>
      <c r="K101" s="1" t="str">
        <f t="shared" si="29"/>
        <v/>
      </c>
      <c r="L101" s="1" t="str">
        <f t="shared" si="29"/>
        <v/>
      </c>
      <c r="M101" s="1">
        <f t="shared" si="29"/>
        <v>111</v>
      </c>
      <c r="N101" s="1" t="str">
        <f t="shared" si="29"/>
        <v/>
      </c>
      <c r="O101" s="1" t="str">
        <f t="shared" si="29"/>
        <v/>
      </c>
      <c r="P101" s="1" t="str">
        <f t="shared" si="29"/>
        <v/>
      </c>
      <c r="Q101" s="1" t="str">
        <f t="shared" si="29"/>
        <v/>
      </c>
      <c r="R101" s="1">
        <f t="shared" si="29"/>
        <v>140.5</v>
      </c>
      <c r="S101" s="1" t="str">
        <f t="shared" si="29"/>
        <v/>
      </c>
    </row>
    <row r="102" spans="1:21" x14ac:dyDescent="0.25">
      <c r="A102" t="s">
        <v>48</v>
      </c>
      <c r="B102" s="1">
        <f t="shared" ref="B102:S102" si="30">IFERROR(IF(_xlfn.RANK.AVG(B31,$B$2:$S$33,0)&gt;150,"",_xlfn.RANK.AVG(B31,$B$2:$S$33,0)),"")</f>
        <v>102</v>
      </c>
      <c r="C102" s="1" t="str">
        <f t="shared" si="30"/>
        <v/>
      </c>
      <c r="D102" s="1">
        <f t="shared" si="30"/>
        <v>96</v>
      </c>
      <c r="E102" s="1" t="str">
        <f t="shared" si="30"/>
        <v/>
      </c>
      <c r="F102" s="1">
        <f t="shared" si="30"/>
        <v>123</v>
      </c>
      <c r="G102" s="1" t="str">
        <f t="shared" si="30"/>
        <v/>
      </c>
      <c r="H102" s="1" t="str">
        <f t="shared" si="30"/>
        <v/>
      </c>
      <c r="I102" s="1">
        <f t="shared" si="30"/>
        <v>38</v>
      </c>
      <c r="J102" s="1" t="str">
        <f t="shared" si="30"/>
        <v/>
      </c>
      <c r="K102" s="1">
        <f t="shared" si="30"/>
        <v>87</v>
      </c>
      <c r="L102" s="1" t="str">
        <f t="shared" si="30"/>
        <v/>
      </c>
      <c r="M102" s="1" t="str">
        <f t="shared" si="30"/>
        <v/>
      </c>
      <c r="N102" s="1" t="str">
        <f t="shared" si="30"/>
        <v/>
      </c>
      <c r="O102" s="1">
        <f t="shared" si="30"/>
        <v>38</v>
      </c>
      <c r="P102" s="1">
        <f t="shared" si="30"/>
        <v>102</v>
      </c>
      <c r="Q102" s="1">
        <f t="shared" si="30"/>
        <v>41.5</v>
      </c>
      <c r="R102" s="1">
        <f t="shared" si="30"/>
        <v>75</v>
      </c>
      <c r="S102" s="1">
        <f t="shared" si="30"/>
        <v>41.5</v>
      </c>
    </row>
    <row r="103" spans="1:21" x14ac:dyDescent="0.25">
      <c r="A103" t="s">
        <v>49</v>
      </c>
      <c r="B103" s="1" t="str">
        <f t="shared" ref="B103:S103" si="31">IFERROR(IF(_xlfn.RANK.AVG(B32,$B$2:$S$33,0)&gt;150,"",_xlfn.RANK.AVG(B32,$B$2:$S$33,0)),"")</f>
        <v/>
      </c>
      <c r="C103" s="1" t="str">
        <f t="shared" si="31"/>
        <v/>
      </c>
      <c r="D103" s="1" t="str">
        <f t="shared" si="31"/>
        <v/>
      </c>
      <c r="E103" s="1" t="str">
        <f t="shared" si="31"/>
        <v/>
      </c>
      <c r="F103" s="1" t="str">
        <f t="shared" si="31"/>
        <v/>
      </c>
      <c r="G103" s="1" t="str">
        <f t="shared" si="31"/>
        <v/>
      </c>
      <c r="H103" s="1" t="str">
        <f t="shared" si="31"/>
        <v/>
      </c>
      <c r="I103" s="1" t="str">
        <f t="shared" si="31"/>
        <v/>
      </c>
      <c r="J103" s="1" t="str">
        <f t="shared" si="31"/>
        <v/>
      </c>
      <c r="K103" s="1" t="str">
        <f t="shared" si="31"/>
        <v/>
      </c>
      <c r="L103" s="1" t="str">
        <f t="shared" si="31"/>
        <v/>
      </c>
      <c r="M103" s="1" t="str">
        <f t="shared" si="31"/>
        <v/>
      </c>
      <c r="N103" s="1" t="str">
        <f t="shared" si="31"/>
        <v/>
      </c>
      <c r="O103" s="1" t="str">
        <f t="shared" si="31"/>
        <v/>
      </c>
      <c r="P103" s="1" t="str">
        <f t="shared" si="31"/>
        <v/>
      </c>
      <c r="Q103" s="1" t="str">
        <f t="shared" si="31"/>
        <v/>
      </c>
      <c r="R103" s="1" t="str">
        <f t="shared" si="31"/>
        <v/>
      </c>
      <c r="S103" s="1" t="str">
        <f t="shared" si="31"/>
        <v/>
      </c>
    </row>
    <row r="104" spans="1:21" x14ac:dyDescent="0.25">
      <c r="A104" t="s">
        <v>50</v>
      </c>
      <c r="B104" s="1">
        <f t="shared" ref="B104:S104" si="32">IFERROR(IF(_xlfn.RANK.AVG(B33,$B$2:$S$33,0)&gt;150,"",_xlfn.RANK.AVG(B33,$B$2:$S$33,0)),"")</f>
        <v>38</v>
      </c>
      <c r="C104" s="1" t="str">
        <f t="shared" si="32"/>
        <v/>
      </c>
      <c r="D104" s="1">
        <f t="shared" si="32"/>
        <v>106</v>
      </c>
      <c r="E104" s="1">
        <f t="shared" si="32"/>
        <v>64.5</v>
      </c>
      <c r="F104" s="1" t="str">
        <f t="shared" si="32"/>
        <v/>
      </c>
      <c r="G104" s="1">
        <f t="shared" si="32"/>
        <v>148</v>
      </c>
      <c r="H104" s="1" t="str">
        <f t="shared" si="32"/>
        <v/>
      </c>
      <c r="I104" s="1" t="str">
        <f t="shared" si="32"/>
        <v/>
      </c>
      <c r="J104" s="1">
        <f t="shared" si="32"/>
        <v>79</v>
      </c>
      <c r="K104" s="1" t="str">
        <f t="shared" si="32"/>
        <v/>
      </c>
      <c r="L104" s="1">
        <f t="shared" si="32"/>
        <v>49.5</v>
      </c>
      <c r="M104" s="1" t="str">
        <f t="shared" si="32"/>
        <v/>
      </c>
      <c r="N104" s="1" t="str">
        <f t="shared" si="32"/>
        <v/>
      </c>
      <c r="O104" s="1" t="str">
        <f t="shared" si="32"/>
        <v/>
      </c>
      <c r="P104" s="1">
        <f t="shared" si="32"/>
        <v>38</v>
      </c>
      <c r="Q104" s="1" t="str">
        <f t="shared" si="32"/>
        <v/>
      </c>
      <c r="R104" s="1" t="str">
        <f t="shared" si="32"/>
        <v/>
      </c>
      <c r="S104" s="1" t="str">
        <f t="shared" si="32"/>
        <v/>
      </c>
    </row>
    <row r="108" spans="1:21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9</v>
      </c>
      <c r="K108" t="s">
        <v>10</v>
      </c>
      <c r="L108" t="s">
        <v>11</v>
      </c>
      <c r="M108" t="s">
        <v>12</v>
      </c>
      <c r="N108" t="s">
        <v>13</v>
      </c>
      <c r="O108" t="s">
        <v>14</v>
      </c>
      <c r="P108" t="s">
        <v>15</v>
      </c>
      <c r="Q108" t="s">
        <v>16</v>
      </c>
      <c r="R108" t="s">
        <v>17</v>
      </c>
      <c r="S108" t="s">
        <v>18</v>
      </c>
      <c r="T108" t="s">
        <v>53</v>
      </c>
      <c r="U108" t="s">
        <v>54</v>
      </c>
    </row>
    <row r="109" spans="1:21" x14ac:dyDescent="0.25">
      <c r="A109" t="s">
        <v>40</v>
      </c>
      <c r="B109" s="6" t="str">
        <f t="shared" ref="B109:B140" si="33">VLOOKUP($A109,$A$73:$S$104,2,FALSE)</f>
        <v/>
      </c>
      <c r="C109" s="1" t="str">
        <f t="shared" ref="C109:C133" si="34">VLOOKUP($A109,$A$73:$S$104,3,FALSE)</f>
        <v/>
      </c>
      <c r="D109" s="1" t="str">
        <f t="shared" ref="D109:D133" si="35">VLOOKUP($A109,$A$73:$S$104,4,FALSE)</f>
        <v/>
      </c>
      <c r="E109" s="1" t="str">
        <f t="shared" ref="E109:E133" si="36">VLOOKUP($A109,$A$73:$S$104,5,FALSE)</f>
        <v/>
      </c>
      <c r="F109" s="1" t="str">
        <f t="shared" ref="F109:F133" si="37">VLOOKUP($A109,$A$73:$S$104,6,FALSE)</f>
        <v/>
      </c>
      <c r="G109" s="1" t="str">
        <f t="shared" ref="G109:G133" si="38">VLOOKUP($A109,$A$73:$S$104,7,FALSE)</f>
        <v/>
      </c>
      <c r="H109" s="1">
        <f t="shared" ref="H109:H140" si="39">VLOOKUP($A109,$A$73:$S$104,8,FALSE)</f>
        <v>140.5</v>
      </c>
      <c r="I109" s="1" t="str">
        <f t="shared" ref="I109:I133" si="40">VLOOKUP($A109,$A$73:$S$104,9,FALSE)</f>
        <v/>
      </c>
      <c r="J109" s="1" t="str">
        <f t="shared" ref="J109:J133" si="41">VLOOKUP($A109,$A$73:$S$104,10,FALSE)</f>
        <v/>
      </c>
      <c r="K109" s="1" t="str">
        <f t="shared" ref="K109:K133" si="42">VLOOKUP($A109,$A$73:$S$104,11,FALSE)</f>
        <v/>
      </c>
      <c r="L109" s="1" t="str">
        <f t="shared" ref="L109:L133" si="43">VLOOKUP($A109,$A$73:$S$104,12,FALSE)</f>
        <v/>
      </c>
      <c r="M109" s="1" t="str">
        <f t="shared" ref="M109:M133" si="44">VLOOKUP($A109,$A$73:$S$104,13,FALSE)</f>
        <v/>
      </c>
      <c r="N109" s="1" t="str">
        <f t="shared" ref="N109:N133" si="45">VLOOKUP($A109,$A$73:$S$104,14,FALSE)</f>
        <v/>
      </c>
      <c r="O109" s="1" t="str">
        <f t="shared" ref="O109:O133" si="46">VLOOKUP($A109,$A$73:$S$104,15,FALSE)</f>
        <v/>
      </c>
      <c r="P109" s="1" t="str">
        <f t="shared" ref="P109:P121" si="47">VLOOKUP($A109,$A$73:$S$104,16,FALSE)</f>
        <v/>
      </c>
      <c r="Q109" s="1" t="str">
        <f t="shared" ref="Q109:Q133" si="48">VLOOKUP($A109,$A$73:$S$104,17,FALSE)</f>
        <v/>
      </c>
      <c r="R109" s="1" t="str">
        <f t="shared" ref="R109:R133" si="49">VLOOKUP($A109,$A$73:$S$104,18,FALSE)</f>
        <v/>
      </c>
      <c r="S109" s="1" t="str">
        <f t="shared" ref="S109:S133" si="50">VLOOKUP($A109,$A$73:$S$104,19,FALSE)</f>
        <v/>
      </c>
      <c r="T109">
        <f t="shared" ref="T109:T140" si="51">COUNT(B109:S109)</f>
        <v>1</v>
      </c>
      <c r="U109" s="10">
        <f t="shared" ref="U109:U140" si="52">MIN(B109:S109)</f>
        <v>140.5</v>
      </c>
    </row>
    <row r="110" spans="1:21" x14ac:dyDescent="0.25">
      <c r="A110" t="s">
        <v>47</v>
      </c>
      <c r="B110" s="6" t="str">
        <f t="shared" si="33"/>
        <v/>
      </c>
      <c r="C110" s="1" t="str">
        <f t="shared" si="34"/>
        <v/>
      </c>
      <c r="D110" s="1">
        <f t="shared" si="35"/>
        <v>137</v>
      </c>
      <c r="E110" s="1" t="str">
        <f t="shared" si="36"/>
        <v/>
      </c>
      <c r="F110" s="1" t="str">
        <f t="shared" si="37"/>
        <v/>
      </c>
      <c r="G110" s="1" t="str">
        <f t="shared" si="38"/>
        <v/>
      </c>
      <c r="H110" s="1" t="str">
        <f t="shared" si="39"/>
        <v/>
      </c>
      <c r="I110" s="1" t="str">
        <f t="shared" si="40"/>
        <v/>
      </c>
      <c r="J110" s="1" t="str">
        <f t="shared" si="41"/>
        <v/>
      </c>
      <c r="K110" s="1" t="str">
        <f t="shared" si="42"/>
        <v/>
      </c>
      <c r="L110" s="1" t="str">
        <f t="shared" si="43"/>
        <v/>
      </c>
      <c r="M110" s="1">
        <f t="shared" si="44"/>
        <v>111</v>
      </c>
      <c r="N110" s="1" t="str">
        <f t="shared" si="45"/>
        <v/>
      </c>
      <c r="O110" s="1" t="str">
        <f t="shared" si="46"/>
        <v/>
      </c>
      <c r="P110" s="1" t="str">
        <f t="shared" si="47"/>
        <v/>
      </c>
      <c r="Q110" s="1" t="str">
        <f t="shared" si="48"/>
        <v/>
      </c>
      <c r="R110" s="1">
        <f t="shared" si="49"/>
        <v>140.5</v>
      </c>
      <c r="S110" s="1" t="str">
        <f t="shared" si="50"/>
        <v/>
      </c>
      <c r="T110">
        <f t="shared" si="51"/>
        <v>3</v>
      </c>
      <c r="U110" s="10">
        <f t="shared" si="52"/>
        <v>111</v>
      </c>
    </row>
    <row r="111" spans="1:21" s="2" customFormat="1" ht="18.75" x14ac:dyDescent="0.3">
      <c r="A111" t="s">
        <v>45</v>
      </c>
      <c r="B111" s="6">
        <f t="shared" si="33"/>
        <v>129</v>
      </c>
      <c r="C111" s="1" t="str">
        <f t="shared" si="34"/>
        <v/>
      </c>
      <c r="D111" s="1">
        <f t="shared" si="35"/>
        <v>123</v>
      </c>
      <c r="E111" s="1" t="str">
        <f t="shared" si="36"/>
        <v/>
      </c>
      <c r="F111" s="1" t="str">
        <f t="shared" si="37"/>
        <v/>
      </c>
      <c r="G111" s="1">
        <f t="shared" si="38"/>
        <v>87</v>
      </c>
      <c r="H111" s="1" t="str">
        <f t="shared" si="39"/>
        <v/>
      </c>
      <c r="I111" s="1" t="str">
        <f t="shared" si="40"/>
        <v/>
      </c>
      <c r="J111" s="1" t="str">
        <f t="shared" si="41"/>
        <v/>
      </c>
      <c r="K111" s="1" t="str">
        <f t="shared" si="42"/>
        <v/>
      </c>
      <c r="L111" s="1" t="str">
        <f t="shared" si="43"/>
        <v/>
      </c>
      <c r="M111" s="1" t="str">
        <f t="shared" si="44"/>
        <v/>
      </c>
      <c r="N111" s="1" t="str">
        <f t="shared" si="45"/>
        <v/>
      </c>
      <c r="O111" s="1" t="str">
        <f t="shared" si="46"/>
        <v/>
      </c>
      <c r="P111" s="1">
        <f t="shared" si="47"/>
        <v>106</v>
      </c>
      <c r="Q111" s="1" t="str">
        <f t="shared" si="48"/>
        <v/>
      </c>
      <c r="R111" s="7">
        <f t="shared" si="49"/>
        <v>87</v>
      </c>
      <c r="S111" s="1" t="str">
        <f t="shared" si="50"/>
        <v/>
      </c>
      <c r="T111" s="2">
        <f t="shared" si="51"/>
        <v>5</v>
      </c>
      <c r="U111" s="10">
        <f t="shared" si="52"/>
        <v>87</v>
      </c>
    </row>
    <row r="112" spans="1:21" s="2" customFormat="1" x14ac:dyDescent="0.25">
      <c r="A112" t="s">
        <v>35</v>
      </c>
      <c r="B112" s="6" t="str">
        <f t="shared" si="33"/>
        <v/>
      </c>
      <c r="C112" s="1" t="str">
        <f t="shared" si="34"/>
        <v/>
      </c>
      <c r="D112" s="1" t="str">
        <f t="shared" si="35"/>
        <v/>
      </c>
      <c r="E112" s="1" t="str">
        <f t="shared" si="36"/>
        <v/>
      </c>
      <c r="F112" s="1" t="str">
        <f t="shared" si="37"/>
        <v/>
      </c>
      <c r="G112" s="1">
        <f t="shared" si="38"/>
        <v>82.5</v>
      </c>
      <c r="H112" s="1" t="str">
        <f t="shared" si="39"/>
        <v/>
      </c>
      <c r="I112" s="1" t="str">
        <f t="shared" si="40"/>
        <v/>
      </c>
      <c r="J112" s="1" t="str">
        <f t="shared" si="41"/>
        <v/>
      </c>
      <c r="K112" s="1" t="str">
        <f t="shared" si="42"/>
        <v/>
      </c>
      <c r="L112" s="1" t="str">
        <f t="shared" si="43"/>
        <v/>
      </c>
      <c r="M112" s="1" t="str">
        <f t="shared" si="44"/>
        <v/>
      </c>
      <c r="N112" s="1" t="str">
        <f t="shared" si="45"/>
        <v/>
      </c>
      <c r="O112" s="1" t="str">
        <f t="shared" si="46"/>
        <v/>
      </c>
      <c r="P112" s="1" t="str">
        <f t="shared" si="47"/>
        <v/>
      </c>
      <c r="Q112" s="1" t="str">
        <f t="shared" si="48"/>
        <v/>
      </c>
      <c r="R112" s="1" t="str">
        <f t="shared" si="49"/>
        <v/>
      </c>
      <c r="S112" s="1" t="str">
        <f t="shared" si="50"/>
        <v/>
      </c>
      <c r="T112">
        <f t="shared" si="51"/>
        <v>1</v>
      </c>
      <c r="U112" s="10">
        <f t="shared" si="52"/>
        <v>82.5</v>
      </c>
    </row>
    <row r="113" spans="1:23" x14ac:dyDescent="0.25">
      <c r="A113" t="s">
        <v>24</v>
      </c>
      <c r="B113" s="6" t="str">
        <f t="shared" si="33"/>
        <v/>
      </c>
      <c r="C113" s="1" t="str">
        <f t="shared" si="34"/>
        <v/>
      </c>
      <c r="D113" s="1" t="str">
        <f t="shared" si="35"/>
        <v/>
      </c>
      <c r="E113" s="1" t="str">
        <f t="shared" si="36"/>
        <v/>
      </c>
      <c r="F113" s="1" t="str">
        <f t="shared" si="37"/>
        <v/>
      </c>
      <c r="G113" s="1" t="str">
        <f t="shared" si="38"/>
        <v/>
      </c>
      <c r="H113" s="1">
        <f t="shared" si="39"/>
        <v>71.5</v>
      </c>
      <c r="I113" s="1" t="str">
        <f t="shared" si="40"/>
        <v/>
      </c>
      <c r="J113" s="1" t="str">
        <f t="shared" si="41"/>
        <v/>
      </c>
      <c r="K113" s="1">
        <f t="shared" si="42"/>
        <v>111</v>
      </c>
      <c r="L113" s="1" t="str">
        <f t="shared" si="43"/>
        <v/>
      </c>
      <c r="M113" s="1" t="str">
        <f t="shared" si="44"/>
        <v/>
      </c>
      <c r="N113" s="1" t="str">
        <f t="shared" si="45"/>
        <v/>
      </c>
      <c r="O113" s="1" t="str">
        <f t="shared" si="46"/>
        <v/>
      </c>
      <c r="P113" s="1">
        <f t="shared" si="47"/>
        <v>115.5</v>
      </c>
      <c r="Q113" s="1" t="str">
        <f t="shared" si="48"/>
        <v/>
      </c>
      <c r="R113" s="1" t="str">
        <f t="shared" si="49"/>
        <v/>
      </c>
      <c r="S113" s="1" t="str">
        <f t="shared" si="50"/>
        <v/>
      </c>
      <c r="T113" s="2">
        <f t="shared" si="51"/>
        <v>3</v>
      </c>
      <c r="U113" s="10">
        <f t="shared" si="52"/>
        <v>71.5</v>
      </c>
    </row>
    <row r="114" spans="1:23" s="2" customFormat="1" x14ac:dyDescent="0.25">
      <c r="A114" t="s">
        <v>33</v>
      </c>
      <c r="B114" s="6">
        <f t="shared" si="33"/>
        <v>96</v>
      </c>
      <c r="C114" s="1" t="str">
        <f t="shared" si="34"/>
        <v/>
      </c>
      <c r="D114" s="1" t="str">
        <f t="shared" si="35"/>
        <v/>
      </c>
      <c r="E114" s="1" t="str">
        <f t="shared" si="36"/>
        <v/>
      </c>
      <c r="F114" s="1" t="str">
        <f t="shared" si="37"/>
        <v/>
      </c>
      <c r="G114" s="1" t="str">
        <f t="shared" si="38"/>
        <v/>
      </c>
      <c r="H114" s="1" t="str">
        <f t="shared" si="39"/>
        <v/>
      </c>
      <c r="I114" s="1" t="str">
        <f t="shared" si="40"/>
        <v/>
      </c>
      <c r="J114" s="1" t="str">
        <f t="shared" si="41"/>
        <v/>
      </c>
      <c r="K114" s="1" t="str">
        <f t="shared" si="42"/>
        <v/>
      </c>
      <c r="L114" s="1" t="str">
        <f t="shared" si="43"/>
        <v/>
      </c>
      <c r="M114" s="1" t="str">
        <f t="shared" si="44"/>
        <v/>
      </c>
      <c r="N114" s="1">
        <f t="shared" si="45"/>
        <v>64.5</v>
      </c>
      <c r="O114" s="1" t="str">
        <f t="shared" si="46"/>
        <v/>
      </c>
      <c r="P114" s="1" t="str">
        <f t="shared" si="47"/>
        <v/>
      </c>
      <c r="Q114" s="1" t="str">
        <f t="shared" si="48"/>
        <v/>
      </c>
      <c r="R114" s="1" t="str">
        <f t="shared" si="49"/>
        <v/>
      </c>
      <c r="S114" s="1">
        <f t="shared" si="50"/>
        <v>64.5</v>
      </c>
      <c r="T114">
        <f t="shared" si="51"/>
        <v>3</v>
      </c>
      <c r="U114" s="10">
        <f t="shared" si="52"/>
        <v>64.5</v>
      </c>
    </row>
    <row r="115" spans="1:23" ht="18.75" x14ac:dyDescent="0.3">
      <c r="A115" t="s">
        <v>39</v>
      </c>
      <c r="B115" s="6" t="str">
        <f t="shared" si="33"/>
        <v/>
      </c>
      <c r="C115" s="1">
        <f t="shared" si="34"/>
        <v>111</v>
      </c>
      <c r="D115" s="1" t="str">
        <f t="shared" si="35"/>
        <v/>
      </c>
      <c r="E115" s="1" t="str">
        <f t="shared" si="36"/>
        <v/>
      </c>
      <c r="F115" s="1">
        <f t="shared" si="37"/>
        <v>64.5</v>
      </c>
      <c r="G115" s="1" t="str">
        <f t="shared" si="38"/>
        <v/>
      </c>
      <c r="H115" s="1" t="str">
        <f t="shared" si="39"/>
        <v/>
      </c>
      <c r="I115" s="1" t="str">
        <f t="shared" si="40"/>
        <v/>
      </c>
      <c r="J115" s="1" t="str">
        <f t="shared" si="41"/>
        <v/>
      </c>
      <c r="K115" s="1" t="str">
        <f t="shared" si="42"/>
        <v/>
      </c>
      <c r="L115" s="1" t="str">
        <f t="shared" si="43"/>
        <v/>
      </c>
      <c r="M115" s="1" t="str">
        <f t="shared" si="44"/>
        <v/>
      </c>
      <c r="N115" s="1">
        <f t="shared" si="45"/>
        <v>129</v>
      </c>
      <c r="O115" s="1" t="str">
        <f t="shared" si="46"/>
        <v/>
      </c>
      <c r="P115" s="1" t="str">
        <f t="shared" si="47"/>
        <v/>
      </c>
      <c r="Q115" s="7">
        <f t="shared" si="48"/>
        <v>62</v>
      </c>
      <c r="R115" s="1" t="str">
        <f t="shared" si="49"/>
        <v/>
      </c>
      <c r="S115" s="1" t="str">
        <f t="shared" si="50"/>
        <v/>
      </c>
      <c r="T115">
        <f t="shared" si="51"/>
        <v>4</v>
      </c>
      <c r="U115" s="10">
        <f t="shared" si="52"/>
        <v>62</v>
      </c>
      <c r="V115" t="s">
        <v>55</v>
      </c>
    </row>
    <row r="116" spans="1:23" ht="18.75" x14ac:dyDescent="0.3">
      <c r="A116" t="s">
        <v>19</v>
      </c>
      <c r="B116" s="6">
        <f t="shared" si="33"/>
        <v>82.5</v>
      </c>
      <c r="C116" s="1">
        <f t="shared" si="34"/>
        <v>87</v>
      </c>
      <c r="D116" s="1" t="str">
        <f t="shared" si="35"/>
        <v/>
      </c>
      <c r="E116" s="1" t="str">
        <f t="shared" si="36"/>
        <v/>
      </c>
      <c r="F116" s="7">
        <f t="shared" si="37"/>
        <v>59</v>
      </c>
      <c r="G116" s="1" t="str">
        <f t="shared" si="38"/>
        <v/>
      </c>
      <c r="H116" s="1" t="str">
        <f t="shared" si="39"/>
        <v/>
      </c>
      <c r="I116" s="1" t="str">
        <f t="shared" si="40"/>
        <v/>
      </c>
      <c r="J116" s="1" t="str">
        <f t="shared" si="41"/>
        <v/>
      </c>
      <c r="K116" s="1" t="str">
        <f t="shared" si="42"/>
        <v/>
      </c>
      <c r="L116" s="1" t="str">
        <f t="shared" si="43"/>
        <v/>
      </c>
      <c r="M116" s="1" t="str">
        <f t="shared" si="44"/>
        <v/>
      </c>
      <c r="N116" s="1" t="str">
        <f t="shared" si="45"/>
        <v/>
      </c>
      <c r="O116" s="1" t="str">
        <f t="shared" si="46"/>
        <v/>
      </c>
      <c r="P116" s="1" t="str">
        <f t="shared" si="47"/>
        <v/>
      </c>
      <c r="Q116" s="1" t="str">
        <f t="shared" si="48"/>
        <v/>
      </c>
      <c r="R116" s="1" t="str">
        <f t="shared" si="49"/>
        <v/>
      </c>
      <c r="S116" s="1" t="str">
        <f t="shared" si="50"/>
        <v/>
      </c>
      <c r="T116">
        <f t="shared" si="51"/>
        <v>3</v>
      </c>
      <c r="U116" s="10">
        <f t="shared" si="52"/>
        <v>59</v>
      </c>
      <c r="V116">
        <v>11</v>
      </c>
      <c r="W116">
        <f>COUNTIF($T$109:$T$140,V116)</f>
        <v>1</v>
      </c>
    </row>
    <row r="117" spans="1:23" ht="18.75" x14ac:dyDescent="0.3">
      <c r="A117" t="s">
        <v>25</v>
      </c>
      <c r="B117" s="6">
        <f t="shared" si="33"/>
        <v>59</v>
      </c>
      <c r="C117" s="1" t="str">
        <f t="shared" si="34"/>
        <v/>
      </c>
      <c r="D117" s="1" t="str">
        <f t="shared" si="35"/>
        <v/>
      </c>
      <c r="E117" s="1" t="str">
        <f t="shared" si="36"/>
        <v/>
      </c>
      <c r="F117" s="1" t="str">
        <f t="shared" si="37"/>
        <v/>
      </c>
      <c r="G117" s="1" t="str">
        <f t="shared" si="38"/>
        <v/>
      </c>
      <c r="H117" s="1" t="str">
        <f t="shared" si="39"/>
        <v/>
      </c>
      <c r="I117" s="1">
        <f t="shared" si="40"/>
        <v>96</v>
      </c>
      <c r="J117" s="1" t="str">
        <f t="shared" si="41"/>
        <v/>
      </c>
      <c r="K117" s="1" t="str">
        <f t="shared" si="42"/>
        <v/>
      </c>
      <c r="L117" s="1" t="str">
        <f t="shared" si="43"/>
        <v/>
      </c>
      <c r="M117" s="1">
        <f t="shared" si="44"/>
        <v>87</v>
      </c>
      <c r="N117" s="1" t="str">
        <f t="shared" si="45"/>
        <v/>
      </c>
      <c r="O117" s="1" t="str">
        <f t="shared" si="46"/>
        <v/>
      </c>
      <c r="P117" s="7" t="str">
        <f t="shared" si="47"/>
        <v/>
      </c>
      <c r="Q117" s="1">
        <f t="shared" si="48"/>
        <v>75</v>
      </c>
      <c r="R117" s="1" t="str">
        <f t="shared" si="49"/>
        <v/>
      </c>
      <c r="S117" s="7">
        <f t="shared" si="50"/>
        <v>59</v>
      </c>
      <c r="T117">
        <f t="shared" si="51"/>
        <v>5</v>
      </c>
      <c r="U117" s="10">
        <f t="shared" si="52"/>
        <v>59</v>
      </c>
      <c r="V117">
        <v>10</v>
      </c>
      <c r="W117">
        <f>COUNTIF($T$109:$T$140,V117)</f>
        <v>3</v>
      </c>
    </row>
    <row r="118" spans="1:23" ht="18.75" x14ac:dyDescent="0.3">
      <c r="A118" t="s">
        <v>27</v>
      </c>
      <c r="B118" s="6" t="str">
        <f t="shared" si="33"/>
        <v/>
      </c>
      <c r="C118" s="1">
        <f t="shared" si="34"/>
        <v>82.5</v>
      </c>
      <c r="D118" s="1" t="str">
        <f t="shared" si="35"/>
        <v/>
      </c>
      <c r="E118" s="1" t="str">
        <f t="shared" si="36"/>
        <v/>
      </c>
      <c r="F118" s="1">
        <f t="shared" si="37"/>
        <v>129</v>
      </c>
      <c r="G118" s="7">
        <f t="shared" si="38"/>
        <v>55.5</v>
      </c>
      <c r="H118" s="1" t="str">
        <f t="shared" si="39"/>
        <v/>
      </c>
      <c r="I118" s="1" t="str">
        <f t="shared" si="40"/>
        <v/>
      </c>
      <c r="J118" s="1" t="str">
        <f t="shared" si="41"/>
        <v/>
      </c>
      <c r="K118" s="1" t="str">
        <f t="shared" si="42"/>
        <v/>
      </c>
      <c r="L118" s="1" t="str">
        <f t="shared" si="43"/>
        <v/>
      </c>
      <c r="M118" s="1" t="str">
        <f t="shared" si="44"/>
        <v/>
      </c>
      <c r="N118" s="1" t="str">
        <f t="shared" si="45"/>
        <v/>
      </c>
      <c r="O118" s="1" t="str">
        <f t="shared" si="46"/>
        <v/>
      </c>
      <c r="P118" s="1" t="str">
        <f t="shared" si="47"/>
        <v/>
      </c>
      <c r="Q118" s="1" t="str">
        <f t="shared" si="48"/>
        <v/>
      </c>
      <c r="R118" s="1" t="str">
        <f t="shared" si="49"/>
        <v/>
      </c>
      <c r="S118" s="1">
        <f t="shared" si="50"/>
        <v>82.5</v>
      </c>
      <c r="T118">
        <f t="shared" si="51"/>
        <v>4</v>
      </c>
      <c r="U118" s="10">
        <f t="shared" si="52"/>
        <v>55.5</v>
      </c>
      <c r="V118">
        <v>9</v>
      </c>
      <c r="W118">
        <f t="shared" ref="W118:W127" si="53">COUNTIF($T$109:$T$140,V118)</f>
        <v>0</v>
      </c>
    </row>
    <row r="119" spans="1:23" ht="18.75" x14ac:dyDescent="0.3">
      <c r="A119" t="s">
        <v>31</v>
      </c>
      <c r="B119" s="6" t="str">
        <f t="shared" si="33"/>
        <v/>
      </c>
      <c r="C119" s="1" t="str">
        <f t="shared" si="34"/>
        <v/>
      </c>
      <c r="D119" s="1" t="str">
        <f t="shared" si="35"/>
        <v/>
      </c>
      <c r="E119" s="1">
        <f t="shared" si="36"/>
        <v>51.5</v>
      </c>
      <c r="F119" s="1" t="str">
        <f t="shared" si="37"/>
        <v/>
      </c>
      <c r="G119" s="1" t="str">
        <f t="shared" si="38"/>
        <v/>
      </c>
      <c r="H119" s="1" t="str">
        <f t="shared" si="39"/>
        <v/>
      </c>
      <c r="I119" s="1" t="str">
        <f t="shared" si="40"/>
        <v/>
      </c>
      <c r="J119" s="1" t="str">
        <f t="shared" si="41"/>
        <v/>
      </c>
      <c r="K119" s="1" t="str">
        <f t="shared" si="42"/>
        <v/>
      </c>
      <c r="L119" s="7">
        <f t="shared" si="43"/>
        <v>51.5</v>
      </c>
      <c r="M119" s="1" t="str">
        <f t="shared" si="44"/>
        <v/>
      </c>
      <c r="N119" s="1" t="str">
        <f t="shared" si="45"/>
        <v/>
      </c>
      <c r="O119" s="1" t="str">
        <f t="shared" si="46"/>
        <v/>
      </c>
      <c r="P119" s="1" t="str">
        <f t="shared" si="47"/>
        <v/>
      </c>
      <c r="Q119" s="1" t="str">
        <f t="shared" si="48"/>
        <v/>
      </c>
      <c r="R119" s="1" t="str">
        <f t="shared" si="49"/>
        <v/>
      </c>
      <c r="S119" s="1" t="str">
        <f t="shared" si="50"/>
        <v/>
      </c>
      <c r="T119">
        <f t="shared" si="51"/>
        <v>2</v>
      </c>
      <c r="U119" s="10">
        <f t="shared" si="52"/>
        <v>51.5</v>
      </c>
      <c r="V119">
        <v>8</v>
      </c>
      <c r="W119">
        <f t="shared" si="53"/>
        <v>0</v>
      </c>
    </row>
    <row r="120" spans="1:23" ht="18.75" x14ac:dyDescent="0.3">
      <c r="A120" t="s">
        <v>32</v>
      </c>
      <c r="B120" s="6">
        <f t="shared" si="33"/>
        <v>111</v>
      </c>
      <c r="C120" s="1" t="str">
        <f t="shared" si="34"/>
        <v/>
      </c>
      <c r="D120" s="7">
        <f t="shared" si="35"/>
        <v>43.5</v>
      </c>
      <c r="E120" s="1" t="str">
        <f t="shared" si="36"/>
        <v/>
      </c>
      <c r="F120" s="1" t="str">
        <f t="shared" si="37"/>
        <v/>
      </c>
      <c r="G120" s="1" t="str">
        <f t="shared" si="38"/>
        <v/>
      </c>
      <c r="H120" s="1" t="str">
        <f t="shared" si="39"/>
        <v/>
      </c>
      <c r="I120" s="1">
        <f t="shared" si="40"/>
        <v>43.5</v>
      </c>
      <c r="J120" s="1" t="str">
        <f t="shared" si="41"/>
        <v/>
      </c>
      <c r="K120" s="1">
        <f t="shared" si="42"/>
        <v>137</v>
      </c>
      <c r="L120" s="1" t="str">
        <f t="shared" si="43"/>
        <v/>
      </c>
      <c r="M120" s="1" t="str">
        <f t="shared" si="44"/>
        <v/>
      </c>
      <c r="N120" s="1" t="str">
        <f t="shared" si="45"/>
        <v/>
      </c>
      <c r="O120" s="1" t="str">
        <f t="shared" si="46"/>
        <v/>
      </c>
      <c r="P120" s="1" t="str">
        <f t="shared" si="47"/>
        <v/>
      </c>
      <c r="Q120" s="1" t="str">
        <f t="shared" si="48"/>
        <v/>
      </c>
      <c r="R120" s="1" t="str">
        <f t="shared" si="49"/>
        <v/>
      </c>
      <c r="S120" s="1" t="str">
        <f t="shared" si="50"/>
        <v/>
      </c>
      <c r="T120">
        <f t="shared" si="51"/>
        <v>4</v>
      </c>
      <c r="U120" s="10">
        <f t="shared" si="52"/>
        <v>43.5</v>
      </c>
      <c r="V120">
        <v>7</v>
      </c>
      <c r="W120">
        <f t="shared" si="53"/>
        <v>1</v>
      </c>
    </row>
    <row r="121" spans="1:23" ht="18.75" x14ac:dyDescent="0.3">
      <c r="A121" t="s">
        <v>50</v>
      </c>
      <c r="B121" s="6">
        <f t="shared" si="33"/>
        <v>38</v>
      </c>
      <c r="C121" s="1" t="str">
        <f t="shared" si="34"/>
        <v/>
      </c>
      <c r="D121" s="1">
        <f t="shared" si="35"/>
        <v>106</v>
      </c>
      <c r="E121" s="1">
        <f t="shared" si="36"/>
        <v>64.5</v>
      </c>
      <c r="F121" s="1" t="str">
        <f t="shared" si="37"/>
        <v/>
      </c>
      <c r="G121" s="1">
        <f t="shared" si="38"/>
        <v>148</v>
      </c>
      <c r="H121" s="1" t="str">
        <f t="shared" si="39"/>
        <v/>
      </c>
      <c r="I121" s="1" t="str">
        <f t="shared" si="40"/>
        <v/>
      </c>
      <c r="J121" s="1">
        <f t="shared" si="41"/>
        <v>79</v>
      </c>
      <c r="K121" s="1" t="str">
        <f t="shared" si="42"/>
        <v/>
      </c>
      <c r="L121" s="1">
        <f t="shared" si="43"/>
        <v>49.5</v>
      </c>
      <c r="M121" s="1" t="str">
        <f t="shared" si="44"/>
        <v/>
      </c>
      <c r="N121" s="1" t="str">
        <f t="shared" si="45"/>
        <v/>
      </c>
      <c r="O121" s="1" t="str">
        <f t="shared" si="46"/>
        <v/>
      </c>
      <c r="P121" s="7">
        <f t="shared" si="47"/>
        <v>38</v>
      </c>
      <c r="Q121" s="1" t="str">
        <f t="shared" si="48"/>
        <v/>
      </c>
      <c r="R121" s="1" t="str">
        <f t="shared" si="49"/>
        <v/>
      </c>
      <c r="S121" s="1" t="str">
        <f t="shared" si="50"/>
        <v/>
      </c>
      <c r="T121">
        <f t="shared" si="51"/>
        <v>7</v>
      </c>
      <c r="U121" s="10">
        <f t="shared" si="52"/>
        <v>38</v>
      </c>
      <c r="V121">
        <v>6</v>
      </c>
      <c r="W121">
        <f t="shared" si="53"/>
        <v>1</v>
      </c>
    </row>
    <row r="122" spans="1:23" ht="18.75" x14ac:dyDescent="0.3">
      <c r="A122" t="s">
        <v>48</v>
      </c>
      <c r="B122" s="6">
        <f t="shared" si="33"/>
        <v>102</v>
      </c>
      <c r="C122" s="1" t="str">
        <f t="shared" si="34"/>
        <v/>
      </c>
      <c r="D122" s="1">
        <f t="shared" si="35"/>
        <v>96</v>
      </c>
      <c r="E122" s="1" t="str">
        <f t="shared" si="36"/>
        <v/>
      </c>
      <c r="F122" s="1">
        <f t="shared" si="37"/>
        <v>123</v>
      </c>
      <c r="G122" s="1" t="str">
        <f t="shared" si="38"/>
        <v/>
      </c>
      <c r="H122" s="1" t="str">
        <f t="shared" si="39"/>
        <v/>
      </c>
      <c r="I122" s="1">
        <f t="shared" si="40"/>
        <v>38</v>
      </c>
      <c r="J122" s="1" t="str">
        <f t="shared" si="41"/>
        <v/>
      </c>
      <c r="K122" s="1">
        <f t="shared" si="42"/>
        <v>87</v>
      </c>
      <c r="L122" s="1" t="str">
        <f t="shared" si="43"/>
        <v/>
      </c>
      <c r="M122" s="1" t="str">
        <f t="shared" si="44"/>
        <v/>
      </c>
      <c r="N122" s="1" t="str">
        <f t="shared" si="45"/>
        <v/>
      </c>
      <c r="O122" s="7">
        <f t="shared" si="46"/>
        <v>38</v>
      </c>
      <c r="P122" s="1">
        <f t="shared" ref="P122:P123" si="54">VLOOKUP($A122,$A$73:$S$104,16,FALSE)</f>
        <v>102</v>
      </c>
      <c r="Q122" s="1">
        <f t="shared" si="48"/>
        <v>41.5</v>
      </c>
      <c r="R122" s="1">
        <f t="shared" si="49"/>
        <v>75</v>
      </c>
      <c r="S122" s="1">
        <f t="shared" si="50"/>
        <v>41.5</v>
      </c>
      <c r="T122">
        <f t="shared" si="51"/>
        <v>10</v>
      </c>
      <c r="U122" s="10">
        <f t="shared" si="52"/>
        <v>38</v>
      </c>
      <c r="V122">
        <v>5</v>
      </c>
      <c r="W122">
        <f t="shared" si="53"/>
        <v>2</v>
      </c>
    </row>
    <row r="123" spans="1:23" ht="18.75" x14ac:dyDescent="0.3">
      <c r="A123" t="s">
        <v>29</v>
      </c>
      <c r="B123" s="6" t="str">
        <f t="shared" si="33"/>
        <v/>
      </c>
      <c r="C123" s="1">
        <f t="shared" si="34"/>
        <v>144</v>
      </c>
      <c r="D123" s="1" t="str">
        <f t="shared" si="35"/>
        <v/>
      </c>
      <c r="E123" s="7">
        <f t="shared" si="36"/>
        <v>38</v>
      </c>
      <c r="F123" s="1" t="str">
        <f t="shared" si="37"/>
        <v/>
      </c>
      <c r="G123" s="1" t="str">
        <f t="shared" si="38"/>
        <v/>
      </c>
      <c r="H123" s="1" t="str">
        <f t="shared" si="39"/>
        <v/>
      </c>
      <c r="I123" s="1" t="str">
        <f t="shared" si="40"/>
        <v/>
      </c>
      <c r="J123" s="1" t="str">
        <f t="shared" si="41"/>
        <v/>
      </c>
      <c r="K123" s="1" t="str">
        <f t="shared" si="42"/>
        <v/>
      </c>
      <c r="L123" s="1" t="str">
        <f t="shared" si="43"/>
        <v/>
      </c>
      <c r="M123" s="1">
        <f t="shared" si="44"/>
        <v>34.5</v>
      </c>
      <c r="N123" s="1" t="str">
        <f t="shared" si="45"/>
        <v/>
      </c>
      <c r="O123" s="1" t="str">
        <f t="shared" si="46"/>
        <v/>
      </c>
      <c r="P123" s="1" t="str">
        <f t="shared" si="54"/>
        <v/>
      </c>
      <c r="Q123" s="1" t="str">
        <f t="shared" si="48"/>
        <v/>
      </c>
      <c r="R123" s="1" t="str">
        <f t="shared" si="49"/>
        <v/>
      </c>
      <c r="S123" s="1">
        <f t="shared" si="50"/>
        <v>144</v>
      </c>
      <c r="T123">
        <f t="shared" si="51"/>
        <v>4</v>
      </c>
      <c r="U123" s="10">
        <f t="shared" si="52"/>
        <v>34.5</v>
      </c>
      <c r="V123">
        <v>4</v>
      </c>
      <c r="W123">
        <f t="shared" si="53"/>
        <v>4</v>
      </c>
    </row>
    <row r="124" spans="1:23" s="2" customFormat="1" x14ac:dyDescent="0.25">
      <c r="A124" s="8" t="s">
        <v>28</v>
      </c>
      <c r="B124" s="9">
        <f t="shared" si="33"/>
        <v>30</v>
      </c>
      <c r="C124" s="9" t="str">
        <f t="shared" si="34"/>
        <v/>
      </c>
      <c r="D124" s="9" t="str">
        <f t="shared" si="35"/>
        <v/>
      </c>
      <c r="E124" s="9" t="str">
        <f t="shared" si="36"/>
        <v/>
      </c>
      <c r="F124" s="9" t="str">
        <f t="shared" si="37"/>
        <v/>
      </c>
      <c r="G124" s="9">
        <f t="shared" si="38"/>
        <v>118</v>
      </c>
      <c r="H124" s="9">
        <f t="shared" si="39"/>
        <v>75</v>
      </c>
      <c r="I124" s="9" t="str">
        <f t="shared" si="40"/>
        <v/>
      </c>
      <c r="J124" s="9" t="str">
        <f t="shared" si="41"/>
        <v/>
      </c>
      <c r="K124" s="9" t="str">
        <f t="shared" si="42"/>
        <v/>
      </c>
      <c r="L124" s="9" t="str">
        <f t="shared" si="43"/>
        <v/>
      </c>
      <c r="M124" s="9" t="str">
        <f t="shared" si="44"/>
        <v/>
      </c>
      <c r="N124" s="9" t="str">
        <f t="shared" si="45"/>
        <v/>
      </c>
      <c r="O124" s="9" t="str">
        <f t="shared" si="46"/>
        <v/>
      </c>
      <c r="P124" s="9" t="str">
        <f>VLOOKUP($A124,$A$73:$S$104,16,FALSE)</f>
        <v/>
      </c>
      <c r="Q124" s="9" t="str">
        <f t="shared" si="48"/>
        <v/>
      </c>
      <c r="R124" s="9" t="str">
        <f t="shared" si="49"/>
        <v/>
      </c>
      <c r="S124" s="9" t="str">
        <f t="shared" si="50"/>
        <v/>
      </c>
      <c r="T124" s="2">
        <f t="shared" si="51"/>
        <v>3</v>
      </c>
      <c r="U124" s="11">
        <f t="shared" si="52"/>
        <v>30</v>
      </c>
      <c r="V124">
        <v>3</v>
      </c>
      <c r="W124">
        <f t="shared" si="53"/>
        <v>5</v>
      </c>
    </row>
    <row r="125" spans="1:23" ht="18.75" x14ac:dyDescent="0.3">
      <c r="A125" t="s">
        <v>37</v>
      </c>
      <c r="B125" s="6" t="str">
        <f t="shared" si="33"/>
        <v/>
      </c>
      <c r="C125" s="7">
        <f t="shared" si="34"/>
        <v>18</v>
      </c>
      <c r="D125" s="1" t="str">
        <f t="shared" si="35"/>
        <v/>
      </c>
      <c r="E125" s="1" t="str">
        <f t="shared" si="36"/>
        <v/>
      </c>
      <c r="F125" s="1" t="str">
        <f t="shared" si="37"/>
        <v/>
      </c>
      <c r="G125" s="1" t="str">
        <f t="shared" si="38"/>
        <v/>
      </c>
      <c r="H125" s="1" t="str">
        <f t="shared" si="39"/>
        <v/>
      </c>
      <c r="I125" s="1" t="str">
        <f t="shared" si="40"/>
        <v/>
      </c>
      <c r="J125" s="1">
        <f t="shared" si="41"/>
        <v>30</v>
      </c>
      <c r="K125" s="1" t="str">
        <f t="shared" si="42"/>
        <v/>
      </c>
      <c r="L125" s="1">
        <f t="shared" si="43"/>
        <v>115.5</v>
      </c>
      <c r="M125" s="1" t="str">
        <f t="shared" si="44"/>
        <v/>
      </c>
      <c r="N125" s="1">
        <f t="shared" si="45"/>
        <v>33</v>
      </c>
      <c r="O125" s="1" t="str">
        <f t="shared" si="46"/>
        <v/>
      </c>
      <c r="P125" s="1" t="str">
        <f t="shared" ref="P125:P140" si="55">VLOOKUP($A125,$A$73:$S$104,16,FALSE)</f>
        <v/>
      </c>
      <c r="Q125" s="1">
        <f t="shared" si="48"/>
        <v>115.5</v>
      </c>
      <c r="R125" s="1">
        <f t="shared" si="49"/>
        <v>92</v>
      </c>
      <c r="S125" s="1" t="str">
        <f t="shared" si="50"/>
        <v/>
      </c>
      <c r="T125">
        <f t="shared" si="51"/>
        <v>6</v>
      </c>
      <c r="U125" s="10">
        <f t="shared" si="52"/>
        <v>18</v>
      </c>
      <c r="V125">
        <v>2</v>
      </c>
      <c r="W125">
        <f t="shared" si="53"/>
        <v>1</v>
      </c>
    </row>
    <row r="126" spans="1:23" s="2" customFormat="1" ht="18.75" x14ac:dyDescent="0.3">
      <c r="A126" t="s">
        <v>46</v>
      </c>
      <c r="B126" s="6">
        <f t="shared" si="33"/>
        <v>99</v>
      </c>
      <c r="C126" s="1">
        <f t="shared" si="34"/>
        <v>22</v>
      </c>
      <c r="D126" s="1">
        <f t="shared" si="35"/>
        <v>148</v>
      </c>
      <c r="E126" s="1">
        <f t="shared" si="36"/>
        <v>142</v>
      </c>
      <c r="F126" s="1" t="str">
        <f t="shared" si="37"/>
        <v/>
      </c>
      <c r="G126" s="1" t="str">
        <f t="shared" si="38"/>
        <v/>
      </c>
      <c r="H126" s="1">
        <f t="shared" si="39"/>
        <v>77</v>
      </c>
      <c r="I126" s="1" t="str">
        <f t="shared" si="40"/>
        <v/>
      </c>
      <c r="J126" s="1">
        <f t="shared" si="41"/>
        <v>48</v>
      </c>
      <c r="K126" s="1" t="str">
        <f t="shared" si="42"/>
        <v/>
      </c>
      <c r="L126" s="1">
        <f t="shared" si="43"/>
        <v>148</v>
      </c>
      <c r="M126" s="7">
        <f t="shared" si="44"/>
        <v>23</v>
      </c>
      <c r="N126" s="1">
        <f t="shared" si="45"/>
        <v>49.5</v>
      </c>
      <c r="O126" s="1" t="str">
        <f t="shared" si="46"/>
        <v/>
      </c>
      <c r="P126" s="1">
        <f t="shared" si="55"/>
        <v>16</v>
      </c>
      <c r="Q126" s="1" t="str">
        <f t="shared" si="48"/>
        <v/>
      </c>
      <c r="R126" s="1" t="str">
        <f t="shared" si="49"/>
        <v/>
      </c>
      <c r="S126" s="1">
        <f t="shared" si="50"/>
        <v>99</v>
      </c>
      <c r="T126">
        <f t="shared" si="51"/>
        <v>11</v>
      </c>
      <c r="U126" s="10">
        <f t="shared" si="52"/>
        <v>16</v>
      </c>
      <c r="V126">
        <v>1</v>
      </c>
      <c r="W126">
        <f t="shared" si="53"/>
        <v>2</v>
      </c>
    </row>
    <row r="127" spans="1:23" s="5" customFormat="1" ht="16.5" customHeight="1" x14ac:dyDescent="0.3">
      <c r="A127" t="s">
        <v>44</v>
      </c>
      <c r="B127" s="6">
        <f t="shared" si="33"/>
        <v>92</v>
      </c>
      <c r="C127" s="1" t="str">
        <f t="shared" si="34"/>
        <v/>
      </c>
      <c r="D127" s="1">
        <f t="shared" si="35"/>
        <v>133.5</v>
      </c>
      <c r="E127" s="1">
        <f t="shared" si="36"/>
        <v>126</v>
      </c>
      <c r="F127" s="1">
        <f t="shared" si="37"/>
        <v>106</v>
      </c>
      <c r="G127" s="1">
        <f t="shared" si="38"/>
        <v>11.5</v>
      </c>
      <c r="H127" s="1">
        <f t="shared" si="39"/>
        <v>120</v>
      </c>
      <c r="I127" s="7">
        <f t="shared" si="40"/>
        <v>11.5</v>
      </c>
      <c r="J127" s="1" t="str">
        <f t="shared" si="41"/>
        <v/>
      </c>
      <c r="K127" s="1" t="str">
        <f t="shared" si="42"/>
        <v/>
      </c>
      <c r="L127" s="1" t="str">
        <f t="shared" si="43"/>
        <v/>
      </c>
      <c r="M127" s="1">
        <f t="shared" si="44"/>
        <v>92</v>
      </c>
      <c r="N127" s="1">
        <f t="shared" si="45"/>
        <v>71.5</v>
      </c>
      <c r="O127" s="1" t="str">
        <f t="shared" si="46"/>
        <v/>
      </c>
      <c r="P127" s="1">
        <f t="shared" si="55"/>
        <v>46</v>
      </c>
      <c r="Q127" s="1" t="str">
        <f t="shared" si="48"/>
        <v/>
      </c>
      <c r="R127" s="1" t="str">
        <f t="shared" si="49"/>
        <v/>
      </c>
      <c r="S127" s="1" t="str">
        <f t="shared" si="50"/>
        <v/>
      </c>
      <c r="T127">
        <f t="shared" si="51"/>
        <v>10</v>
      </c>
      <c r="U127" s="10">
        <f t="shared" si="52"/>
        <v>11.5</v>
      </c>
      <c r="V127" s="5">
        <v>0</v>
      </c>
      <c r="W127" s="5">
        <f t="shared" si="53"/>
        <v>8</v>
      </c>
    </row>
    <row r="128" spans="1:23" ht="18.75" x14ac:dyDescent="0.3">
      <c r="A128" t="s">
        <v>22</v>
      </c>
      <c r="B128" s="6" t="str">
        <f t="shared" si="33"/>
        <v/>
      </c>
      <c r="C128" s="1">
        <f t="shared" si="34"/>
        <v>30</v>
      </c>
      <c r="D128" s="1">
        <f t="shared" si="35"/>
        <v>20.5</v>
      </c>
      <c r="E128" s="1">
        <f t="shared" si="36"/>
        <v>9</v>
      </c>
      <c r="F128" s="1">
        <f t="shared" si="37"/>
        <v>25</v>
      </c>
      <c r="G128" s="1">
        <f t="shared" si="38"/>
        <v>34.5</v>
      </c>
      <c r="H128" s="1" t="str">
        <f t="shared" si="39"/>
        <v/>
      </c>
      <c r="I128" s="1">
        <f t="shared" si="40"/>
        <v>10</v>
      </c>
      <c r="J128" s="1" t="str">
        <f t="shared" si="41"/>
        <v/>
      </c>
      <c r="K128" s="7">
        <f t="shared" si="42"/>
        <v>20.5</v>
      </c>
      <c r="L128" s="1" t="str">
        <f t="shared" si="43"/>
        <v/>
      </c>
      <c r="M128" s="1">
        <f t="shared" si="44"/>
        <v>102</v>
      </c>
      <c r="N128" s="1">
        <f t="shared" si="45"/>
        <v>123</v>
      </c>
      <c r="O128" s="1" t="str">
        <f t="shared" si="46"/>
        <v/>
      </c>
      <c r="P128" s="1">
        <f t="shared" si="55"/>
        <v>25</v>
      </c>
      <c r="Q128" s="1">
        <f t="shared" si="48"/>
        <v>17</v>
      </c>
      <c r="R128" s="1" t="str">
        <f t="shared" si="49"/>
        <v/>
      </c>
      <c r="S128" s="1">
        <f t="shared" si="50"/>
        <v>30</v>
      </c>
      <c r="T128">
        <f t="shared" si="51"/>
        <v>12</v>
      </c>
      <c r="U128" s="10">
        <f t="shared" si="52"/>
        <v>9</v>
      </c>
    </row>
    <row r="129" spans="1:21" ht="18.75" x14ac:dyDescent="0.3">
      <c r="A129" t="s">
        <v>30</v>
      </c>
      <c r="B129" s="6" t="str">
        <f t="shared" si="33"/>
        <v/>
      </c>
      <c r="C129" s="1" t="str">
        <f t="shared" si="34"/>
        <v/>
      </c>
      <c r="D129" s="1">
        <f t="shared" si="35"/>
        <v>14</v>
      </c>
      <c r="E129" s="1">
        <f t="shared" si="36"/>
        <v>106</v>
      </c>
      <c r="F129" s="1" t="str">
        <f t="shared" si="37"/>
        <v/>
      </c>
      <c r="G129" s="1">
        <f t="shared" si="38"/>
        <v>137</v>
      </c>
      <c r="H129" s="1">
        <f t="shared" si="39"/>
        <v>68</v>
      </c>
      <c r="I129" s="1">
        <f t="shared" si="40"/>
        <v>106</v>
      </c>
      <c r="J129" s="1">
        <f t="shared" si="41"/>
        <v>7.5</v>
      </c>
      <c r="K129" s="1" t="str">
        <f t="shared" si="42"/>
        <v/>
      </c>
      <c r="L129" s="7">
        <f t="shared" si="43"/>
        <v>13</v>
      </c>
      <c r="M129" s="1">
        <f t="shared" si="44"/>
        <v>131.5</v>
      </c>
      <c r="N129" s="1" t="str">
        <f t="shared" si="45"/>
        <v/>
      </c>
      <c r="O129" s="1">
        <f t="shared" si="46"/>
        <v>79</v>
      </c>
      <c r="P129" s="1">
        <f t="shared" si="55"/>
        <v>120</v>
      </c>
      <c r="Q129" s="1">
        <f t="shared" si="48"/>
        <v>79</v>
      </c>
      <c r="R129" s="1" t="str">
        <f t="shared" si="49"/>
        <v/>
      </c>
      <c r="S129" s="1">
        <f t="shared" si="50"/>
        <v>131.5</v>
      </c>
      <c r="T129">
        <f t="shared" si="51"/>
        <v>12</v>
      </c>
      <c r="U129" s="10">
        <f t="shared" si="52"/>
        <v>7.5</v>
      </c>
    </row>
    <row r="130" spans="1:21" s="5" customFormat="1" ht="21" x14ac:dyDescent="0.35">
      <c r="A130" t="s">
        <v>36</v>
      </c>
      <c r="B130" s="6" t="str">
        <f t="shared" si="33"/>
        <v/>
      </c>
      <c r="C130" s="1">
        <f t="shared" si="34"/>
        <v>71.5</v>
      </c>
      <c r="D130" s="1">
        <f t="shared" si="35"/>
        <v>148</v>
      </c>
      <c r="E130" s="1">
        <f t="shared" si="36"/>
        <v>19</v>
      </c>
      <c r="F130" s="1" t="str">
        <f t="shared" si="37"/>
        <v/>
      </c>
      <c r="G130" s="1">
        <f t="shared" si="38"/>
        <v>25</v>
      </c>
      <c r="H130" s="1">
        <f t="shared" si="39"/>
        <v>133.5</v>
      </c>
      <c r="I130" s="1" t="str">
        <f t="shared" si="40"/>
        <v/>
      </c>
      <c r="J130" s="12">
        <f t="shared" si="41"/>
        <v>7.5</v>
      </c>
      <c r="K130" s="1">
        <f t="shared" si="42"/>
        <v>137</v>
      </c>
      <c r="L130" s="1">
        <f t="shared" si="43"/>
        <v>92</v>
      </c>
      <c r="M130" s="1" t="str">
        <f t="shared" si="44"/>
        <v/>
      </c>
      <c r="N130" s="1">
        <f t="shared" si="45"/>
        <v>71.5</v>
      </c>
      <c r="O130" s="1" t="str">
        <f t="shared" si="46"/>
        <v/>
      </c>
      <c r="P130" s="1" t="str">
        <f t="shared" si="55"/>
        <v/>
      </c>
      <c r="Q130" s="1">
        <f t="shared" si="48"/>
        <v>137</v>
      </c>
      <c r="R130" s="1">
        <f t="shared" si="49"/>
        <v>120</v>
      </c>
      <c r="S130" s="1">
        <f t="shared" si="50"/>
        <v>148</v>
      </c>
      <c r="T130">
        <f t="shared" si="51"/>
        <v>12</v>
      </c>
      <c r="U130" s="10">
        <f t="shared" si="52"/>
        <v>7.5</v>
      </c>
    </row>
    <row r="131" spans="1:21" s="5" customFormat="1" ht="18.75" x14ac:dyDescent="0.3">
      <c r="A131" t="s">
        <v>34</v>
      </c>
      <c r="B131" s="6" t="str">
        <f t="shared" si="33"/>
        <v/>
      </c>
      <c r="C131" s="1" t="str">
        <f t="shared" si="34"/>
        <v/>
      </c>
      <c r="D131" s="1">
        <f t="shared" si="35"/>
        <v>15</v>
      </c>
      <c r="E131" s="1" t="str">
        <f t="shared" si="36"/>
        <v/>
      </c>
      <c r="F131" s="1">
        <f t="shared" si="37"/>
        <v>68</v>
      </c>
      <c r="G131" s="1" t="str">
        <f t="shared" si="38"/>
        <v/>
      </c>
      <c r="H131" s="7">
        <f t="shared" si="39"/>
        <v>53.5</v>
      </c>
      <c r="I131" s="1" t="str">
        <f t="shared" si="40"/>
        <v/>
      </c>
      <c r="J131" s="1" t="str">
        <f t="shared" si="41"/>
        <v/>
      </c>
      <c r="K131" s="1" t="str">
        <f t="shared" si="42"/>
        <v/>
      </c>
      <c r="L131" s="1">
        <f t="shared" si="43"/>
        <v>126</v>
      </c>
      <c r="M131" s="1">
        <f t="shared" si="44"/>
        <v>111</v>
      </c>
      <c r="N131" s="1">
        <f t="shared" si="45"/>
        <v>115.5</v>
      </c>
      <c r="O131" s="1">
        <f t="shared" si="46"/>
        <v>92</v>
      </c>
      <c r="P131" s="1" t="str">
        <f t="shared" si="55"/>
        <v/>
      </c>
      <c r="Q131" s="1">
        <f t="shared" si="48"/>
        <v>3.5</v>
      </c>
      <c r="R131" s="1">
        <f t="shared" si="49"/>
        <v>126</v>
      </c>
      <c r="S131" s="1">
        <f t="shared" si="50"/>
        <v>53.5</v>
      </c>
      <c r="T131">
        <f t="shared" si="51"/>
        <v>10</v>
      </c>
      <c r="U131" s="10">
        <f t="shared" si="52"/>
        <v>3.5</v>
      </c>
    </row>
    <row r="132" spans="1:21" ht="21" x14ac:dyDescent="0.35">
      <c r="A132" t="s">
        <v>21</v>
      </c>
      <c r="B132" s="6">
        <f t="shared" si="33"/>
        <v>144</v>
      </c>
      <c r="C132" s="1">
        <f t="shared" si="34"/>
        <v>1.5</v>
      </c>
      <c r="D132" s="1">
        <f t="shared" si="35"/>
        <v>99</v>
      </c>
      <c r="E132" s="1" t="str">
        <f t="shared" si="36"/>
        <v/>
      </c>
      <c r="F132" s="1">
        <f t="shared" si="37"/>
        <v>30</v>
      </c>
      <c r="G132" s="1">
        <f t="shared" si="38"/>
        <v>68</v>
      </c>
      <c r="H132" s="1" t="str">
        <f t="shared" si="39"/>
        <v/>
      </c>
      <c r="I132" s="1">
        <f t="shared" si="40"/>
        <v>27</v>
      </c>
      <c r="J132" s="1">
        <f t="shared" si="41"/>
        <v>3.5</v>
      </c>
      <c r="K132" s="1">
        <f t="shared" si="42"/>
        <v>55.5</v>
      </c>
      <c r="L132" s="1">
        <f t="shared" si="43"/>
        <v>1.5</v>
      </c>
      <c r="M132" s="1">
        <f t="shared" si="44"/>
        <v>6</v>
      </c>
      <c r="N132" s="12">
        <f t="shared" si="45"/>
        <v>59</v>
      </c>
      <c r="O132" s="1">
        <f t="shared" si="46"/>
        <v>46</v>
      </c>
      <c r="P132" s="1">
        <f t="shared" si="55"/>
        <v>59</v>
      </c>
      <c r="Q132" s="1">
        <f t="shared" si="48"/>
        <v>5</v>
      </c>
      <c r="R132" s="1" t="str">
        <f t="shared" si="49"/>
        <v/>
      </c>
      <c r="S132" s="1">
        <f t="shared" si="50"/>
        <v>46</v>
      </c>
      <c r="T132">
        <f t="shared" si="51"/>
        <v>15</v>
      </c>
      <c r="U132" s="10">
        <f t="shared" si="52"/>
        <v>1.5</v>
      </c>
    </row>
    <row r="133" spans="1:21" x14ac:dyDescent="0.25">
      <c r="A133" t="s">
        <v>20</v>
      </c>
      <c r="B133" s="6" t="str">
        <f t="shared" si="33"/>
        <v/>
      </c>
      <c r="C133" s="1" t="str">
        <f t="shared" si="34"/>
        <v/>
      </c>
      <c r="D133" s="1" t="str">
        <f t="shared" si="35"/>
        <v/>
      </c>
      <c r="E133" s="1" t="str">
        <f t="shared" si="36"/>
        <v/>
      </c>
      <c r="F133" s="1" t="str">
        <f t="shared" si="37"/>
        <v/>
      </c>
      <c r="G133" s="1" t="str">
        <f t="shared" si="38"/>
        <v/>
      </c>
      <c r="H133" s="1" t="str">
        <f t="shared" si="39"/>
        <v/>
      </c>
      <c r="I133" s="1" t="str">
        <f t="shared" si="40"/>
        <v/>
      </c>
      <c r="J133" s="1" t="str">
        <f t="shared" si="41"/>
        <v/>
      </c>
      <c r="K133" s="1" t="str">
        <f t="shared" si="42"/>
        <v/>
      </c>
      <c r="L133" s="1" t="str">
        <f t="shared" si="43"/>
        <v/>
      </c>
      <c r="M133" s="1" t="str">
        <f t="shared" si="44"/>
        <v/>
      </c>
      <c r="N133" s="1" t="str">
        <f t="shared" si="45"/>
        <v/>
      </c>
      <c r="O133" s="1" t="str">
        <f t="shared" si="46"/>
        <v/>
      </c>
      <c r="P133" s="1" t="str">
        <f t="shared" si="55"/>
        <v/>
      </c>
      <c r="Q133" s="1" t="str">
        <f t="shared" si="48"/>
        <v/>
      </c>
      <c r="R133" s="1" t="str">
        <f t="shared" si="49"/>
        <v/>
      </c>
      <c r="S133" s="1" t="str">
        <f t="shared" si="50"/>
        <v/>
      </c>
      <c r="T133">
        <f t="shared" si="51"/>
        <v>0</v>
      </c>
      <c r="U133" s="10">
        <f t="shared" si="52"/>
        <v>0</v>
      </c>
    </row>
    <row r="134" spans="1:21" x14ac:dyDescent="0.25">
      <c r="A134" t="s">
        <v>23</v>
      </c>
      <c r="B134" s="6" t="str">
        <f t="shared" si="33"/>
        <v/>
      </c>
      <c r="C134" s="1" t="s">
        <v>52</v>
      </c>
      <c r="D134" s="1" t="s">
        <v>52</v>
      </c>
      <c r="E134" s="1" t="s">
        <v>52</v>
      </c>
      <c r="F134" s="1" t="s">
        <v>52</v>
      </c>
      <c r="G134" s="1" t="s">
        <v>52</v>
      </c>
      <c r="H134" s="1" t="str">
        <f t="shared" si="39"/>
        <v/>
      </c>
      <c r="I134" s="1" t="s">
        <v>52</v>
      </c>
      <c r="J134" s="1" t="s">
        <v>52</v>
      </c>
      <c r="K134" s="1" t="s">
        <v>52</v>
      </c>
      <c r="L134" s="1" t="s">
        <v>52</v>
      </c>
      <c r="M134" s="1" t="s">
        <v>52</v>
      </c>
      <c r="N134" s="1" t="s">
        <v>52</v>
      </c>
      <c r="O134" s="1" t="s">
        <v>52</v>
      </c>
      <c r="P134" s="1" t="s">
        <v>52</v>
      </c>
      <c r="Q134" s="1" t="s">
        <v>52</v>
      </c>
      <c r="R134" s="1" t="s">
        <v>52</v>
      </c>
      <c r="S134" s="1" t="s">
        <v>52</v>
      </c>
      <c r="T134">
        <f t="shared" si="51"/>
        <v>0</v>
      </c>
      <c r="U134" s="10">
        <f t="shared" si="52"/>
        <v>0</v>
      </c>
    </row>
    <row r="135" spans="1:21" s="2" customFormat="1" x14ac:dyDescent="0.25">
      <c r="A135" t="s">
        <v>26</v>
      </c>
      <c r="B135" s="6" t="str">
        <f t="shared" si="33"/>
        <v/>
      </c>
      <c r="C135" s="1" t="str">
        <f t="shared" ref="C135:C140" si="56">VLOOKUP($A135,$A$73:$S$104,3,FALSE)</f>
        <v/>
      </c>
      <c r="D135" s="1" t="str">
        <f t="shared" ref="D135:D140" si="57">VLOOKUP($A135,$A$73:$S$104,4,FALSE)</f>
        <v/>
      </c>
      <c r="E135" s="1" t="str">
        <f t="shared" ref="E135:E140" si="58">VLOOKUP($A135,$A$73:$S$104,5,FALSE)</f>
        <v/>
      </c>
      <c r="F135" s="1" t="str">
        <f t="shared" ref="F135:F140" si="59">VLOOKUP($A135,$A$73:$S$104,6,FALSE)</f>
        <v/>
      </c>
      <c r="G135" s="1" t="str">
        <f t="shared" ref="G135:G140" si="60">VLOOKUP($A135,$A$73:$S$104,7,FALSE)</f>
        <v/>
      </c>
      <c r="H135" s="1" t="str">
        <f t="shared" si="39"/>
        <v/>
      </c>
      <c r="I135" s="1" t="str">
        <f t="shared" ref="I135:I140" si="61">VLOOKUP($A135,$A$73:$S$104,9,FALSE)</f>
        <v/>
      </c>
      <c r="J135" s="1" t="str">
        <f t="shared" ref="J135:J140" si="62">VLOOKUP($A135,$A$73:$S$104,10,FALSE)</f>
        <v/>
      </c>
      <c r="K135" s="1" t="str">
        <f t="shared" ref="K135:K140" si="63">VLOOKUP($A135,$A$73:$S$104,11,FALSE)</f>
        <v/>
      </c>
      <c r="L135" s="1" t="str">
        <f t="shared" ref="L135:L140" si="64">VLOOKUP($A135,$A$73:$S$104,12,FALSE)</f>
        <v/>
      </c>
      <c r="M135" s="1" t="str">
        <f t="shared" ref="M135:M140" si="65">VLOOKUP($A135,$A$73:$S$104,13,FALSE)</f>
        <v/>
      </c>
      <c r="N135" s="1" t="str">
        <f t="shared" ref="N135:N140" si="66">VLOOKUP($A135,$A$73:$S$104,14,FALSE)</f>
        <v/>
      </c>
      <c r="O135" s="1" t="str">
        <f t="shared" ref="O135:O140" si="67">VLOOKUP($A135,$A$73:$S$104,15,FALSE)</f>
        <v/>
      </c>
      <c r="P135" s="1" t="str">
        <f t="shared" si="55"/>
        <v/>
      </c>
      <c r="Q135" s="1" t="str">
        <f t="shared" ref="Q135:Q140" si="68">VLOOKUP($A135,$A$73:$S$104,17,FALSE)</f>
        <v/>
      </c>
      <c r="R135" s="1" t="str">
        <f t="shared" ref="R135:R140" si="69">VLOOKUP($A135,$A$73:$S$104,18,FALSE)</f>
        <v/>
      </c>
      <c r="S135" s="1" t="str">
        <f t="shared" ref="S135:S140" si="70">VLOOKUP($A135,$A$73:$S$104,19,FALSE)</f>
        <v/>
      </c>
      <c r="T135">
        <f t="shared" si="51"/>
        <v>0</v>
      </c>
      <c r="U135" s="10">
        <f t="shared" si="52"/>
        <v>0</v>
      </c>
    </row>
    <row r="136" spans="1:21" s="2" customFormat="1" x14ac:dyDescent="0.25">
      <c r="A136" t="s">
        <v>41</v>
      </c>
      <c r="B136" s="6" t="str">
        <f t="shared" si="33"/>
        <v/>
      </c>
      <c r="C136" s="1" t="str">
        <f t="shared" si="56"/>
        <v/>
      </c>
      <c r="D136" s="1" t="str">
        <f t="shared" si="57"/>
        <v/>
      </c>
      <c r="E136" s="1" t="str">
        <f t="shared" si="58"/>
        <v/>
      </c>
      <c r="F136" s="1" t="str">
        <f t="shared" si="59"/>
        <v/>
      </c>
      <c r="G136" s="1" t="str">
        <f t="shared" si="60"/>
        <v/>
      </c>
      <c r="H136" s="1" t="str">
        <f t="shared" si="39"/>
        <v/>
      </c>
      <c r="I136" s="1" t="str">
        <f t="shared" si="61"/>
        <v/>
      </c>
      <c r="J136" s="1" t="str">
        <f t="shared" si="62"/>
        <v/>
      </c>
      <c r="K136" s="1" t="str">
        <f t="shared" si="63"/>
        <v/>
      </c>
      <c r="L136" s="1" t="str">
        <f t="shared" si="64"/>
        <v/>
      </c>
      <c r="M136" s="1" t="str">
        <f t="shared" si="65"/>
        <v/>
      </c>
      <c r="N136" s="1" t="str">
        <f t="shared" si="66"/>
        <v/>
      </c>
      <c r="O136" s="1" t="str">
        <f t="shared" si="67"/>
        <v/>
      </c>
      <c r="P136" s="1" t="str">
        <f t="shared" si="55"/>
        <v/>
      </c>
      <c r="Q136" s="1" t="str">
        <f t="shared" si="68"/>
        <v/>
      </c>
      <c r="R136" s="1" t="str">
        <f t="shared" si="69"/>
        <v/>
      </c>
      <c r="S136" s="1" t="str">
        <f t="shared" si="70"/>
        <v/>
      </c>
      <c r="T136">
        <f t="shared" si="51"/>
        <v>0</v>
      </c>
      <c r="U136" s="10">
        <f t="shared" si="52"/>
        <v>0</v>
      </c>
    </row>
    <row r="137" spans="1:21" x14ac:dyDescent="0.25">
      <c r="A137" t="s">
        <v>42</v>
      </c>
      <c r="B137" s="6" t="str">
        <f t="shared" si="33"/>
        <v/>
      </c>
      <c r="C137" s="1" t="str">
        <f t="shared" si="56"/>
        <v/>
      </c>
      <c r="D137" s="1" t="str">
        <f t="shared" si="57"/>
        <v/>
      </c>
      <c r="E137" s="1" t="str">
        <f t="shared" si="58"/>
        <v/>
      </c>
      <c r="F137" s="1" t="str">
        <f t="shared" si="59"/>
        <v/>
      </c>
      <c r="G137" s="1" t="str">
        <f t="shared" si="60"/>
        <v/>
      </c>
      <c r="H137" s="1" t="str">
        <f t="shared" si="39"/>
        <v/>
      </c>
      <c r="I137" s="1" t="str">
        <f t="shared" si="61"/>
        <v/>
      </c>
      <c r="J137" s="1" t="str">
        <f t="shared" si="62"/>
        <v/>
      </c>
      <c r="K137" s="1" t="str">
        <f t="shared" si="63"/>
        <v/>
      </c>
      <c r="L137" s="1" t="str">
        <f t="shared" si="64"/>
        <v/>
      </c>
      <c r="M137" s="1" t="str">
        <f t="shared" si="65"/>
        <v/>
      </c>
      <c r="N137" s="1" t="str">
        <f t="shared" si="66"/>
        <v/>
      </c>
      <c r="O137" s="1" t="str">
        <f t="shared" si="67"/>
        <v/>
      </c>
      <c r="P137" s="1" t="str">
        <f t="shared" si="55"/>
        <v/>
      </c>
      <c r="Q137" s="1" t="str">
        <f t="shared" si="68"/>
        <v/>
      </c>
      <c r="R137" s="1" t="str">
        <f t="shared" si="69"/>
        <v/>
      </c>
      <c r="S137" s="1" t="str">
        <f t="shared" si="70"/>
        <v/>
      </c>
      <c r="T137">
        <f t="shared" si="51"/>
        <v>0</v>
      </c>
      <c r="U137" s="10">
        <f t="shared" si="52"/>
        <v>0</v>
      </c>
    </row>
    <row r="138" spans="1:21" s="2" customFormat="1" x14ac:dyDescent="0.25">
      <c r="A138" t="s">
        <v>43</v>
      </c>
      <c r="B138" s="6" t="str">
        <f t="shared" si="33"/>
        <v/>
      </c>
      <c r="C138" s="1" t="str">
        <f t="shared" si="56"/>
        <v/>
      </c>
      <c r="D138" s="1" t="str">
        <f t="shared" si="57"/>
        <v/>
      </c>
      <c r="E138" s="1" t="str">
        <f t="shared" si="58"/>
        <v/>
      </c>
      <c r="F138" s="1" t="str">
        <f t="shared" si="59"/>
        <v/>
      </c>
      <c r="G138" s="1" t="str">
        <f t="shared" si="60"/>
        <v/>
      </c>
      <c r="H138" s="1" t="str">
        <f t="shared" si="39"/>
        <v/>
      </c>
      <c r="I138" s="1" t="str">
        <f t="shared" si="61"/>
        <v/>
      </c>
      <c r="J138" s="1" t="str">
        <f t="shared" si="62"/>
        <v/>
      </c>
      <c r="K138" s="1" t="str">
        <f t="shared" si="63"/>
        <v/>
      </c>
      <c r="L138" s="1" t="str">
        <f t="shared" si="64"/>
        <v/>
      </c>
      <c r="M138" s="1" t="str">
        <f t="shared" si="65"/>
        <v/>
      </c>
      <c r="N138" s="1" t="str">
        <f t="shared" si="66"/>
        <v/>
      </c>
      <c r="O138" s="1" t="str">
        <f t="shared" si="67"/>
        <v/>
      </c>
      <c r="P138" s="1" t="str">
        <f t="shared" si="55"/>
        <v/>
      </c>
      <c r="Q138" s="1" t="str">
        <f t="shared" si="68"/>
        <v/>
      </c>
      <c r="R138" s="1" t="str">
        <f t="shared" si="69"/>
        <v/>
      </c>
      <c r="S138" s="1" t="str">
        <f t="shared" si="70"/>
        <v/>
      </c>
      <c r="T138">
        <f t="shared" si="51"/>
        <v>0</v>
      </c>
      <c r="U138" s="10">
        <f t="shared" si="52"/>
        <v>0</v>
      </c>
    </row>
    <row r="139" spans="1:21" x14ac:dyDescent="0.25">
      <c r="A139" t="s">
        <v>49</v>
      </c>
      <c r="B139" s="6" t="str">
        <f t="shared" si="33"/>
        <v/>
      </c>
      <c r="C139" s="1" t="str">
        <f t="shared" si="56"/>
        <v/>
      </c>
      <c r="D139" s="1" t="str">
        <f t="shared" si="57"/>
        <v/>
      </c>
      <c r="E139" s="1" t="str">
        <f t="shared" si="58"/>
        <v/>
      </c>
      <c r="F139" s="1" t="str">
        <f t="shared" si="59"/>
        <v/>
      </c>
      <c r="G139" s="1" t="str">
        <f t="shared" si="60"/>
        <v/>
      </c>
      <c r="H139" s="1" t="str">
        <f t="shared" si="39"/>
        <v/>
      </c>
      <c r="I139" s="1" t="str">
        <f t="shared" si="61"/>
        <v/>
      </c>
      <c r="J139" s="1" t="str">
        <f t="shared" si="62"/>
        <v/>
      </c>
      <c r="K139" s="1" t="str">
        <f t="shared" si="63"/>
        <v/>
      </c>
      <c r="L139" s="1" t="str">
        <f t="shared" si="64"/>
        <v/>
      </c>
      <c r="M139" s="1" t="str">
        <f t="shared" si="65"/>
        <v/>
      </c>
      <c r="N139" s="1" t="str">
        <f t="shared" si="66"/>
        <v/>
      </c>
      <c r="O139" s="1" t="str">
        <f t="shared" si="67"/>
        <v/>
      </c>
      <c r="P139" s="1" t="str">
        <f t="shared" si="55"/>
        <v/>
      </c>
      <c r="Q139" s="1" t="str">
        <f t="shared" si="68"/>
        <v/>
      </c>
      <c r="R139" s="1" t="str">
        <f t="shared" si="69"/>
        <v/>
      </c>
      <c r="S139" s="1" t="str">
        <f t="shared" si="70"/>
        <v/>
      </c>
      <c r="T139">
        <f t="shared" si="51"/>
        <v>0</v>
      </c>
      <c r="U139" s="10">
        <f t="shared" si="52"/>
        <v>0</v>
      </c>
    </row>
    <row r="140" spans="1:21" s="2" customFormat="1" x14ac:dyDescent="0.25">
      <c r="A140" t="s">
        <v>38</v>
      </c>
      <c r="B140" s="6" t="str">
        <f t="shared" si="33"/>
        <v/>
      </c>
      <c r="C140" s="1" t="str">
        <f t="shared" si="56"/>
        <v/>
      </c>
      <c r="D140" s="1" t="str">
        <f t="shared" si="57"/>
        <v/>
      </c>
      <c r="E140" s="1" t="str">
        <f t="shared" si="58"/>
        <v/>
      </c>
      <c r="F140" s="1" t="str">
        <f t="shared" si="59"/>
        <v/>
      </c>
      <c r="G140" s="1" t="str">
        <f t="shared" si="60"/>
        <v/>
      </c>
      <c r="H140" s="1" t="str">
        <f t="shared" si="39"/>
        <v/>
      </c>
      <c r="I140" s="1" t="str">
        <f t="shared" si="61"/>
        <v/>
      </c>
      <c r="J140" s="1" t="str">
        <f t="shared" si="62"/>
        <v/>
      </c>
      <c r="K140" s="1" t="str">
        <f t="shared" si="63"/>
        <v/>
      </c>
      <c r="L140" s="1" t="str">
        <f t="shared" si="64"/>
        <v/>
      </c>
      <c r="M140" s="1" t="str">
        <f t="shared" si="65"/>
        <v/>
      </c>
      <c r="N140" s="1" t="str">
        <f t="shared" si="66"/>
        <v/>
      </c>
      <c r="O140" s="1" t="str">
        <f t="shared" si="67"/>
        <v/>
      </c>
      <c r="P140" s="1" t="str">
        <f t="shared" si="55"/>
        <v/>
      </c>
      <c r="Q140" s="1" t="str">
        <f t="shared" si="68"/>
        <v/>
      </c>
      <c r="R140" s="1" t="str">
        <f t="shared" si="69"/>
        <v/>
      </c>
      <c r="S140" s="1" t="str">
        <f t="shared" si="70"/>
        <v/>
      </c>
      <c r="T140">
        <f t="shared" si="51"/>
        <v>0</v>
      </c>
      <c r="U140" s="10">
        <f t="shared" si="52"/>
        <v>0</v>
      </c>
    </row>
    <row r="141" spans="1:21" s="3" customFormat="1" x14ac:dyDescent="0.25">
      <c r="C141" s="3">
        <v>18</v>
      </c>
      <c r="D141" s="3">
        <v>44</v>
      </c>
      <c r="E141" s="3">
        <v>38</v>
      </c>
      <c r="F141" s="3">
        <v>59</v>
      </c>
      <c r="G141" s="3">
        <v>56</v>
      </c>
      <c r="H141" s="3">
        <v>54</v>
      </c>
      <c r="I141" s="3">
        <v>12</v>
      </c>
      <c r="J141" s="3">
        <v>8</v>
      </c>
      <c r="K141" s="3">
        <v>21</v>
      </c>
      <c r="L141" s="3">
        <v>13</v>
      </c>
      <c r="M141" s="3">
        <v>23</v>
      </c>
      <c r="N141" s="3">
        <v>59</v>
      </c>
      <c r="O141" s="3">
        <v>38</v>
      </c>
      <c r="P141" s="3">
        <v>38</v>
      </c>
      <c r="Q141" s="3">
        <v>62</v>
      </c>
      <c r="R141" s="3">
        <v>87</v>
      </c>
      <c r="S141" s="3">
        <v>59</v>
      </c>
    </row>
  </sheetData>
  <autoFilter ref="A108:U108" xr:uid="{3176254B-1DB6-41CD-B7A1-887B0C11B426}">
    <sortState xmlns:xlrd2="http://schemas.microsoft.com/office/spreadsheetml/2017/richdata2" ref="A109:U140">
      <sortCondition descending="1" ref="U108"/>
    </sortState>
  </autoFilter>
  <conditionalFormatting sqref="B2:S2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S3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S4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S5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S6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S7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S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S9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S10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S11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S12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S13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S14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S15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S1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S17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S1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S19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S20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S21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S22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S23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S24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S25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S2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S27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S2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9:S2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S30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S3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2:S3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3:S3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8:S69">
    <cfRule type="colorScale" priority="8">
      <colorScale>
        <cfvo type="min"/>
        <cfvo type="max"/>
        <color rgb="FFFCFCFF"/>
        <color rgb="FF63BE7B"/>
      </colorScale>
    </cfRule>
  </conditionalFormatting>
  <conditionalFormatting sqref="B73:S104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28:S129 P128:P140 B109:S127 B128:O129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30:S140 B130:O140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18D4-366C-4B91-B3C3-A8045E765A1A}">
  <dimension ref="A1:W107"/>
  <sheetViews>
    <sheetView topLeftCell="A70" zoomScale="85" zoomScaleNormal="85" workbookViewId="0">
      <selection activeCell="E93" sqref="E93"/>
    </sheetView>
  </sheetViews>
  <sheetFormatPr defaultRowHeight="15" x14ac:dyDescent="0.25"/>
  <cols>
    <col min="1" max="1" width="24.28515625" bestFit="1" customWidth="1"/>
    <col min="2" max="3" width="9.42578125" hidden="1" customWidth="1"/>
    <col min="4" max="10" width="9.42578125" bestFit="1" customWidth="1"/>
    <col min="11" max="17" width="10.42578125" bestFit="1" customWidth="1"/>
    <col min="18" max="18" width="10.7109375" bestFit="1" customWidth="1"/>
    <col min="19" max="19" width="10.42578125" bestFit="1" customWidth="1"/>
    <col min="20" max="20" width="10.5703125" bestFit="1" customWidth="1"/>
  </cols>
  <sheetData>
    <row r="1" spans="1:19" x14ac:dyDescent="0.25"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D2">
        <v>2.2000000000000002</v>
      </c>
      <c r="E2">
        <v>-0.1</v>
      </c>
      <c r="F2">
        <v>6.3</v>
      </c>
      <c r="G2">
        <v>-1.1000000000000001</v>
      </c>
      <c r="H2">
        <v>-6</v>
      </c>
      <c r="J2">
        <v>-1.1000000000000001</v>
      </c>
      <c r="K2">
        <v>-0.1</v>
      </c>
      <c r="L2">
        <v>2.2000000000000002</v>
      </c>
      <c r="M2">
        <v>-0.2</v>
      </c>
      <c r="N2">
        <v>-3</v>
      </c>
      <c r="O2">
        <v>-3.7</v>
      </c>
      <c r="P2">
        <v>-0.1</v>
      </c>
      <c r="Q2">
        <v>0.5</v>
      </c>
      <c r="R2">
        <v>-1</v>
      </c>
      <c r="S2">
        <v>-3.7</v>
      </c>
    </row>
    <row r="3" spans="1:19" x14ac:dyDescent="0.25">
      <c r="A3" t="s">
        <v>20</v>
      </c>
      <c r="D3">
        <v>3.6</v>
      </c>
      <c r="E3">
        <v>-2</v>
      </c>
      <c r="G3">
        <v>-6.6</v>
      </c>
      <c r="H3">
        <v>1.7</v>
      </c>
      <c r="I3">
        <v>3.2</v>
      </c>
      <c r="J3">
        <v>0.8</v>
      </c>
      <c r="K3">
        <v>-1.6</v>
      </c>
      <c r="L3">
        <v>3.6</v>
      </c>
      <c r="M3">
        <v>4.0999999999999996</v>
      </c>
      <c r="N3">
        <v>3.7</v>
      </c>
      <c r="O3">
        <v>-0.6</v>
      </c>
      <c r="P3">
        <v>-3.5</v>
      </c>
      <c r="Q3">
        <v>-0.5</v>
      </c>
      <c r="R3">
        <v>-4.2</v>
      </c>
      <c r="S3">
        <v>4.0999999999999996</v>
      </c>
    </row>
    <row r="4" spans="1:19" x14ac:dyDescent="0.25">
      <c r="A4" t="s">
        <v>21</v>
      </c>
      <c r="D4">
        <v>1.5</v>
      </c>
      <c r="E4">
        <v>2.9</v>
      </c>
      <c r="F4">
        <v>7.7</v>
      </c>
      <c r="G4">
        <v>4.0999999999999996</v>
      </c>
      <c r="I4">
        <v>9.3000000000000007</v>
      </c>
      <c r="J4">
        <v>11.5</v>
      </c>
      <c r="K4">
        <v>5.8</v>
      </c>
      <c r="L4">
        <v>11.5</v>
      </c>
      <c r="M4">
        <v>12</v>
      </c>
      <c r="N4">
        <v>6.8</v>
      </c>
      <c r="O4">
        <v>8.1</v>
      </c>
      <c r="P4">
        <v>6.8</v>
      </c>
      <c r="Q4">
        <v>9.1</v>
      </c>
      <c r="R4">
        <v>1.8</v>
      </c>
      <c r="S4">
        <v>8.1</v>
      </c>
    </row>
    <row r="5" spans="1:19" x14ac:dyDescent="0.25">
      <c r="A5" t="s">
        <v>22</v>
      </c>
      <c r="D5">
        <v>9.8000000000000007</v>
      </c>
      <c r="E5">
        <v>10.7</v>
      </c>
      <c r="F5">
        <v>7.4</v>
      </c>
      <c r="G5">
        <v>6.6</v>
      </c>
      <c r="I5">
        <v>10.199999999999999</v>
      </c>
      <c r="J5">
        <v>1.2</v>
      </c>
      <c r="K5">
        <v>9.8000000000000007</v>
      </c>
      <c r="L5">
        <v>3.1</v>
      </c>
      <c r="M5">
        <v>6</v>
      </c>
      <c r="N5">
        <v>6.4</v>
      </c>
      <c r="O5">
        <v>5.0999999999999996</v>
      </c>
      <c r="P5">
        <v>7.4</v>
      </c>
      <c r="Q5">
        <v>9.8000000000000007</v>
      </c>
      <c r="R5">
        <v>0.6</v>
      </c>
      <c r="S5">
        <v>10.3</v>
      </c>
    </row>
    <row r="6" spans="1:19" x14ac:dyDescent="0.25">
      <c r="A6" t="s">
        <v>23</v>
      </c>
      <c r="D6">
        <v>-3.6</v>
      </c>
      <c r="E6">
        <v>-2.8</v>
      </c>
      <c r="F6">
        <v>-0.4</v>
      </c>
      <c r="G6">
        <v>-5.2</v>
      </c>
      <c r="H6">
        <v>0.1</v>
      </c>
      <c r="I6">
        <v>-10.199999999999999</v>
      </c>
      <c r="J6">
        <v>-10.1</v>
      </c>
      <c r="K6">
        <v>0.5</v>
      </c>
      <c r="L6">
        <v>-3.6</v>
      </c>
      <c r="M6">
        <v>-1.9</v>
      </c>
      <c r="N6">
        <v>-7.8</v>
      </c>
      <c r="P6">
        <v>0.5</v>
      </c>
      <c r="Q6">
        <v>-7.1</v>
      </c>
      <c r="R6">
        <v>-4.2</v>
      </c>
      <c r="S6">
        <v>-7.1</v>
      </c>
    </row>
    <row r="7" spans="1:19" x14ac:dyDescent="0.25">
      <c r="A7" t="s">
        <v>24</v>
      </c>
      <c r="D7">
        <v>-2.6</v>
      </c>
      <c r="E7">
        <v>-0.6</v>
      </c>
      <c r="G7">
        <v>-3</v>
      </c>
      <c r="H7">
        <v>3.1</v>
      </c>
      <c r="I7">
        <v>-9.3000000000000007</v>
      </c>
      <c r="J7">
        <v>-2.5</v>
      </c>
      <c r="K7">
        <v>1.2</v>
      </c>
      <c r="L7">
        <v>-3.5</v>
      </c>
      <c r="M7">
        <v>-1.2</v>
      </c>
      <c r="N7">
        <v>-7</v>
      </c>
      <c r="O7">
        <v>-7.5</v>
      </c>
      <c r="P7">
        <v>2.2000000000000002</v>
      </c>
      <c r="Q7">
        <v>-7.5</v>
      </c>
      <c r="R7">
        <v>0.7</v>
      </c>
      <c r="S7">
        <v>-7.8</v>
      </c>
    </row>
    <row r="8" spans="1:19" x14ac:dyDescent="0.25">
      <c r="A8" t="s">
        <v>25</v>
      </c>
      <c r="D8">
        <v>-1</v>
      </c>
      <c r="E8">
        <v>-1.8</v>
      </c>
      <c r="F8">
        <v>-5.3</v>
      </c>
      <c r="G8">
        <v>-5</v>
      </c>
      <c r="H8">
        <v>1.3</v>
      </c>
      <c r="I8">
        <v>5.2</v>
      </c>
      <c r="J8">
        <v>2.5</v>
      </c>
      <c r="L8">
        <v>1.3</v>
      </c>
      <c r="M8">
        <v>2.2999999999999998</v>
      </c>
      <c r="N8">
        <v>-6.8</v>
      </c>
      <c r="O8">
        <v>-5.0999999999999996</v>
      </c>
      <c r="P8">
        <v>-6.8</v>
      </c>
      <c r="Q8">
        <v>4.7</v>
      </c>
      <c r="R8">
        <v>1</v>
      </c>
      <c r="S8">
        <v>4.7</v>
      </c>
    </row>
    <row r="9" spans="1:19" x14ac:dyDescent="0.25">
      <c r="A9" t="s">
        <v>26</v>
      </c>
      <c r="D9">
        <v>-9.6999999999999993</v>
      </c>
      <c r="E9">
        <v>-10</v>
      </c>
      <c r="F9">
        <v>-5.7</v>
      </c>
      <c r="G9">
        <v>-3.4</v>
      </c>
      <c r="H9">
        <v>0</v>
      </c>
      <c r="I9">
        <v>-2.4</v>
      </c>
      <c r="K9">
        <v>0.5</v>
      </c>
      <c r="L9">
        <v>-11.5</v>
      </c>
      <c r="M9">
        <v>-2.8</v>
      </c>
      <c r="N9">
        <v>-1.5</v>
      </c>
      <c r="O9">
        <v>2.6</v>
      </c>
      <c r="P9">
        <v>-2.2000000000000002</v>
      </c>
      <c r="Q9">
        <v>-9.8000000000000007</v>
      </c>
      <c r="R9">
        <v>-3.4</v>
      </c>
      <c r="S9">
        <v>-4.7</v>
      </c>
    </row>
    <row r="10" spans="1:19" x14ac:dyDescent="0.25">
      <c r="A10" t="s">
        <v>27</v>
      </c>
      <c r="D10">
        <v>2.6</v>
      </c>
      <c r="E10">
        <v>-4.9000000000000004</v>
      </c>
      <c r="F10">
        <v>5.3</v>
      </c>
      <c r="G10">
        <v>5.2</v>
      </c>
      <c r="H10">
        <v>-0.4</v>
      </c>
      <c r="I10">
        <v>-1.7</v>
      </c>
      <c r="J10">
        <v>1.1000000000000001</v>
      </c>
      <c r="L10">
        <v>2</v>
      </c>
      <c r="M10">
        <v>-4.4000000000000004</v>
      </c>
      <c r="N10">
        <v>-3.8</v>
      </c>
      <c r="O10">
        <v>-5.2</v>
      </c>
      <c r="P10">
        <v>-0.9</v>
      </c>
      <c r="Q10">
        <v>-3.3</v>
      </c>
      <c r="R10">
        <v>-0.4</v>
      </c>
      <c r="S10">
        <v>3.8</v>
      </c>
    </row>
    <row r="11" spans="1:19" x14ac:dyDescent="0.25">
      <c r="A11" t="s">
        <v>29</v>
      </c>
      <c r="D11">
        <v>-1.5</v>
      </c>
      <c r="E11">
        <v>10</v>
      </c>
      <c r="F11">
        <v>5.3</v>
      </c>
      <c r="G11">
        <v>1.4</v>
      </c>
      <c r="H11">
        <v>3.3</v>
      </c>
      <c r="J11">
        <v>4.3</v>
      </c>
      <c r="K11">
        <v>4.8</v>
      </c>
      <c r="L11">
        <v>0.8</v>
      </c>
      <c r="M11">
        <v>9</v>
      </c>
      <c r="N11">
        <v>0.3</v>
      </c>
      <c r="O11">
        <v>5.2</v>
      </c>
      <c r="P11">
        <v>2.6</v>
      </c>
      <c r="Q11">
        <v>6.6</v>
      </c>
      <c r="R11">
        <v>4.3</v>
      </c>
      <c r="S11">
        <v>7.8</v>
      </c>
    </row>
    <row r="12" spans="1:19" x14ac:dyDescent="0.25">
      <c r="A12" t="s">
        <v>30</v>
      </c>
      <c r="D12">
        <v>9.6999999999999993</v>
      </c>
      <c r="E12">
        <v>4.9000000000000004</v>
      </c>
      <c r="G12">
        <v>5</v>
      </c>
      <c r="H12">
        <v>6</v>
      </c>
      <c r="I12">
        <v>6.3</v>
      </c>
      <c r="J12">
        <v>10.1</v>
      </c>
      <c r="K12">
        <v>0.5</v>
      </c>
      <c r="L12">
        <v>8.6999999999999993</v>
      </c>
      <c r="M12">
        <v>4</v>
      </c>
      <c r="N12">
        <v>-0.3</v>
      </c>
      <c r="O12">
        <v>7.5</v>
      </c>
      <c r="P12">
        <v>3.2</v>
      </c>
      <c r="Q12">
        <v>7.5</v>
      </c>
      <c r="R12">
        <v>-1.8</v>
      </c>
      <c r="S12">
        <v>4</v>
      </c>
    </row>
    <row r="13" spans="1:19" x14ac:dyDescent="0.25">
      <c r="A13" t="s">
        <v>31</v>
      </c>
      <c r="D13">
        <v>-0.1</v>
      </c>
      <c r="E13">
        <v>6.4</v>
      </c>
      <c r="F13">
        <v>-7.7</v>
      </c>
      <c r="H13">
        <v>0</v>
      </c>
      <c r="I13">
        <v>2.2999999999999998</v>
      </c>
      <c r="J13">
        <v>-2.7</v>
      </c>
      <c r="K13">
        <v>-0.1</v>
      </c>
      <c r="L13">
        <v>6.4</v>
      </c>
      <c r="M13">
        <v>-6</v>
      </c>
      <c r="N13">
        <v>-1</v>
      </c>
      <c r="O13">
        <v>-4.8</v>
      </c>
      <c r="P13">
        <v>0.1</v>
      </c>
      <c r="Q13">
        <v>1</v>
      </c>
      <c r="R13">
        <v>-4.3</v>
      </c>
      <c r="S13">
        <v>-1</v>
      </c>
    </row>
    <row r="14" spans="1:19" x14ac:dyDescent="0.25">
      <c r="A14" t="s">
        <v>32</v>
      </c>
      <c r="D14">
        <v>7.4</v>
      </c>
      <c r="E14">
        <v>-2.6</v>
      </c>
      <c r="F14">
        <v>2</v>
      </c>
      <c r="G14">
        <v>1.1000000000000001</v>
      </c>
      <c r="H14">
        <v>-3.3</v>
      </c>
      <c r="I14">
        <v>7.4</v>
      </c>
      <c r="J14">
        <v>1.4</v>
      </c>
      <c r="K14">
        <v>1.6</v>
      </c>
      <c r="M14">
        <v>-3.8</v>
      </c>
      <c r="N14">
        <v>1</v>
      </c>
      <c r="O14">
        <v>0.9</v>
      </c>
      <c r="P14">
        <v>1</v>
      </c>
      <c r="Q14">
        <v>3.3</v>
      </c>
      <c r="R14">
        <v>0.9</v>
      </c>
      <c r="S14">
        <v>1</v>
      </c>
    </row>
    <row r="15" spans="1:19" x14ac:dyDescent="0.25">
      <c r="A15" t="s">
        <v>33</v>
      </c>
      <c r="D15">
        <v>0.1</v>
      </c>
      <c r="E15">
        <v>2.4</v>
      </c>
      <c r="F15">
        <v>-4.7</v>
      </c>
      <c r="G15">
        <v>0.1</v>
      </c>
      <c r="H15">
        <v>-3.5</v>
      </c>
      <c r="J15">
        <v>1.1000000000000001</v>
      </c>
      <c r="K15">
        <v>0.1</v>
      </c>
      <c r="L15">
        <v>-4.2</v>
      </c>
      <c r="M15">
        <v>0.2</v>
      </c>
      <c r="N15">
        <v>6.5</v>
      </c>
      <c r="O15">
        <v>-0.9</v>
      </c>
      <c r="P15">
        <v>4.4000000000000004</v>
      </c>
      <c r="Q15">
        <v>-2.6</v>
      </c>
      <c r="R15">
        <v>-0.9</v>
      </c>
      <c r="S15">
        <v>6.5</v>
      </c>
    </row>
    <row r="16" spans="1:19" x14ac:dyDescent="0.25">
      <c r="A16" t="s">
        <v>34</v>
      </c>
      <c r="D16">
        <v>7.6</v>
      </c>
      <c r="E16">
        <v>-2.9</v>
      </c>
      <c r="F16">
        <v>4.7</v>
      </c>
      <c r="G16">
        <v>-1.4</v>
      </c>
      <c r="H16">
        <v>5.8</v>
      </c>
      <c r="I16">
        <v>3.4</v>
      </c>
      <c r="J16">
        <v>-1.2</v>
      </c>
      <c r="L16">
        <v>2.1</v>
      </c>
      <c r="M16">
        <v>3.8</v>
      </c>
      <c r="N16">
        <v>3.8</v>
      </c>
      <c r="O16">
        <v>4.8</v>
      </c>
      <c r="P16">
        <v>0.5</v>
      </c>
      <c r="Q16">
        <v>11.2</v>
      </c>
      <c r="R16">
        <v>2.1</v>
      </c>
      <c r="S16">
        <v>5.8</v>
      </c>
    </row>
    <row r="17" spans="1:19" x14ac:dyDescent="0.25">
      <c r="A17" t="s">
        <v>35</v>
      </c>
      <c r="D17">
        <v>-2.4</v>
      </c>
      <c r="E17">
        <v>0.6</v>
      </c>
      <c r="F17">
        <v>-2</v>
      </c>
      <c r="G17">
        <v>5.4</v>
      </c>
      <c r="H17">
        <v>-5.8</v>
      </c>
      <c r="J17">
        <v>-1.1000000000000001</v>
      </c>
      <c r="K17">
        <v>-3.7</v>
      </c>
      <c r="L17">
        <v>-2</v>
      </c>
      <c r="M17">
        <v>2.8</v>
      </c>
      <c r="N17">
        <v>-5.3</v>
      </c>
      <c r="O17">
        <v>-3.7</v>
      </c>
      <c r="P17">
        <v>-6.4</v>
      </c>
      <c r="Q17">
        <v>-1</v>
      </c>
      <c r="R17">
        <v>1.8</v>
      </c>
      <c r="S17">
        <v>-5.8</v>
      </c>
    </row>
    <row r="18" spans="1:19" x14ac:dyDescent="0.25">
      <c r="A18" t="s">
        <v>36</v>
      </c>
      <c r="D18">
        <v>1.6</v>
      </c>
      <c r="E18">
        <v>7.1</v>
      </c>
      <c r="F18">
        <v>2.9</v>
      </c>
      <c r="G18">
        <v>8.1</v>
      </c>
      <c r="H18">
        <v>3.3</v>
      </c>
      <c r="I18">
        <v>2.4</v>
      </c>
      <c r="J18">
        <v>10.7</v>
      </c>
      <c r="K18">
        <v>4.7</v>
      </c>
      <c r="L18">
        <v>4.2</v>
      </c>
      <c r="N18">
        <v>5.3</v>
      </c>
      <c r="O18">
        <v>-1.1000000000000001</v>
      </c>
      <c r="P18">
        <v>-0.5</v>
      </c>
      <c r="Q18">
        <v>3.3</v>
      </c>
      <c r="R18">
        <v>4.3</v>
      </c>
      <c r="S18">
        <v>1.6</v>
      </c>
    </row>
    <row r="19" spans="1:19" x14ac:dyDescent="0.25">
      <c r="A19" t="s">
        <v>38</v>
      </c>
      <c r="D19">
        <v>-9.8000000000000007</v>
      </c>
      <c r="E19">
        <v>0.5</v>
      </c>
      <c r="F19">
        <v>0.4</v>
      </c>
      <c r="G19">
        <v>-8.1</v>
      </c>
      <c r="H19">
        <v>0</v>
      </c>
      <c r="I19">
        <v>-3.2</v>
      </c>
      <c r="J19">
        <v>-11.5</v>
      </c>
      <c r="K19">
        <v>-9.8000000000000007</v>
      </c>
      <c r="L19">
        <v>-5.2</v>
      </c>
      <c r="N19">
        <v>0.9</v>
      </c>
      <c r="O19">
        <v>0.5</v>
      </c>
      <c r="P19">
        <v>-3.4</v>
      </c>
      <c r="Q19">
        <v>-4.7</v>
      </c>
      <c r="R19">
        <v>-6.7</v>
      </c>
      <c r="S19">
        <v>-2.4</v>
      </c>
    </row>
    <row r="20" spans="1:19" x14ac:dyDescent="0.25">
      <c r="A20" t="s">
        <v>39</v>
      </c>
      <c r="D20">
        <v>1</v>
      </c>
      <c r="E20">
        <v>2.2999999999999998</v>
      </c>
      <c r="F20">
        <v>5.7</v>
      </c>
      <c r="H20">
        <v>-3.5</v>
      </c>
      <c r="I20">
        <v>-2.4</v>
      </c>
      <c r="J20">
        <v>-4.3</v>
      </c>
      <c r="K20">
        <v>-5.8</v>
      </c>
      <c r="L20">
        <v>3.5</v>
      </c>
      <c r="M20">
        <v>-4</v>
      </c>
      <c r="N20">
        <v>1.9</v>
      </c>
      <c r="O20">
        <v>0.5</v>
      </c>
      <c r="P20">
        <v>0.9</v>
      </c>
      <c r="Q20">
        <v>4.7</v>
      </c>
      <c r="R20">
        <v>-4.3</v>
      </c>
      <c r="S20">
        <v>-4</v>
      </c>
    </row>
    <row r="21" spans="1:19" x14ac:dyDescent="0.25">
      <c r="A21" t="s">
        <v>40</v>
      </c>
      <c r="D21">
        <v>-1</v>
      </c>
      <c r="E21">
        <v>2.8</v>
      </c>
      <c r="F21">
        <v>-7.4</v>
      </c>
      <c r="G21">
        <v>3.3</v>
      </c>
      <c r="H21">
        <v>5</v>
      </c>
      <c r="I21">
        <v>2.4</v>
      </c>
      <c r="J21">
        <v>-0.8</v>
      </c>
      <c r="K21">
        <v>-4.3</v>
      </c>
      <c r="L21">
        <v>2.9</v>
      </c>
      <c r="M21">
        <v>-2.2999999999999998</v>
      </c>
      <c r="N21">
        <v>1.4</v>
      </c>
      <c r="P21">
        <v>-7.4</v>
      </c>
      <c r="Q21">
        <v>-9.1</v>
      </c>
      <c r="R21">
        <v>2.9</v>
      </c>
      <c r="S21">
        <v>2.4</v>
      </c>
    </row>
    <row r="22" spans="1:19" x14ac:dyDescent="0.25">
      <c r="A22" t="s">
        <v>41</v>
      </c>
      <c r="D22">
        <v>-4.7</v>
      </c>
      <c r="E22">
        <v>-10.7</v>
      </c>
      <c r="F22">
        <v>-1.9</v>
      </c>
      <c r="G22">
        <v>-3.3</v>
      </c>
      <c r="H22">
        <v>-3.1</v>
      </c>
      <c r="I22">
        <v>-7.6</v>
      </c>
      <c r="J22">
        <v>-8.3000000000000007</v>
      </c>
      <c r="K22">
        <v>-0.5</v>
      </c>
      <c r="M22">
        <v>-4.0999999999999996</v>
      </c>
      <c r="N22">
        <v>-0.9</v>
      </c>
      <c r="O22">
        <v>-7.6</v>
      </c>
      <c r="P22">
        <v>-0.5</v>
      </c>
      <c r="Q22">
        <v>-0.4</v>
      </c>
      <c r="R22">
        <v>1.7</v>
      </c>
      <c r="S22">
        <v>-4.0999999999999996</v>
      </c>
    </row>
    <row r="23" spans="1:19" x14ac:dyDescent="0.25">
      <c r="A23" t="s">
        <v>42</v>
      </c>
      <c r="D23">
        <v>-7.6</v>
      </c>
      <c r="E23">
        <v>-7.1</v>
      </c>
      <c r="F23">
        <v>1.9</v>
      </c>
      <c r="G23">
        <v>-8.1999999999999993</v>
      </c>
      <c r="H23">
        <v>-5.5</v>
      </c>
      <c r="I23">
        <v>-8.1999999999999993</v>
      </c>
      <c r="J23">
        <v>-0.5</v>
      </c>
      <c r="K23">
        <v>-1.2</v>
      </c>
      <c r="L23">
        <v>-8.6999999999999993</v>
      </c>
      <c r="M23">
        <v>-9</v>
      </c>
      <c r="N23">
        <v>-1.4</v>
      </c>
      <c r="P23">
        <v>-4.2</v>
      </c>
      <c r="Q23">
        <v>-4.7</v>
      </c>
      <c r="R23">
        <v>-1.8</v>
      </c>
      <c r="S23">
        <v>-3.8</v>
      </c>
    </row>
    <row r="24" spans="1:19" x14ac:dyDescent="0.25">
      <c r="A24" t="s">
        <v>43</v>
      </c>
      <c r="D24">
        <v>-7.2</v>
      </c>
      <c r="E24">
        <v>-0.5</v>
      </c>
      <c r="F24">
        <v>-5.3</v>
      </c>
      <c r="G24">
        <v>-7</v>
      </c>
      <c r="H24">
        <v>-0.1</v>
      </c>
      <c r="I24">
        <v>-5.2</v>
      </c>
      <c r="K24">
        <v>-0.5</v>
      </c>
      <c r="L24">
        <v>-2.9</v>
      </c>
      <c r="M24">
        <v>-12</v>
      </c>
      <c r="N24">
        <v>-3.7</v>
      </c>
      <c r="O24">
        <v>-0.5</v>
      </c>
      <c r="P24">
        <v>-4.4000000000000004</v>
      </c>
      <c r="Q24">
        <v>0.4</v>
      </c>
      <c r="R24">
        <v>-2.9</v>
      </c>
      <c r="S24">
        <v>-10.3</v>
      </c>
    </row>
    <row r="25" spans="1:19" x14ac:dyDescent="0.25">
      <c r="A25" t="s">
        <v>44</v>
      </c>
      <c r="D25">
        <v>1.8</v>
      </c>
      <c r="E25">
        <v>2.5</v>
      </c>
      <c r="F25">
        <v>2.7</v>
      </c>
      <c r="G25">
        <v>8.1999999999999993</v>
      </c>
      <c r="H25">
        <v>3.5</v>
      </c>
      <c r="I25">
        <v>8.1999999999999993</v>
      </c>
      <c r="K25">
        <v>-0.5</v>
      </c>
      <c r="L25">
        <v>-0.8</v>
      </c>
      <c r="M25">
        <v>4.4000000000000004</v>
      </c>
      <c r="N25">
        <v>7</v>
      </c>
      <c r="O25">
        <v>1.1000000000000001</v>
      </c>
      <c r="P25">
        <v>6.4</v>
      </c>
      <c r="Q25">
        <v>4</v>
      </c>
      <c r="R25">
        <v>-0.6</v>
      </c>
      <c r="S25">
        <v>4</v>
      </c>
    </row>
    <row r="26" spans="1:19" x14ac:dyDescent="0.25">
      <c r="A26" t="s">
        <v>45</v>
      </c>
      <c r="D26">
        <v>1</v>
      </c>
      <c r="E26">
        <v>-2.2999999999999998</v>
      </c>
      <c r="G26">
        <v>3.4</v>
      </c>
      <c r="H26">
        <v>-1.3</v>
      </c>
      <c r="I26">
        <v>-6.3</v>
      </c>
      <c r="J26">
        <v>-1.4</v>
      </c>
      <c r="K26">
        <v>-4.7</v>
      </c>
      <c r="L26">
        <v>-1.3</v>
      </c>
      <c r="M26">
        <v>1.2</v>
      </c>
      <c r="N26">
        <v>-6.4</v>
      </c>
      <c r="O26">
        <v>-8.1</v>
      </c>
      <c r="P26">
        <v>3.4</v>
      </c>
      <c r="Q26">
        <v>-6.6</v>
      </c>
      <c r="R26">
        <v>3.4</v>
      </c>
      <c r="S26">
        <v>-8.1</v>
      </c>
    </row>
    <row r="27" spans="1:19" x14ac:dyDescent="0.25">
      <c r="A27" t="s">
        <v>46</v>
      </c>
      <c r="D27">
        <v>-2.2000000000000002</v>
      </c>
      <c r="E27">
        <v>-2.4</v>
      </c>
      <c r="F27">
        <v>-5.9</v>
      </c>
      <c r="G27">
        <v>-5.2</v>
      </c>
      <c r="H27">
        <v>-1.7</v>
      </c>
      <c r="I27">
        <v>-2.2999999999999998</v>
      </c>
      <c r="J27">
        <v>0.5</v>
      </c>
      <c r="K27">
        <v>-5.9</v>
      </c>
      <c r="L27">
        <v>-2.2000000000000002</v>
      </c>
      <c r="M27">
        <v>1.9</v>
      </c>
      <c r="N27">
        <v>1.5</v>
      </c>
      <c r="P27">
        <v>4.0999999999999996</v>
      </c>
      <c r="Q27">
        <v>-3.3</v>
      </c>
      <c r="R27">
        <v>-0.7</v>
      </c>
      <c r="S27">
        <v>-2.2999999999999998</v>
      </c>
    </row>
    <row r="28" spans="1:19" x14ac:dyDescent="0.25">
      <c r="A28" t="s">
        <v>47</v>
      </c>
      <c r="D28">
        <v>4.7</v>
      </c>
      <c r="E28">
        <v>0.1</v>
      </c>
      <c r="F28">
        <v>-2.9</v>
      </c>
      <c r="G28">
        <v>-0.1</v>
      </c>
      <c r="H28">
        <v>0</v>
      </c>
      <c r="J28">
        <v>-1.4</v>
      </c>
      <c r="K28">
        <v>0.1</v>
      </c>
      <c r="L28">
        <v>-3.6</v>
      </c>
      <c r="M28">
        <v>6.4</v>
      </c>
      <c r="N28">
        <v>-1.9</v>
      </c>
      <c r="O28">
        <v>0.6</v>
      </c>
      <c r="P28">
        <v>-1</v>
      </c>
      <c r="Q28">
        <v>-3.6</v>
      </c>
      <c r="R28">
        <v>4.2</v>
      </c>
      <c r="S28">
        <v>2.2999999999999998</v>
      </c>
    </row>
    <row r="29" spans="1:19" x14ac:dyDescent="0.25">
      <c r="A29" t="s">
        <v>48</v>
      </c>
      <c r="D29">
        <v>7.2</v>
      </c>
      <c r="E29">
        <v>-2.5</v>
      </c>
      <c r="F29">
        <v>2.9</v>
      </c>
      <c r="G29">
        <v>5.2</v>
      </c>
      <c r="H29">
        <v>-3.3</v>
      </c>
      <c r="I29">
        <v>7.6</v>
      </c>
      <c r="K29">
        <v>4.3</v>
      </c>
      <c r="L29">
        <v>-3.1</v>
      </c>
      <c r="M29">
        <v>-0.7</v>
      </c>
      <c r="N29">
        <v>3</v>
      </c>
      <c r="O29">
        <v>7.6</v>
      </c>
      <c r="P29">
        <v>3.5</v>
      </c>
      <c r="Q29">
        <v>7.1</v>
      </c>
      <c r="R29">
        <v>6.7</v>
      </c>
      <c r="S29">
        <v>7.1</v>
      </c>
    </row>
    <row r="30" spans="1:19" x14ac:dyDescent="0.25">
      <c r="A30" t="s">
        <v>49</v>
      </c>
      <c r="D30">
        <v>-7.4</v>
      </c>
      <c r="E30">
        <v>-6.4</v>
      </c>
      <c r="F30">
        <v>-6.3</v>
      </c>
      <c r="G30">
        <v>-5.4</v>
      </c>
      <c r="H30">
        <v>-5</v>
      </c>
      <c r="I30">
        <v>-7.4</v>
      </c>
      <c r="J30">
        <v>-10.7</v>
      </c>
      <c r="L30">
        <v>-6.4</v>
      </c>
      <c r="M30">
        <v>-6.4</v>
      </c>
      <c r="N30">
        <v>-6.5</v>
      </c>
      <c r="O30">
        <v>-2.6</v>
      </c>
      <c r="P30">
        <v>-4.0999999999999996</v>
      </c>
      <c r="Q30">
        <v>-11.2</v>
      </c>
      <c r="R30">
        <v>-1.7</v>
      </c>
      <c r="S30">
        <v>-6.5</v>
      </c>
    </row>
    <row r="31" spans="1:19" x14ac:dyDescent="0.25">
      <c r="A31" t="s">
        <v>50</v>
      </c>
      <c r="D31">
        <v>2.4</v>
      </c>
      <c r="E31">
        <v>2</v>
      </c>
      <c r="F31">
        <v>-2.9</v>
      </c>
      <c r="G31">
        <v>3</v>
      </c>
      <c r="H31">
        <v>0.4</v>
      </c>
      <c r="I31">
        <v>-3.4</v>
      </c>
      <c r="J31">
        <v>1.4</v>
      </c>
      <c r="K31">
        <v>-4.8</v>
      </c>
      <c r="L31">
        <v>5.2</v>
      </c>
      <c r="N31">
        <v>-1.3</v>
      </c>
      <c r="O31">
        <v>-0.5</v>
      </c>
      <c r="P31">
        <v>4.2</v>
      </c>
      <c r="Q31">
        <v>-4</v>
      </c>
      <c r="R31">
        <v>0.4</v>
      </c>
      <c r="S31">
        <v>-4</v>
      </c>
    </row>
    <row r="37" spans="1:19" x14ac:dyDescent="0.25">
      <c r="A37" t="s">
        <v>0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</row>
    <row r="38" spans="1:19" x14ac:dyDescent="0.25">
      <c r="A38" t="s">
        <v>19</v>
      </c>
      <c r="B38" s="1"/>
      <c r="C38" s="1"/>
      <c r="D38" s="1">
        <f>IFERROR(IF(_xlfn.RANK.AVG(D2,$D$2:$S$31,0)&gt;150,"",_xlfn.RANK.AVG(D2,$D$2:$S$32,0)),"")</f>
        <v>145</v>
      </c>
      <c r="E38" s="1" t="str">
        <f t="shared" ref="E38:S38" si="0">IFERROR(IF(_xlfn.RANK.AVG(E2,$B$2:$S$31,0)&gt;150,"",_xlfn.RANK.AVG(E2,$B$2:$S$31,0)),"")</f>
        <v/>
      </c>
      <c r="F38" s="1">
        <f t="shared" si="0"/>
        <v>52.5</v>
      </c>
      <c r="G38" s="1" t="str">
        <f t="shared" si="0"/>
        <v/>
      </c>
      <c r="H38" s="1" t="str">
        <f t="shared" si="0"/>
        <v/>
      </c>
      <c r="I38" s="1" t="str">
        <f t="shared" si="0"/>
        <v/>
      </c>
      <c r="J38" s="1" t="str">
        <f t="shared" si="0"/>
        <v/>
      </c>
      <c r="K38" s="1" t="str">
        <f t="shared" si="0"/>
        <v/>
      </c>
      <c r="L38" s="1">
        <f t="shared" si="0"/>
        <v>145</v>
      </c>
      <c r="M38" s="1" t="str">
        <f t="shared" si="0"/>
        <v/>
      </c>
      <c r="N38" s="1" t="str">
        <f t="shared" si="0"/>
        <v/>
      </c>
      <c r="O38" s="1" t="str">
        <f t="shared" si="0"/>
        <v/>
      </c>
      <c r="P38" s="1" t="str">
        <f t="shared" si="0"/>
        <v/>
      </c>
      <c r="Q38" s="1" t="str">
        <f t="shared" si="0"/>
        <v/>
      </c>
      <c r="R38" s="1" t="str">
        <f t="shared" si="0"/>
        <v/>
      </c>
      <c r="S38" s="1" t="str">
        <f t="shared" si="0"/>
        <v/>
      </c>
    </row>
    <row r="39" spans="1:19" x14ac:dyDescent="0.25">
      <c r="A39" t="s">
        <v>20</v>
      </c>
      <c r="B39" s="1"/>
      <c r="C39" s="1"/>
      <c r="D39" s="1">
        <f t="shared" ref="D39:D67" si="1">IFERROR(IF(_xlfn.RANK.AVG(D3,$B$2:$S$31,0)&gt;150,"",_xlfn.RANK.AVG(D3,$B$2:$S$31,0)),"")</f>
        <v>102.5</v>
      </c>
      <c r="E39" s="1" t="str">
        <f t="shared" ref="E39:S39" si="2">IFERROR(IF(_xlfn.RANK.AVG(E3,$B$2:$S$31,0)&gt;150,"",_xlfn.RANK.AVG(E3,$B$2:$S$31,0)),"")</f>
        <v/>
      </c>
      <c r="F39" s="1" t="str">
        <f t="shared" si="2"/>
        <v/>
      </c>
      <c r="G39" s="1" t="str">
        <f t="shared" si="2"/>
        <v/>
      </c>
      <c r="H39" s="1" t="str">
        <f t="shared" si="2"/>
        <v/>
      </c>
      <c r="I39" s="1">
        <f t="shared" si="2"/>
        <v>116.5</v>
      </c>
      <c r="J39" s="1" t="str">
        <f t="shared" si="2"/>
        <v/>
      </c>
      <c r="K39" s="1" t="str">
        <f t="shared" si="2"/>
        <v/>
      </c>
      <c r="L39" s="1">
        <f t="shared" si="2"/>
        <v>102.5</v>
      </c>
      <c r="M39" s="1">
        <f t="shared" si="2"/>
        <v>91.5</v>
      </c>
      <c r="N39" s="1">
        <f t="shared" si="2"/>
        <v>101</v>
      </c>
      <c r="O39" s="1" t="str">
        <f t="shared" si="2"/>
        <v/>
      </c>
      <c r="P39" s="1" t="str">
        <f t="shared" si="2"/>
        <v/>
      </c>
      <c r="Q39" s="1" t="str">
        <f t="shared" si="2"/>
        <v/>
      </c>
      <c r="R39" s="1" t="str">
        <f t="shared" si="2"/>
        <v/>
      </c>
      <c r="S39" s="1">
        <f t="shared" si="2"/>
        <v>91.5</v>
      </c>
    </row>
    <row r="40" spans="1:19" x14ac:dyDescent="0.25">
      <c r="A40" t="s">
        <v>21</v>
      </c>
      <c r="B40" s="1"/>
      <c r="C40" s="1"/>
      <c r="D40" s="1" t="str">
        <f t="shared" si="1"/>
        <v/>
      </c>
      <c r="E40" s="1">
        <f t="shared" ref="E40:S40" si="3">IFERROR(IF(_xlfn.RANK.AVG(E4,$B$2:$S$31,0)&gt;150,"",_xlfn.RANK.AVG(E4,$B$2:$S$31,0)),"")</f>
        <v>124</v>
      </c>
      <c r="F40" s="1">
        <f t="shared" si="3"/>
        <v>25</v>
      </c>
      <c r="G40" s="1">
        <f t="shared" si="3"/>
        <v>91.5</v>
      </c>
      <c r="H40" s="1" t="str">
        <f t="shared" si="3"/>
        <v/>
      </c>
      <c r="I40" s="1">
        <f t="shared" si="3"/>
        <v>15</v>
      </c>
      <c r="J40" s="1">
        <f t="shared" si="3"/>
        <v>2.5</v>
      </c>
      <c r="K40" s="1">
        <f t="shared" si="3"/>
        <v>57</v>
      </c>
      <c r="L40" s="1">
        <f t="shared" si="3"/>
        <v>2.5</v>
      </c>
      <c r="M40" s="1">
        <f t="shared" si="3"/>
        <v>1</v>
      </c>
      <c r="N40" s="1">
        <f t="shared" si="3"/>
        <v>40.5</v>
      </c>
      <c r="O40" s="1">
        <f t="shared" si="3"/>
        <v>22</v>
      </c>
      <c r="P40" s="1">
        <f t="shared" si="3"/>
        <v>40.5</v>
      </c>
      <c r="Q40" s="1">
        <f t="shared" si="3"/>
        <v>16</v>
      </c>
      <c r="R40" s="1" t="str">
        <f t="shared" si="3"/>
        <v/>
      </c>
      <c r="S40" s="1">
        <f t="shared" si="3"/>
        <v>22</v>
      </c>
    </row>
    <row r="41" spans="1:19" x14ac:dyDescent="0.25">
      <c r="A41" t="s">
        <v>22</v>
      </c>
      <c r="B41" s="1"/>
      <c r="C41" s="1"/>
      <c r="D41" s="1">
        <f t="shared" si="1"/>
        <v>12</v>
      </c>
      <c r="E41" s="1">
        <f t="shared" ref="E41:S41" si="4">IFERROR(IF(_xlfn.RANK.AVG(E5,$B$2:$S$31,0)&gt;150,"",_xlfn.RANK.AVG(E5,$B$2:$S$31,0)),"")</f>
        <v>5.5</v>
      </c>
      <c r="F41" s="1">
        <f t="shared" si="4"/>
        <v>32.5</v>
      </c>
      <c r="G41" s="1">
        <f t="shared" si="4"/>
        <v>43.5</v>
      </c>
      <c r="H41" s="1" t="str">
        <f t="shared" si="4"/>
        <v/>
      </c>
      <c r="I41" s="1">
        <f t="shared" si="4"/>
        <v>8</v>
      </c>
      <c r="J41" s="1" t="str">
        <f t="shared" si="4"/>
        <v/>
      </c>
      <c r="K41" s="1">
        <f t="shared" si="4"/>
        <v>12</v>
      </c>
      <c r="L41" s="1">
        <f t="shared" si="4"/>
        <v>118.5</v>
      </c>
      <c r="M41" s="1">
        <f t="shared" si="4"/>
        <v>54.5</v>
      </c>
      <c r="N41" s="1">
        <f t="shared" si="4"/>
        <v>49</v>
      </c>
      <c r="O41" s="1">
        <f t="shared" si="4"/>
        <v>69</v>
      </c>
      <c r="P41" s="1">
        <f t="shared" si="4"/>
        <v>32.5</v>
      </c>
      <c r="Q41" s="1">
        <f t="shared" si="4"/>
        <v>12</v>
      </c>
      <c r="R41" s="1" t="str">
        <f t="shared" si="4"/>
        <v/>
      </c>
      <c r="S41" s="1">
        <f t="shared" si="4"/>
        <v>7</v>
      </c>
    </row>
    <row r="42" spans="1:19" x14ac:dyDescent="0.25">
      <c r="A42" t="s">
        <v>23</v>
      </c>
      <c r="B42" s="1"/>
      <c r="C42" s="1"/>
      <c r="D42" s="1" t="str">
        <f t="shared" si="1"/>
        <v/>
      </c>
      <c r="E42" s="1" t="str">
        <f t="shared" ref="E42:S42" si="5">IFERROR(IF(_xlfn.RANK.AVG(E6,$B$2:$S$31,0)&gt;150,"",_xlfn.RANK.AVG(E6,$B$2:$S$31,0)),"")</f>
        <v/>
      </c>
      <c r="F42" s="1" t="str">
        <f t="shared" si="5"/>
        <v/>
      </c>
      <c r="G42" s="1" t="str">
        <f t="shared" si="5"/>
        <v/>
      </c>
      <c r="H42" s="1" t="str">
        <f t="shared" si="5"/>
        <v/>
      </c>
      <c r="I42" s="1" t="str">
        <f t="shared" si="5"/>
        <v/>
      </c>
      <c r="J42" s="1" t="str">
        <f t="shared" si="5"/>
        <v/>
      </c>
      <c r="K42" s="1" t="str">
        <f t="shared" si="5"/>
        <v/>
      </c>
      <c r="L42" s="1" t="str">
        <f t="shared" si="5"/>
        <v/>
      </c>
      <c r="M42" s="1" t="str">
        <f t="shared" si="5"/>
        <v/>
      </c>
      <c r="N42" s="1" t="str">
        <f t="shared" si="5"/>
        <v/>
      </c>
      <c r="O42" s="1" t="str">
        <f t="shared" si="5"/>
        <v/>
      </c>
      <c r="P42" s="1" t="str">
        <f t="shared" si="5"/>
        <v/>
      </c>
      <c r="Q42" s="1" t="str">
        <f t="shared" si="5"/>
        <v/>
      </c>
      <c r="R42" s="1" t="str">
        <f t="shared" si="5"/>
        <v/>
      </c>
      <c r="S42" s="1" t="str">
        <f t="shared" si="5"/>
        <v/>
      </c>
    </row>
    <row r="43" spans="1:19" x14ac:dyDescent="0.25">
      <c r="A43" t="s">
        <v>24</v>
      </c>
      <c r="B43" s="1"/>
      <c r="C43" s="1"/>
      <c r="D43" s="1" t="str">
        <f t="shared" si="1"/>
        <v/>
      </c>
      <c r="E43" s="1" t="str">
        <f t="shared" ref="E43:S43" si="6">IFERROR(IF(_xlfn.RANK.AVG(E7,$B$2:$S$31,0)&gt;150,"",_xlfn.RANK.AVG(E7,$B$2:$S$31,0)),"")</f>
        <v/>
      </c>
      <c r="F43" s="1" t="str">
        <f t="shared" si="6"/>
        <v/>
      </c>
      <c r="G43" s="1" t="str">
        <f t="shared" si="6"/>
        <v/>
      </c>
      <c r="H43" s="1">
        <f t="shared" si="6"/>
        <v>118.5</v>
      </c>
      <c r="I43" s="1" t="str">
        <f t="shared" si="6"/>
        <v/>
      </c>
      <c r="J43" s="1" t="str">
        <f t="shared" si="6"/>
        <v/>
      </c>
      <c r="K43" s="1" t="str">
        <f t="shared" si="6"/>
        <v/>
      </c>
      <c r="L43" s="1" t="str">
        <f t="shared" si="6"/>
        <v/>
      </c>
      <c r="M43" s="1" t="str">
        <f t="shared" si="6"/>
        <v/>
      </c>
      <c r="N43" s="1" t="str">
        <f t="shared" si="6"/>
        <v/>
      </c>
      <c r="O43" s="1" t="str">
        <f t="shared" si="6"/>
        <v/>
      </c>
      <c r="P43" s="1">
        <f t="shared" si="6"/>
        <v>145</v>
      </c>
      <c r="Q43" s="1" t="str">
        <f t="shared" si="6"/>
        <v/>
      </c>
      <c r="R43" s="1" t="str">
        <f t="shared" si="6"/>
        <v/>
      </c>
      <c r="S43" s="1" t="str">
        <f t="shared" si="6"/>
        <v/>
      </c>
    </row>
    <row r="44" spans="1:19" x14ac:dyDescent="0.25">
      <c r="A44" t="s">
        <v>25</v>
      </c>
      <c r="B44" s="1"/>
      <c r="C44" s="1"/>
      <c r="D44" s="1" t="str">
        <f t="shared" si="1"/>
        <v/>
      </c>
      <c r="E44" s="1" t="str">
        <f t="shared" ref="E44:S44" si="7">IFERROR(IF(_xlfn.RANK.AVG(E8,$B$2:$S$31,0)&gt;150,"",_xlfn.RANK.AVG(E8,$B$2:$S$31,0)),"")</f>
        <v/>
      </c>
      <c r="F44" s="1" t="str">
        <f t="shared" si="7"/>
        <v/>
      </c>
      <c r="G44" s="1" t="str">
        <f t="shared" si="7"/>
        <v/>
      </c>
      <c r="H44" s="1" t="str">
        <f t="shared" si="7"/>
        <v/>
      </c>
      <c r="I44" s="1">
        <f t="shared" si="7"/>
        <v>66</v>
      </c>
      <c r="J44" s="1">
        <f t="shared" si="7"/>
        <v>133.5</v>
      </c>
      <c r="K44" s="1" t="str">
        <f t="shared" si="7"/>
        <v/>
      </c>
      <c r="L44" s="1" t="str">
        <f t="shared" si="7"/>
        <v/>
      </c>
      <c r="M44" s="1">
        <f t="shared" si="7"/>
        <v>141.5</v>
      </c>
      <c r="N44" s="1" t="str">
        <f t="shared" si="7"/>
        <v/>
      </c>
      <c r="O44" s="1" t="str">
        <f t="shared" si="7"/>
        <v/>
      </c>
      <c r="P44" s="1" t="str">
        <f t="shared" si="7"/>
        <v/>
      </c>
      <c r="Q44" s="1">
        <f t="shared" si="7"/>
        <v>77.5</v>
      </c>
      <c r="R44" s="1" t="str">
        <f t="shared" si="7"/>
        <v/>
      </c>
      <c r="S44" s="1">
        <f t="shared" si="7"/>
        <v>77.5</v>
      </c>
    </row>
    <row r="45" spans="1:19" x14ac:dyDescent="0.25">
      <c r="A45" t="s">
        <v>26</v>
      </c>
      <c r="B45" s="1"/>
      <c r="C45" s="1"/>
      <c r="D45" s="1" t="str">
        <f t="shared" si="1"/>
        <v/>
      </c>
      <c r="E45" s="1" t="str">
        <f t="shared" ref="E45:S45" si="8">IFERROR(IF(_xlfn.RANK.AVG(E9,$B$2:$S$31,0)&gt;150,"",_xlfn.RANK.AVG(E9,$B$2:$S$31,0)),"")</f>
        <v/>
      </c>
      <c r="F45" s="1" t="str">
        <f t="shared" si="8"/>
        <v/>
      </c>
      <c r="G45" s="1" t="str">
        <f t="shared" si="8"/>
        <v/>
      </c>
      <c r="H45" s="1" t="str">
        <f t="shared" si="8"/>
        <v/>
      </c>
      <c r="I45" s="1" t="str">
        <f t="shared" si="8"/>
        <v/>
      </c>
      <c r="J45" s="1" t="str">
        <f t="shared" si="8"/>
        <v/>
      </c>
      <c r="K45" s="1" t="str">
        <f t="shared" si="8"/>
        <v/>
      </c>
      <c r="L45" s="1" t="str">
        <f t="shared" si="8"/>
        <v/>
      </c>
      <c r="M45" s="1" t="str">
        <f t="shared" si="8"/>
        <v/>
      </c>
      <c r="N45" s="1" t="str">
        <f t="shared" si="8"/>
        <v/>
      </c>
      <c r="O45" s="1">
        <f t="shared" si="8"/>
        <v>131</v>
      </c>
      <c r="P45" s="1" t="str">
        <f t="shared" si="8"/>
        <v/>
      </c>
      <c r="Q45" s="1" t="str">
        <f t="shared" si="8"/>
        <v/>
      </c>
      <c r="R45" s="1" t="str">
        <f t="shared" si="8"/>
        <v/>
      </c>
      <c r="S45" s="1" t="str">
        <f t="shared" si="8"/>
        <v/>
      </c>
    </row>
    <row r="46" spans="1:19" x14ac:dyDescent="0.25">
      <c r="A46" t="s">
        <v>27</v>
      </c>
      <c r="B46" s="1"/>
      <c r="C46" s="1"/>
      <c r="D46" s="1">
        <f t="shared" si="1"/>
        <v>131</v>
      </c>
      <c r="E46" s="1" t="str">
        <f t="shared" ref="E46:S46" si="9">IFERROR(IF(_xlfn.RANK.AVG(E10,$B$2:$S$31,0)&gt;150,"",_xlfn.RANK.AVG(E10,$B$2:$S$31,0)),"")</f>
        <v/>
      </c>
      <c r="F46" s="1">
        <f t="shared" si="9"/>
        <v>62</v>
      </c>
      <c r="G46" s="1">
        <f t="shared" si="9"/>
        <v>66</v>
      </c>
      <c r="H46" s="1" t="str">
        <f t="shared" si="9"/>
        <v/>
      </c>
      <c r="I46" s="1" t="str">
        <f t="shared" si="9"/>
        <v/>
      </c>
      <c r="J46" s="1" t="str">
        <f t="shared" si="9"/>
        <v/>
      </c>
      <c r="K46" s="1" t="str">
        <f t="shared" si="9"/>
        <v/>
      </c>
      <c r="L46" s="1">
        <f t="shared" si="9"/>
        <v>150</v>
      </c>
      <c r="M46" s="1" t="str">
        <f t="shared" si="9"/>
        <v/>
      </c>
      <c r="N46" s="1" t="str">
        <f t="shared" si="9"/>
        <v/>
      </c>
      <c r="O46" s="1" t="str">
        <f t="shared" si="9"/>
        <v/>
      </c>
      <c r="P46" s="1" t="str">
        <f t="shared" si="9"/>
        <v/>
      </c>
      <c r="Q46" s="1" t="str">
        <f t="shared" si="9"/>
        <v/>
      </c>
      <c r="R46" s="1" t="str">
        <f t="shared" si="9"/>
        <v/>
      </c>
      <c r="S46" s="1">
        <f t="shared" si="9"/>
        <v>99</v>
      </c>
    </row>
    <row r="47" spans="1:19" x14ac:dyDescent="0.25">
      <c r="A47" t="s">
        <v>29</v>
      </c>
      <c r="B47" s="1"/>
      <c r="C47" s="1"/>
      <c r="D47" s="1" t="str">
        <f t="shared" si="1"/>
        <v/>
      </c>
      <c r="E47" s="1">
        <f t="shared" ref="E47:S47" si="10">IFERROR(IF(_xlfn.RANK.AVG(E11,$B$2:$S$31,0)&gt;150,"",_xlfn.RANK.AVG(E11,$B$2:$S$31,0)),"")</f>
        <v>10</v>
      </c>
      <c r="F47" s="1">
        <f t="shared" si="10"/>
        <v>62</v>
      </c>
      <c r="G47" s="1" t="str">
        <f t="shared" si="10"/>
        <v/>
      </c>
      <c r="H47" s="1">
        <f t="shared" si="10"/>
        <v>113</v>
      </c>
      <c r="I47" s="1" t="str">
        <f t="shared" si="10"/>
        <v/>
      </c>
      <c r="J47" s="1">
        <f t="shared" si="10"/>
        <v>84.5</v>
      </c>
      <c r="K47" s="1">
        <f t="shared" si="10"/>
        <v>73.5</v>
      </c>
      <c r="L47" s="1" t="str">
        <f t="shared" si="10"/>
        <v/>
      </c>
      <c r="M47" s="1">
        <f t="shared" si="10"/>
        <v>17</v>
      </c>
      <c r="N47" s="1" t="str">
        <f t="shared" si="10"/>
        <v/>
      </c>
      <c r="O47" s="1">
        <f t="shared" si="10"/>
        <v>66</v>
      </c>
      <c r="P47" s="1">
        <f t="shared" si="10"/>
        <v>131</v>
      </c>
      <c r="Q47" s="1">
        <f t="shared" si="10"/>
        <v>43.5</v>
      </c>
      <c r="R47" s="1">
        <f t="shared" si="10"/>
        <v>84.5</v>
      </c>
      <c r="S47" s="1">
        <f t="shared" si="10"/>
        <v>24</v>
      </c>
    </row>
    <row r="48" spans="1:19" x14ac:dyDescent="0.25">
      <c r="A48" t="s">
        <v>30</v>
      </c>
      <c r="B48" s="1"/>
      <c r="C48" s="1"/>
      <c r="D48" s="1">
        <f t="shared" si="1"/>
        <v>14</v>
      </c>
      <c r="E48" s="1">
        <f t="shared" ref="E48:S48" si="11">IFERROR(IF(_xlfn.RANK.AVG(E12,$B$2:$S$31,0)&gt;150,"",_xlfn.RANK.AVG(E12,$B$2:$S$31,0)),"")</f>
        <v>72</v>
      </c>
      <c r="F48" s="1" t="str">
        <f t="shared" si="11"/>
        <v/>
      </c>
      <c r="G48" s="1">
        <f t="shared" si="11"/>
        <v>70.5</v>
      </c>
      <c r="H48" s="1">
        <f t="shared" si="11"/>
        <v>54.5</v>
      </c>
      <c r="I48" s="1">
        <f t="shared" si="11"/>
        <v>52.5</v>
      </c>
      <c r="J48" s="1">
        <f t="shared" si="11"/>
        <v>9</v>
      </c>
      <c r="K48" s="1" t="str">
        <f t="shared" si="11"/>
        <v/>
      </c>
      <c r="L48" s="1">
        <f t="shared" si="11"/>
        <v>18</v>
      </c>
      <c r="M48" s="1">
        <f t="shared" si="11"/>
        <v>95.5</v>
      </c>
      <c r="N48" s="1" t="str">
        <f t="shared" si="11"/>
        <v/>
      </c>
      <c r="O48" s="1">
        <f t="shared" si="11"/>
        <v>29.5</v>
      </c>
      <c r="P48" s="1">
        <f t="shared" si="11"/>
        <v>116.5</v>
      </c>
      <c r="Q48" s="1">
        <f t="shared" si="11"/>
        <v>29.5</v>
      </c>
      <c r="R48" s="1" t="str">
        <f t="shared" si="11"/>
        <v/>
      </c>
      <c r="S48" s="1">
        <f t="shared" si="11"/>
        <v>95.5</v>
      </c>
    </row>
    <row r="49" spans="1:19" x14ac:dyDescent="0.25">
      <c r="A49" t="s">
        <v>31</v>
      </c>
      <c r="B49" s="1"/>
      <c r="C49" s="1"/>
      <c r="D49" s="1" t="str">
        <f t="shared" si="1"/>
        <v/>
      </c>
      <c r="E49" s="1">
        <f t="shared" ref="E49:S49" si="12">IFERROR(IF(_xlfn.RANK.AVG(E13,$B$2:$S$31,0)&gt;150,"",_xlfn.RANK.AVG(E13,$B$2:$S$31,0)),"")</f>
        <v>49</v>
      </c>
      <c r="F49" s="1" t="str">
        <f t="shared" si="12"/>
        <v/>
      </c>
      <c r="G49" s="1" t="str">
        <f t="shared" si="12"/>
        <v/>
      </c>
      <c r="H49" s="1" t="str">
        <f t="shared" si="12"/>
        <v/>
      </c>
      <c r="I49" s="1">
        <f t="shared" si="12"/>
        <v>141.5</v>
      </c>
      <c r="J49" s="1" t="str">
        <f t="shared" si="12"/>
        <v/>
      </c>
      <c r="K49" s="1" t="str">
        <f t="shared" si="12"/>
        <v/>
      </c>
      <c r="L49" s="1">
        <f t="shared" si="12"/>
        <v>49</v>
      </c>
      <c r="M49" s="1" t="str">
        <f t="shared" si="12"/>
        <v/>
      </c>
      <c r="N49" s="1" t="str">
        <f t="shared" si="12"/>
        <v/>
      </c>
      <c r="O49" s="1" t="str">
        <f t="shared" si="12"/>
        <v/>
      </c>
      <c r="P49" s="1" t="str">
        <f t="shared" si="12"/>
        <v/>
      </c>
      <c r="Q49" s="1" t="str">
        <f t="shared" si="12"/>
        <v/>
      </c>
      <c r="R49" s="1" t="str">
        <f t="shared" si="12"/>
        <v/>
      </c>
      <c r="S49" s="1" t="str">
        <f t="shared" si="12"/>
        <v/>
      </c>
    </row>
    <row r="50" spans="1:19" x14ac:dyDescent="0.25">
      <c r="A50" t="s">
        <v>32</v>
      </c>
      <c r="B50" s="1"/>
      <c r="C50" s="1"/>
      <c r="D50" s="1">
        <f t="shared" si="1"/>
        <v>32.5</v>
      </c>
      <c r="E50" s="1" t="str">
        <f t="shared" ref="E50:S50" si="13">IFERROR(IF(_xlfn.RANK.AVG(E14,$B$2:$S$31,0)&gt;150,"",_xlfn.RANK.AVG(E14,$B$2:$S$31,0)),"")</f>
        <v/>
      </c>
      <c r="F50" s="1">
        <f t="shared" si="13"/>
        <v>150</v>
      </c>
      <c r="G50" s="1" t="str">
        <f t="shared" si="13"/>
        <v/>
      </c>
      <c r="H50" s="1" t="str">
        <f t="shared" si="13"/>
        <v/>
      </c>
      <c r="I50" s="1">
        <f t="shared" si="13"/>
        <v>32.5</v>
      </c>
      <c r="J50" s="1" t="str">
        <f t="shared" si="13"/>
        <v/>
      </c>
      <c r="K50" s="1" t="str">
        <f t="shared" si="13"/>
        <v/>
      </c>
      <c r="L50" s="1" t="str">
        <f t="shared" si="13"/>
        <v/>
      </c>
      <c r="M50" s="1" t="str">
        <f t="shared" si="13"/>
        <v/>
      </c>
      <c r="N50" s="1" t="str">
        <f t="shared" si="13"/>
        <v/>
      </c>
      <c r="O50" s="1" t="str">
        <f t="shared" si="13"/>
        <v/>
      </c>
      <c r="P50" s="1" t="str">
        <f t="shared" si="13"/>
        <v/>
      </c>
      <c r="Q50" s="1">
        <f t="shared" si="13"/>
        <v>113</v>
      </c>
      <c r="R50" s="1" t="str">
        <f t="shared" si="13"/>
        <v/>
      </c>
      <c r="S50" s="1" t="str">
        <f t="shared" si="13"/>
        <v/>
      </c>
    </row>
    <row r="51" spans="1:19" x14ac:dyDescent="0.25">
      <c r="A51" t="s">
        <v>33</v>
      </c>
      <c r="B51" s="1"/>
      <c r="C51" s="1"/>
      <c r="D51" s="1" t="str">
        <f t="shared" si="1"/>
        <v/>
      </c>
      <c r="E51" s="1">
        <f t="shared" ref="E51:S51" si="14">IFERROR(IF(_xlfn.RANK.AVG(E15,$B$2:$S$31,0)&gt;150,"",_xlfn.RANK.AVG(E15,$B$2:$S$31,0)),"")</f>
        <v>137</v>
      </c>
      <c r="F51" s="1" t="str">
        <f t="shared" si="14"/>
        <v/>
      </c>
      <c r="G51" s="1" t="str">
        <f t="shared" si="14"/>
        <v/>
      </c>
      <c r="H51" s="1" t="str">
        <f t="shared" si="14"/>
        <v/>
      </c>
      <c r="I51" s="1" t="str">
        <f t="shared" si="14"/>
        <v/>
      </c>
      <c r="J51" s="1" t="str">
        <f t="shared" si="14"/>
        <v/>
      </c>
      <c r="K51" s="1" t="str">
        <f t="shared" si="14"/>
        <v/>
      </c>
      <c r="L51" s="1" t="str">
        <f t="shared" si="14"/>
        <v/>
      </c>
      <c r="M51" s="1" t="str">
        <f t="shared" si="14"/>
        <v/>
      </c>
      <c r="N51" s="1">
        <f t="shared" si="14"/>
        <v>45.5</v>
      </c>
      <c r="O51" s="1" t="str">
        <f t="shared" si="14"/>
        <v/>
      </c>
      <c r="P51" s="1">
        <f t="shared" si="14"/>
        <v>81.5</v>
      </c>
      <c r="Q51" s="1" t="str">
        <f t="shared" si="14"/>
        <v/>
      </c>
      <c r="R51" s="1" t="str">
        <f t="shared" si="14"/>
        <v/>
      </c>
      <c r="S51" s="1">
        <f t="shared" si="14"/>
        <v>45.5</v>
      </c>
    </row>
    <row r="52" spans="1:19" x14ac:dyDescent="0.25">
      <c r="A52" t="s">
        <v>34</v>
      </c>
      <c r="B52" s="1"/>
      <c r="C52" s="1"/>
      <c r="D52" s="1">
        <f t="shared" si="1"/>
        <v>27</v>
      </c>
      <c r="E52" s="1" t="str">
        <f t="shared" ref="E52:S52" si="15">IFERROR(IF(_xlfn.RANK.AVG(E16,$B$2:$S$31,0)&gt;150,"",_xlfn.RANK.AVG(E16,$B$2:$S$31,0)),"")</f>
        <v/>
      </c>
      <c r="F52" s="1">
        <f t="shared" si="15"/>
        <v>77.5</v>
      </c>
      <c r="G52" s="1" t="str">
        <f t="shared" si="15"/>
        <v/>
      </c>
      <c r="H52" s="1">
        <f t="shared" si="15"/>
        <v>57</v>
      </c>
      <c r="I52" s="1">
        <f t="shared" si="15"/>
        <v>108.5</v>
      </c>
      <c r="J52" s="1" t="str">
        <f t="shared" si="15"/>
        <v/>
      </c>
      <c r="K52" s="1" t="str">
        <f t="shared" si="15"/>
        <v/>
      </c>
      <c r="L52" s="1">
        <f t="shared" si="15"/>
        <v>147.5</v>
      </c>
      <c r="M52" s="1">
        <f t="shared" si="15"/>
        <v>99</v>
      </c>
      <c r="N52" s="1">
        <f t="shared" si="15"/>
        <v>99</v>
      </c>
      <c r="O52" s="1">
        <f t="shared" si="15"/>
        <v>73.5</v>
      </c>
      <c r="P52" s="1" t="str">
        <f t="shared" si="15"/>
        <v/>
      </c>
      <c r="Q52" s="1">
        <f t="shared" si="15"/>
        <v>4</v>
      </c>
      <c r="R52" s="1">
        <f t="shared" si="15"/>
        <v>147.5</v>
      </c>
      <c r="S52" s="1">
        <f t="shared" si="15"/>
        <v>57</v>
      </c>
    </row>
    <row r="53" spans="1:19" x14ac:dyDescent="0.25">
      <c r="A53" t="s">
        <v>35</v>
      </c>
      <c r="B53" s="1"/>
      <c r="C53" s="1"/>
      <c r="D53" s="1" t="str">
        <f t="shared" si="1"/>
        <v/>
      </c>
      <c r="E53" s="1" t="str">
        <f t="shared" ref="E53:S53" si="16">IFERROR(IF(_xlfn.RANK.AVG(E17,$B$2:$S$31,0)&gt;150,"",_xlfn.RANK.AVG(E17,$B$2:$S$31,0)),"")</f>
        <v/>
      </c>
      <c r="F53" s="1" t="str">
        <f t="shared" si="16"/>
        <v/>
      </c>
      <c r="G53" s="1">
        <f t="shared" si="16"/>
        <v>60</v>
      </c>
      <c r="H53" s="1" t="str">
        <f t="shared" si="16"/>
        <v/>
      </c>
      <c r="I53" s="1" t="str">
        <f t="shared" si="16"/>
        <v/>
      </c>
      <c r="J53" s="1" t="str">
        <f t="shared" si="16"/>
        <v/>
      </c>
      <c r="K53" s="1" t="str">
        <f t="shared" si="16"/>
        <v/>
      </c>
      <c r="L53" s="1" t="str">
        <f t="shared" si="16"/>
        <v/>
      </c>
      <c r="M53" s="1">
        <f t="shared" si="16"/>
        <v>127.5</v>
      </c>
      <c r="N53" s="1" t="str">
        <f t="shared" si="16"/>
        <v/>
      </c>
      <c r="O53" s="1" t="str">
        <f t="shared" si="16"/>
        <v/>
      </c>
      <c r="P53" s="1" t="str">
        <f t="shared" si="16"/>
        <v/>
      </c>
      <c r="Q53" s="1" t="str">
        <f t="shared" si="16"/>
        <v/>
      </c>
      <c r="R53" s="1" t="str">
        <f t="shared" si="16"/>
        <v/>
      </c>
      <c r="S53" s="1" t="str">
        <f t="shared" si="16"/>
        <v/>
      </c>
    </row>
    <row r="54" spans="1:19" x14ac:dyDescent="0.25">
      <c r="A54" t="s">
        <v>36</v>
      </c>
      <c r="B54" s="1"/>
      <c r="C54" s="1"/>
      <c r="D54" s="1" t="str">
        <f t="shared" si="1"/>
        <v/>
      </c>
      <c r="E54" s="1">
        <f t="shared" ref="E54:S54" si="17">IFERROR(IF(_xlfn.RANK.AVG(E18,$B$2:$S$31,0)&gt;150,"",_xlfn.RANK.AVG(E18,$B$2:$S$31,0)),"")</f>
        <v>37</v>
      </c>
      <c r="F54" s="1">
        <f t="shared" si="17"/>
        <v>124</v>
      </c>
      <c r="G54" s="1">
        <f t="shared" si="17"/>
        <v>22</v>
      </c>
      <c r="H54" s="1">
        <f t="shared" si="17"/>
        <v>113</v>
      </c>
      <c r="I54" s="1">
        <f t="shared" si="17"/>
        <v>137</v>
      </c>
      <c r="J54" s="1">
        <f t="shared" si="17"/>
        <v>5.5</v>
      </c>
      <c r="K54" s="1">
        <f t="shared" si="17"/>
        <v>77.5</v>
      </c>
      <c r="L54" s="1">
        <f t="shared" si="17"/>
        <v>88</v>
      </c>
      <c r="M54" s="1" t="str">
        <f t="shared" si="17"/>
        <v/>
      </c>
      <c r="N54" s="1">
        <f t="shared" si="17"/>
        <v>62</v>
      </c>
      <c r="O54" s="1" t="str">
        <f t="shared" si="17"/>
        <v/>
      </c>
      <c r="P54" s="1" t="str">
        <f t="shared" si="17"/>
        <v/>
      </c>
      <c r="Q54" s="1">
        <f t="shared" si="17"/>
        <v>113</v>
      </c>
      <c r="R54" s="1">
        <f t="shared" si="17"/>
        <v>84.5</v>
      </c>
      <c r="S54" s="1" t="str">
        <f t="shared" si="17"/>
        <v/>
      </c>
    </row>
    <row r="55" spans="1:19" x14ac:dyDescent="0.25">
      <c r="A55" t="s">
        <v>38</v>
      </c>
      <c r="B55" s="1"/>
      <c r="C55" s="1"/>
      <c r="D55" s="1" t="str">
        <f t="shared" si="1"/>
        <v/>
      </c>
      <c r="E55" s="1" t="str">
        <f t="shared" ref="E55:S55" si="18">IFERROR(IF(_xlfn.RANK.AVG(E19,$B$2:$S$31,0)&gt;150,"",_xlfn.RANK.AVG(E19,$B$2:$S$31,0)),"")</f>
        <v/>
      </c>
      <c r="F55" s="1" t="str">
        <f t="shared" si="18"/>
        <v/>
      </c>
      <c r="G55" s="1" t="str">
        <f t="shared" si="18"/>
        <v/>
      </c>
      <c r="H55" s="1" t="str">
        <f t="shared" si="18"/>
        <v/>
      </c>
      <c r="I55" s="1" t="str">
        <f t="shared" si="18"/>
        <v/>
      </c>
      <c r="J55" s="1" t="str">
        <f t="shared" si="18"/>
        <v/>
      </c>
      <c r="K55" s="1" t="str">
        <f t="shared" si="18"/>
        <v/>
      </c>
      <c r="L55" s="1" t="str">
        <f t="shared" si="18"/>
        <v/>
      </c>
      <c r="M55" s="1" t="str">
        <f t="shared" si="18"/>
        <v/>
      </c>
      <c r="N55" s="1" t="str">
        <f t="shared" si="18"/>
        <v/>
      </c>
      <c r="O55" s="1" t="str">
        <f t="shared" si="18"/>
        <v/>
      </c>
      <c r="P55" s="1" t="str">
        <f t="shared" si="18"/>
        <v/>
      </c>
      <c r="Q55" s="1" t="str">
        <f t="shared" si="18"/>
        <v/>
      </c>
      <c r="R55" s="1" t="str">
        <f t="shared" si="18"/>
        <v/>
      </c>
      <c r="S55" s="1" t="str">
        <f t="shared" si="18"/>
        <v/>
      </c>
    </row>
    <row r="56" spans="1:19" x14ac:dyDescent="0.25">
      <c r="A56" t="s">
        <v>39</v>
      </c>
      <c r="B56" s="1"/>
      <c r="C56" s="1"/>
      <c r="D56" s="1" t="str">
        <f t="shared" si="1"/>
        <v/>
      </c>
      <c r="E56" s="1">
        <f t="shared" ref="E56:S56" si="19">IFERROR(IF(_xlfn.RANK.AVG(E20,$B$2:$S$31,0)&gt;150,"",_xlfn.RANK.AVG(E20,$B$2:$S$31,0)),"")</f>
        <v>141.5</v>
      </c>
      <c r="F56" s="1">
        <f t="shared" si="19"/>
        <v>59</v>
      </c>
      <c r="G56" s="1" t="str">
        <f t="shared" si="19"/>
        <v/>
      </c>
      <c r="H56" s="1" t="str">
        <f t="shared" si="19"/>
        <v/>
      </c>
      <c r="I56" s="1" t="str">
        <f t="shared" si="19"/>
        <v/>
      </c>
      <c r="J56" s="1" t="str">
        <f t="shared" si="19"/>
        <v/>
      </c>
      <c r="K56" s="1" t="str">
        <f t="shared" si="19"/>
        <v/>
      </c>
      <c r="L56" s="1">
        <f t="shared" si="19"/>
        <v>105</v>
      </c>
      <c r="M56" s="1" t="str">
        <f t="shared" si="19"/>
        <v/>
      </c>
      <c r="N56" s="1" t="str">
        <f t="shared" si="19"/>
        <v/>
      </c>
      <c r="O56" s="1" t="str">
        <f t="shared" si="19"/>
        <v/>
      </c>
      <c r="P56" s="1" t="str">
        <f t="shared" si="19"/>
        <v/>
      </c>
      <c r="Q56" s="1">
        <f t="shared" si="19"/>
        <v>77.5</v>
      </c>
      <c r="R56" s="1" t="str">
        <f t="shared" si="19"/>
        <v/>
      </c>
      <c r="S56" s="1" t="str">
        <f t="shared" si="19"/>
        <v/>
      </c>
    </row>
    <row r="57" spans="1:19" x14ac:dyDescent="0.25">
      <c r="A57" t="s">
        <v>40</v>
      </c>
      <c r="B57" s="1"/>
      <c r="C57" s="1"/>
      <c r="D57" s="1" t="str">
        <f t="shared" si="1"/>
        <v/>
      </c>
      <c r="E57" s="1">
        <f t="shared" ref="E57:S57" si="20">IFERROR(IF(_xlfn.RANK.AVG(E21,$B$2:$S$31,0)&gt;150,"",_xlfn.RANK.AVG(E21,$B$2:$S$31,0)),"")</f>
        <v>127.5</v>
      </c>
      <c r="F57" s="1" t="str">
        <f t="shared" si="20"/>
        <v/>
      </c>
      <c r="G57" s="1">
        <f t="shared" si="20"/>
        <v>113</v>
      </c>
      <c r="H57" s="1">
        <f t="shared" si="20"/>
        <v>70.5</v>
      </c>
      <c r="I57" s="1">
        <f t="shared" si="20"/>
        <v>137</v>
      </c>
      <c r="J57" s="1" t="str">
        <f t="shared" si="20"/>
        <v/>
      </c>
      <c r="K57" s="1" t="str">
        <f t="shared" si="20"/>
        <v/>
      </c>
      <c r="L57" s="1">
        <f t="shared" si="20"/>
        <v>124</v>
      </c>
      <c r="M57" s="1" t="str">
        <f t="shared" si="20"/>
        <v/>
      </c>
      <c r="N57" s="1" t="str">
        <f t="shared" si="20"/>
        <v/>
      </c>
      <c r="O57" s="1" t="str">
        <f t="shared" si="20"/>
        <v/>
      </c>
      <c r="P57" s="1" t="str">
        <f t="shared" si="20"/>
        <v/>
      </c>
      <c r="Q57" s="1" t="str">
        <f t="shared" si="20"/>
        <v/>
      </c>
      <c r="R57" s="1">
        <f t="shared" si="20"/>
        <v>124</v>
      </c>
      <c r="S57" s="1">
        <f t="shared" si="20"/>
        <v>137</v>
      </c>
    </row>
    <row r="58" spans="1:19" x14ac:dyDescent="0.25">
      <c r="A58" t="s">
        <v>41</v>
      </c>
      <c r="B58" s="1"/>
      <c r="C58" s="1"/>
      <c r="D58" s="1" t="str">
        <f t="shared" si="1"/>
        <v/>
      </c>
      <c r="E58" s="1" t="str">
        <f t="shared" ref="E58:S58" si="21">IFERROR(IF(_xlfn.RANK.AVG(E22,$B$2:$S$31,0)&gt;150,"",_xlfn.RANK.AVG(E22,$B$2:$S$31,0)),"")</f>
        <v/>
      </c>
      <c r="F58" s="1" t="str">
        <f t="shared" si="21"/>
        <v/>
      </c>
      <c r="G58" s="1" t="str">
        <f t="shared" si="21"/>
        <v/>
      </c>
      <c r="H58" s="1" t="str">
        <f t="shared" si="21"/>
        <v/>
      </c>
      <c r="I58" s="1" t="str">
        <f t="shared" si="21"/>
        <v/>
      </c>
      <c r="J58" s="1" t="str">
        <f t="shared" si="21"/>
        <v/>
      </c>
      <c r="K58" s="1" t="str">
        <f t="shared" si="21"/>
        <v/>
      </c>
      <c r="L58" s="1" t="str">
        <f t="shared" si="21"/>
        <v/>
      </c>
      <c r="M58" s="1" t="str">
        <f t="shared" si="21"/>
        <v/>
      </c>
      <c r="N58" s="1" t="str">
        <f t="shared" si="21"/>
        <v/>
      </c>
      <c r="O58" s="1" t="str">
        <f t="shared" si="21"/>
        <v/>
      </c>
      <c r="P58" s="1" t="str">
        <f t="shared" si="21"/>
        <v/>
      </c>
      <c r="Q58" s="1" t="str">
        <f t="shared" si="21"/>
        <v/>
      </c>
      <c r="R58" s="1" t="str">
        <f t="shared" si="21"/>
        <v/>
      </c>
      <c r="S58" s="1" t="str">
        <f t="shared" si="21"/>
        <v/>
      </c>
    </row>
    <row r="59" spans="1:19" x14ac:dyDescent="0.25">
      <c r="A59" t="s">
        <v>42</v>
      </c>
      <c r="B59" s="1"/>
      <c r="C59" s="1"/>
      <c r="D59" s="1" t="str">
        <f t="shared" si="1"/>
        <v/>
      </c>
      <c r="E59" s="1" t="str">
        <f t="shared" ref="E59:S59" si="22">IFERROR(IF(_xlfn.RANK.AVG(E23,$B$2:$S$31,0)&gt;150,"",_xlfn.RANK.AVG(E23,$B$2:$S$31,0)),"")</f>
        <v/>
      </c>
      <c r="F59" s="1" t="str">
        <f t="shared" si="22"/>
        <v/>
      </c>
      <c r="G59" s="1" t="str">
        <f t="shared" si="22"/>
        <v/>
      </c>
      <c r="H59" s="1" t="str">
        <f t="shared" si="22"/>
        <v/>
      </c>
      <c r="I59" s="1" t="str">
        <f t="shared" si="22"/>
        <v/>
      </c>
      <c r="J59" s="1" t="str">
        <f t="shared" si="22"/>
        <v/>
      </c>
      <c r="K59" s="1" t="str">
        <f t="shared" si="22"/>
        <v/>
      </c>
      <c r="L59" s="1" t="str">
        <f t="shared" si="22"/>
        <v/>
      </c>
      <c r="M59" s="1" t="str">
        <f t="shared" si="22"/>
        <v/>
      </c>
      <c r="N59" s="1" t="str">
        <f t="shared" si="22"/>
        <v/>
      </c>
      <c r="O59" s="1" t="str">
        <f t="shared" si="22"/>
        <v/>
      </c>
      <c r="P59" s="1" t="str">
        <f t="shared" si="22"/>
        <v/>
      </c>
      <c r="Q59" s="1" t="str">
        <f t="shared" si="22"/>
        <v/>
      </c>
      <c r="R59" s="1" t="str">
        <f t="shared" si="22"/>
        <v/>
      </c>
      <c r="S59" s="1" t="str">
        <f t="shared" si="22"/>
        <v/>
      </c>
    </row>
    <row r="60" spans="1:19" x14ac:dyDescent="0.25">
      <c r="A60" t="s">
        <v>43</v>
      </c>
      <c r="B60" s="1"/>
      <c r="C60" s="1"/>
      <c r="D60" s="1" t="str">
        <f t="shared" si="1"/>
        <v/>
      </c>
      <c r="E60" s="1" t="str">
        <f t="shared" ref="E60:S60" si="23">IFERROR(IF(_xlfn.RANK.AVG(E24,$B$2:$S$31,0)&gt;150,"",_xlfn.RANK.AVG(E24,$B$2:$S$31,0)),"")</f>
        <v/>
      </c>
      <c r="F60" s="1" t="str">
        <f t="shared" si="23"/>
        <v/>
      </c>
      <c r="G60" s="1" t="str">
        <f t="shared" si="23"/>
        <v/>
      </c>
      <c r="H60" s="1" t="str">
        <f t="shared" si="23"/>
        <v/>
      </c>
      <c r="I60" s="1" t="str">
        <f t="shared" si="23"/>
        <v/>
      </c>
      <c r="J60" s="1" t="str">
        <f t="shared" si="23"/>
        <v/>
      </c>
      <c r="K60" s="1" t="str">
        <f t="shared" si="23"/>
        <v/>
      </c>
      <c r="L60" s="1" t="str">
        <f t="shared" si="23"/>
        <v/>
      </c>
      <c r="M60" s="1" t="str">
        <f t="shared" si="23"/>
        <v/>
      </c>
      <c r="N60" s="1" t="str">
        <f t="shared" si="23"/>
        <v/>
      </c>
      <c r="O60" s="1" t="str">
        <f t="shared" si="23"/>
        <v/>
      </c>
      <c r="P60" s="1" t="str">
        <f t="shared" si="23"/>
        <v/>
      </c>
      <c r="Q60" s="1" t="str">
        <f t="shared" si="23"/>
        <v/>
      </c>
      <c r="R60" s="1" t="str">
        <f t="shared" si="23"/>
        <v/>
      </c>
      <c r="S60" s="1" t="str">
        <f t="shared" si="23"/>
        <v/>
      </c>
    </row>
    <row r="61" spans="1:19" x14ac:dyDescent="0.25">
      <c r="A61" t="s">
        <v>44</v>
      </c>
      <c r="B61" s="1"/>
      <c r="C61" s="1"/>
      <c r="D61" s="1" t="str">
        <f t="shared" si="1"/>
        <v/>
      </c>
      <c r="E61" s="1">
        <f t="shared" ref="E61:S61" si="24">IFERROR(IF(_xlfn.RANK.AVG(E25,$B$2:$S$31,0)&gt;150,"",_xlfn.RANK.AVG(E25,$B$2:$S$31,0)),"")</f>
        <v>133.5</v>
      </c>
      <c r="F61" s="1">
        <f t="shared" si="24"/>
        <v>129</v>
      </c>
      <c r="G61" s="1">
        <f t="shared" si="24"/>
        <v>19.5</v>
      </c>
      <c r="H61" s="1">
        <f t="shared" si="24"/>
        <v>105</v>
      </c>
      <c r="I61" s="1">
        <f t="shared" si="24"/>
        <v>19.5</v>
      </c>
      <c r="J61" s="1" t="str">
        <f t="shared" si="24"/>
        <v/>
      </c>
      <c r="K61" s="1" t="str">
        <f t="shared" si="24"/>
        <v/>
      </c>
      <c r="L61" s="1" t="str">
        <f t="shared" si="24"/>
        <v/>
      </c>
      <c r="M61" s="1">
        <f t="shared" si="24"/>
        <v>81.5</v>
      </c>
      <c r="N61" s="1">
        <f t="shared" si="24"/>
        <v>39</v>
      </c>
      <c r="O61" s="1" t="str">
        <f t="shared" si="24"/>
        <v/>
      </c>
      <c r="P61" s="1">
        <f t="shared" si="24"/>
        <v>49</v>
      </c>
      <c r="Q61" s="1">
        <f t="shared" si="24"/>
        <v>95.5</v>
      </c>
      <c r="R61" s="1" t="str">
        <f t="shared" si="24"/>
        <v/>
      </c>
      <c r="S61" s="1">
        <f t="shared" si="24"/>
        <v>95.5</v>
      </c>
    </row>
    <row r="62" spans="1:19" x14ac:dyDescent="0.25">
      <c r="A62" t="s">
        <v>45</v>
      </c>
      <c r="B62" s="1"/>
      <c r="C62" s="1"/>
      <c r="D62" s="1" t="str">
        <f t="shared" si="1"/>
        <v/>
      </c>
      <c r="E62" s="1" t="str">
        <f t="shared" ref="E62:S62" si="25">IFERROR(IF(_xlfn.RANK.AVG(E26,$B$2:$S$31,0)&gt;150,"",_xlfn.RANK.AVG(E26,$B$2:$S$31,0)),"")</f>
        <v/>
      </c>
      <c r="F62" s="1" t="str">
        <f t="shared" si="25"/>
        <v/>
      </c>
      <c r="G62" s="1">
        <f t="shared" si="25"/>
        <v>108.5</v>
      </c>
      <c r="H62" s="1" t="str">
        <f t="shared" si="25"/>
        <v/>
      </c>
      <c r="I62" s="1" t="str">
        <f t="shared" si="25"/>
        <v/>
      </c>
      <c r="J62" s="1" t="str">
        <f t="shared" si="25"/>
        <v/>
      </c>
      <c r="K62" s="1" t="str">
        <f t="shared" si="25"/>
        <v/>
      </c>
      <c r="L62" s="1" t="str">
        <f t="shared" si="25"/>
        <v/>
      </c>
      <c r="M62" s="1" t="str">
        <f t="shared" si="25"/>
        <v/>
      </c>
      <c r="N62" s="1" t="str">
        <f t="shared" si="25"/>
        <v/>
      </c>
      <c r="O62" s="1" t="str">
        <f t="shared" si="25"/>
        <v/>
      </c>
      <c r="P62" s="1">
        <f t="shared" si="25"/>
        <v>108.5</v>
      </c>
      <c r="Q62" s="1" t="str">
        <f t="shared" si="25"/>
        <v/>
      </c>
      <c r="R62" s="1">
        <f t="shared" si="25"/>
        <v>108.5</v>
      </c>
      <c r="S62" s="1" t="str">
        <f t="shared" si="25"/>
        <v/>
      </c>
    </row>
    <row r="63" spans="1:19" x14ac:dyDescent="0.25">
      <c r="A63" t="s">
        <v>46</v>
      </c>
      <c r="B63" s="1"/>
      <c r="C63" s="1"/>
      <c r="D63" s="1" t="str">
        <f t="shared" si="1"/>
        <v/>
      </c>
      <c r="E63" s="1" t="str">
        <f t="shared" ref="E63:S63" si="26">IFERROR(IF(_xlfn.RANK.AVG(E27,$B$2:$S$31,0)&gt;150,"",_xlfn.RANK.AVG(E27,$B$2:$S$31,0)),"")</f>
        <v/>
      </c>
      <c r="F63" s="1" t="str">
        <f t="shared" si="26"/>
        <v/>
      </c>
      <c r="G63" s="1" t="str">
        <f t="shared" si="26"/>
        <v/>
      </c>
      <c r="H63" s="1" t="str">
        <f t="shared" si="26"/>
        <v/>
      </c>
      <c r="I63" s="1" t="str">
        <f t="shared" si="26"/>
        <v/>
      </c>
      <c r="J63" s="1" t="str">
        <f t="shared" si="26"/>
        <v/>
      </c>
      <c r="K63" s="1" t="str">
        <f t="shared" si="26"/>
        <v/>
      </c>
      <c r="L63" s="1" t="str">
        <f t="shared" si="26"/>
        <v/>
      </c>
      <c r="M63" s="1" t="str">
        <f t="shared" si="26"/>
        <v/>
      </c>
      <c r="N63" s="1" t="str">
        <f t="shared" si="26"/>
        <v/>
      </c>
      <c r="O63" s="1" t="str">
        <f t="shared" si="26"/>
        <v/>
      </c>
      <c r="P63" s="1">
        <f t="shared" si="26"/>
        <v>91.5</v>
      </c>
      <c r="Q63" s="1" t="str">
        <f t="shared" si="26"/>
        <v/>
      </c>
      <c r="R63" s="1" t="str">
        <f t="shared" si="26"/>
        <v/>
      </c>
      <c r="S63" s="1" t="str">
        <f t="shared" si="26"/>
        <v/>
      </c>
    </row>
    <row r="64" spans="1:19" x14ac:dyDescent="0.25">
      <c r="A64" t="s">
        <v>47</v>
      </c>
      <c r="B64" s="1"/>
      <c r="C64" s="1"/>
      <c r="D64" s="1">
        <f t="shared" si="1"/>
        <v>77.5</v>
      </c>
      <c r="E64" s="1" t="str">
        <f t="shared" ref="E64:S64" si="27">IFERROR(IF(_xlfn.RANK.AVG(E28,$B$2:$S$31,0)&gt;150,"",_xlfn.RANK.AVG(E28,$B$2:$S$31,0)),"")</f>
        <v/>
      </c>
      <c r="F64" s="1" t="str">
        <f t="shared" si="27"/>
        <v/>
      </c>
      <c r="G64" s="1" t="str">
        <f t="shared" si="27"/>
        <v/>
      </c>
      <c r="H64" s="1" t="str">
        <f t="shared" si="27"/>
        <v/>
      </c>
      <c r="I64" s="1" t="str">
        <f t="shared" si="27"/>
        <v/>
      </c>
      <c r="J64" s="1" t="str">
        <f t="shared" si="27"/>
        <v/>
      </c>
      <c r="K64" s="1" t="str">
        <f t="shared" si="27"/>
        <v/>
      </c>
      <c r="L64" s="1" t="str">
        <f t="shared" si="27"/>
        <v/>
      </c>
      <c r="M64" s="1">
        <f t="shared" si="27"/>
        <v>49</v>
      </c>
      <c r="N64" s="1" t="str">
        <f t="shared" si="27"/>
        <v/>
      </c>
      <c r="O64" s="1" t="str">
        <f t="shared" si="27"/>
        <v/>
      </c>
      <c r="P64" s="1" t="str">
        <f t="shared" si="27"/>
        <v/>
      </c>
      <c r="Q64" s="1" t="str">
        <f t="shared" si="27"/>
        <v/>
      </c>
      <c r="R64" s="1">
        <f t="shared" si="27"/>
        <v>88</v>
      </c>
      <c r="S64" s="1">
        <f t="shared" si="27"/>
        <v>141.5</v>
      </c>
    </row>
    <row r="65" spans="1:23" x14ac:dyDescent="0.25">
      <c r="A65" t="s">
        <v>48</v>
      </c>
      <c r="B65" s="1"/>
      <c r="C65" s="1"/>
      <c r="D65" s="1">
        <f t="shared" si="1"/>
        <v>35</v>
      </c>
      <c r="E65" s="1" t="str">
        <f t="shared" ref="E65:S65" si="28">IFERROR(IF(_xlfn.RANK.AVG(E29,$B$2:$S$31,0)&gt;150,"",_xlfn.RANK.AVG(E29,$B$2:$S$31,0)),"")</f>
        <v/>
      </c>
      <c r="F65" s="1">
        <f t="shared" si="28"/>
        <v>124</v>
      </c>
      <c r="G65" s="1">
        <f t="shared" si="28"/>
        <v>66</v>
      </c>
      <c r="H65" s="1" t="str">
        <f t="shared" si="28"/>
        <v/>
      </c>
      <c r="I65" s="1">
        <f t="shared" si="28"/>
        <v>27</v>
      </c>
      <c r="J65" s="1" t="str">
        <f t="shared" si="28"/>
        <v/>
      </c>
      <c r="K65" s="1">
        <f t="shared" si="28"/>
        <v>84.5</v>
      </c>
      <c r="L65" s="1" t="str">
        <f t="shared" si="28"/>
        <v/>
      </c>
      <c r="M65" s="1" t="str">
        <f t="shared" si="28"/>
        <v/>
      </c>
      <c r="N65" s="1">
        <f t="shared" si="28"/>
        <v>120.5</v>
      </c>
      <c r="O65" s="1">
        <f t="shared" si="28"/>
        <v>27</v>
      </c>
      <c r="P65" s="1">
        <f t="shared" si="28"/>
        <v>105</v>
      </c>
      <c r="Q65" s="1">
        <f t="shared" si="28"/>
        <v>37</v>
      </c>
      <c r="R65" s="1">
        <f t="shared" si="28"/>
        <v>42</v>
      </c>
      <c r="S65" s="1">
        <f t="shared" si="28"/>
        <v>37</v>
      </c>
    </row>
    <row r="66" spans="1:23" x14ac:dyDescent="0.25">
      <c r="A66" t="s">
        <v>49</v>
      </c>
      <c r="B66" s="1"/>
      <c r="C66" s="1"/>
      <c r="D66" s="1" t="str">
        <f t="shared" si="1"/>
        <v/>
      </c>
      <c r="E66" s="1" t="str">
        <f t="shared" ref="E66:S66" si="29">IFERROR(IF(_xlfn.RANK.AVG(E30,$B$2:$S$31,0)&gt;150,"",_xlfn.RANK.AVG(E30,$B$2:$S$31,0)),"")</f>
        <v/>
      </c>
      <c r="F66" s="1" t="str">
        <f t="shared" si="29"/>
        <v/>
      </c>
      <c r="G66" s="1" t="str">
        <f t="shared" si="29"/>
        <v/>
      </c>
      <c r="H66" s="1" t="str">
        <f t="shared" si="29"/>
        <v/>
      </c>
      <c r="I66" s="1" t="str">
        <f t="shared" si="29"/>
        <v/>
      </c>
      <c r="J66" s="1" t="str">
        <f t="shared" si="29"/>
        <v/>
      </c>
      <c r="K66" s="1" t="str">
        <f t="shared" si="29"/>
        <v/>
      </c>
      <c r="L66" s="1" t="str">
        <f t="shared" si="29"/>
        <v/>
      </c>
      <c r="M66" s="1" t="str">
        <f t="shared" si="29"/>
        <v/>
      </c>
      <c r="N66" s="1" t="str">
        <f t="shared" si="29"/>
        <v/>
      </c>
      <c r="O66" s="1" t="str">
        <f t="shared" si="29"/>
        <v/>
      </c>
      <c r="P66" s="1" t="str">
        <f t="shared" si="29"/>
        <v/>
      </c>
      <c r="Q66" s="1" t="str">
        <f t="shared" si="29"/>
        <v/>
      </c>
      <c r="R66" s="1" t="str">
        <f t="shared" si="29"/>
        <v/>
      </c>
      <c r="S66" s="1" t="str">
        <f t="shared" si="29"/>
        <v/>
      </c>
    </row>
    <row r="67" spans="1:23" x14ac:dyDescent="0.25">
      <c r="A67" t="s">
        <v>50</v>
      </c>
      <c r="B67" s="1"/>
      <c r="C67" s="1"/>
      <c r="D67" s="1">
        <f t="shared" si="1"/>
        <v>137</v>
      </c>
      <c r="E67" s="1">
        <f t="shared" ref="E67:S67" si="30">IFERROR(IF(_xlfn.RANK.AVG(E31,$B$2:$S$31,0)&gt;150,"",_xlfn.RANK.AVG(E31,$B$2:$S$31,0)),"")</f>
        <v>150</v>
      </c>
      <c r="F67" s="1" t="str">
        <f t="shared" si="30"/>
        <v/>
      </c>
      <c r="G67" s="1">
        <f t="shared" si="30"/>
        <v>120.5</v>
      </c>
      <c r="H67" s="1" t="str">
        <f t="shared" si="30"/>
        <v/>
      </c>
      <c r="I67" s="1" t="str">
        <f t="shared" si="30"/>
        <v/>
      </c>
      <c r="J67" s="1" t="str">
        <f t="shared" si="30"/>
        <v/>
      </c>
      <c r="K67" s="1" t="str">
        <f t="shared" si="30"/>
        <v/>
      </c>
      <c r="L67" s="1">
        <f t="shared" si="30"/>
        <v>66</v>
      </c>
      <c r="M67" s="1" t="str">
        <f t="shared" si="30"/>
        <v/>
      </c>
      <c r="N67" s="1" t="str">
        <f t="shared" si="30"/>
        <v/>
      </c>
      <c r="O67" s="1" t="str">
        <f t="shared" si="30"/>
        <v/>
      </c>
      <c r="P67" s="1">
        <f t="shared" si="30"/>
        <v>88</v>
      </c>
      <c r="Q67" s="1" t="str">
        <f t="shared" si="30"/>
        <v/>
      </c>
      <c r="R67" s="1" t="str">
        <f t="shared" si="30"/>
        <v/>
      </c>
      <c r="S67" s="1" t="str">
        <f t="shared" si="30"/>
        <v/>
      </c>
    </row>
    <row r="71" spans="1:23" x14ac:dyDescent="0.25">
      <c r="A71" t="s">
        <v>0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9</v>
      </c>
      <c r="K71" t="s">
        <v>10</v>
      </c>
      <c r="L71" t="s">
        <v>11</v>
      </c>
      <c r="M71" t="s">
        <v>12</v>
      </c>
      <c r="N71" t="s">
        <v>13</v>
      </c>
      <c r="O71" t="s">
        <v>14</v>
      </c>
      <c r="P71" t="s">
        <v>15</v>
      </c>
      <c r="Q71" t="s">
        <v>16</v>
      </c>
      <c r="R71" t="s">
        <v>17</v>
      </c>
      <c r="S71" t="s">
        <v>18</v>
      </c>
      <c r="T71" t="s">
        <v>53</v>
      </c>
      <c r="U71" t="s">
        <v>54</v>
      </c>
    </row>
    <row r="72" spans="1:23" x14ac:dyDescent="0.25">
      <c r="A72" t="s">
        <v>26</v>
      </c>
      <c r="B72" s="6"/>
      <c r="C72" s="6"/>
      <c r="D72" s="1" t="str">
        <f t="shared" ref="D72:D95" si="31">VLOOKUP($A72,$A$38:$S$67,4,FALSE)</f>
        <v/>
      </c>
      <c r="E72" s="1" t="str">
        <f t="shared" ref="E72:E95" si="32">VLOOKUP($A72,$A$38:$S$67,5,FALSE)</f>
        <v/>
      </c>
      <c r="F72" s="1" t="str">
        <f t="shared" ref="F72:F95" si="33">VLOOKUP($A72,$A$38:$S$67,6,FALSE)</f>
        <v/>
      </c>
      <c r="G72" s="1" t="str">
        <f t="shared" ref="G72:G95" si="34">VLOOKUP($A72,$A$38:$S$67,7,FALSE)</f>
        <v/>
      </c>
      <c r="H72" s="1" t="str">
        <f t="shared" ref="H72:H95" si="35">VLOOKUP($A72,$A$38:$S$67,8,FALSE)</f>
        <v/>
      </c>
      <c r="I72" s="1" t="str">
        <f t="shared" ref="I72:I95" si="36">VLOOKUP($A72,$A$38:$S$67,9,FALSE)</f>
        <v/>
      </c>
      <c r="J72" s="1" t="str">
        <f t="shared" ref="J72:J95" si="37">VLOOKUP($A72,$A$38:$S$67,10,FALSE)</f>
        <v/>
      </c>
      <c r="K72" s="1" t="str">
        <f t="shared" ref="K72:K95" si="38">VLOOKUP($A72,$A$38:$S$67,11,FALSE)</f>
        <v/>
      </c>
      <c r="L72" s="1" t="str">
        <f t="shared" ref="L72:L95" si="39">VLOOKUP($A72,$A$38:$S$67,12,FALSE)</f>
        <v/>
      </c>
      <c r="M72" s="1" t="str">
        <f t="shared" ref="M72:M95" si="40">VLOOKUP($A72,$A$38:$S$67,13,FALSE)</f>
        <v/>
      </c>
      <c r="N72" s="1" t="str">
        <f t="shared" ref="N72:N95" si="41">VLOOKUP($A72,$A$38:$S$67,14,FALSE)</f>
        <v/>
      </c>
      <c r="O72" s="1">
        <f t="shared" ref="O72:O95" si="42">VLOOKUP($A72,$A$38:$S$67,15,FALSE)</f>
        <v>131</v>
      </c>
      <c r="P72" s="1" t="str">
        <f t="shared" ref="P72:P95" si="43">VLOOKUP($A72,$A$38:$S$67,16,FALSE)</f>
        <v/>
      </c>
      <c r="Q72" s="1" t="str">
        <f t="shared" ref="Q72:Q95" si="44">VLOOKUP($A72,$A$38:$S$67,17,FALSE)</f>
        <v/>
      </c>
      <c r="R72" s="1" t="str">
        <f t="shared" ref="R72:R95" si="45">VLOOKUP($A72,$A$38:$S$67,18,FALSE)</f>
        <v/>
      </c>
      <c r="S72" s="1" t="str">
        <f t="shared" ref="S72:S95" si="46">VLOOKUP($A72,$A$38:$S$67,19,FALSE)</f>
        <v/>
      </c>
      <c r="T72">
        <f t="shared" ref="T72:T101" si="47">COUNT(B72:S72)</f>
        <v>1</v>
      </c>
      <c r="U72" s="10">
        <f t="shared" ref="U72:U101" si="48">MIN(B72:S72)</f>
        <v>131</v>
      </c>
    </row>
    <row r="73" spans="1:23" x14ac:dyDescent="0.25">
      <c r="A73" t="s">
        <v>24</v>
      </c>
      <c r="B73" s="6"/>
      <c r="C73" s="6"/>
      <c r="D73" s="1" t="str">
        <f t="shared" si="31"/>
        <v/>
      </c>
      <c r="E73" s="1" t="str">
        <f t="shared" si="32"/>
        <v/>
      </c>
      <c r="F73" s="1" t="str">
        <f t="shared" si="33"/>
        <v/>
      </c>
      <c r="G73" s="1" t="str">
        <f t="shared" si="34"/>
        <v/>
      </c>
      <c r="H73" s="1">
        <f t="shared" si="35"/>
        <v>118.5</v>
      </c>
      <c r="I73" s="1" t="str">
        <f t="shared" si="36"/>
        <v/>
      </c>
      <c r="J73" s="1" t="str">
        <f t="shared" si="37"/>
        <v/>
      </c>
      <c r="K73" s="1" t="str">
        <f t="shared" si="38"/>
        <v/>
      </c>
      <c r="L73" s="1" t="str">
        <f t="shared" si="39"/>
        <v/>
      </c>
      <c r="M73" s="1" t="str">
        <f t="shared" si="40"/>
        <v/>
      </c>
      <c r="N73" s="1" t="str">
        <f t="shared" si="41"/>
        <v/>
      </c>
      <c r="O73" s="1" t="str">
        <f t="shared" si="42"/>
        <v/>
      </c>
      <c r="P73" s="1">
        <f t="shared" si="43"/>
        <v>145</v>
      </c>
      <c r="Q73" s="1" t="str">
        <f t="shared" si="44"/>
        <v/>
      </c>
      <c r="R73" s="1" t="str">
        <f t="shared" si="45"/>
        <v/>
      </c>
      <c r="S73" s="1" t="str">
        <f t="shared" si="46"/>
        <v/>
      </c>
      <c r="T73" s="2">
        <f t="shared" si="47"/>
        <v>2</v>
      </c>
      <c r="U73" s="10">
        <f t="shared" si="48"/>
        <v>118.5</v>
      </c>
    </row>
    <row r="74" spans="1:23" s="2" customFormat="1" ht="18.75" x14ac:dyDescent="0.3">
      <c r="A74" t="s">
        <v>45</v>
      </c>
      <c r="B74" s="6"/>
      <c r="C74" s="6"/>
      <c r="D74" s="1" t="str">
        <f t="shared" si="31"/>
        <v/>
      </c>
      <c r="E74" s="1" t="str">
        <f t="shared" si="32"/>
        <v/>
      </c>
      <c r="F74" s="1" t="str">
        <f t="shared" si="33"/>
        <v/>
      </c>
      <c r="G74" s="1">
        <f t="shared" si="34"/>
        <v>108.5</v>
      </c>
      <c r="H74" s="1" t="str">
        <f t="shared" si="35"/>
        <v/>
      </c>
      <c r="I74" s="1" t="str">
        <f t="shared" si="36"/>
        <v/>
      </c>
      <c r="J74" s="1" t="str">
        <f t="shared" si="37"/>
        <v/>
      </c>
      <c r="K74" s="1" t="str">
        <f t="shared" si="38"/>
        <v/>
      </c>
      <c r="L74" s="1" t="str">
        <f t="shared" si="39"/>
        <v/>
      </c>
      <c r="M74" s="1" t="str">
        <f t="shared" si="40"/>
        <v/>
      </c>
      <c r="N74" s="1" t="str">
        <f t="shared" si="41"/>
        <v/>
      </c>
      <c r="O74" s="1" t="str">
        <f t="shared" si="42"/>
        <v/>
      </c>
      <c r="P74" s="1">
        <f t="shared" si="43"/>
        <v>108.5</v>
      </c>
      <c r="Q74" s="1" t="str">
        <f t="shared" si="44"/>
        <v/>
      </c>
      <c r="R74" s="7">
        <f t="shared" si="45"/>
        <v>108.5</v>
      </c>
      <c r="S74" s="1" t="str">
        <f t="shared" si="46"/>
        <v/>
      </c>
      <c r="T74" s="2">
        <f t="shared" si="47"/>
        <v>3</v>
      </c>
      <c r="U74" s="10">
        <f t="shared" si="48"/>
        <v>108.5</v>
      </c>
    </row>
    <row r="75" spans="1:23" s="2" customFormat="1" x14ac:dyDescent="0.25">
      <c r="A75" t="s">
        <v>20</v>
      </c>
      <c r="B75" s="6"/>
      <c r="C75" s="6"/>
      <c r="D75" s="1">
        <f t="shared" si="31"/>
        <v>102.5</v>
      </c>
      <c r="E75" s="1" t="str">
        <f t="shared" si="32"/>
        <v/>
      </c>
      <c r="F75" s="1" t="str">
        <f t="shared" si="33"/>
        <v/>
      </c>
      <c r="G75" s="1" t="str">
        <f t="shared" si="34"/>
        <v/>
      </c>
      <c r="H75" s="1" t="str">
        <f t="shared" si="35"/>
        <v/>
      </c>
      <c r="I75" s="1">
        <f t="shared" si="36"/>
        <v>116.5</v>
      </c>
      <c r="J75" s="1" t="str">
        <f t="shared" si="37"/>
        <v/>
      </c>
      <c r="K75" s="1" t="str">
        <f t="shared" si="38"/>
        <v/>
      </c>
      <c r="L75" s="1">
        <f t="shared" si="39"/>
        <v>102.5</v>
      </c>
      <c r="M75" s="1">
        <f t="shared" si="40"/>
        <v>91.5</v>
      </c>
      <c r="N75" s="1">
        <f t="shared" si="41"/>
        <v>101</v>
      </c>
      <c r="O75" s="1" t="str">
        <f t="shared" si="42"/>
        <v/>
      </c>
      <c r="P75" s="1" t="str">
        <f t="shared" si="43"/>
        <v/>
      </c>
      <c r="Q75" s="1" t="str">
        <f t="shared" si="44"/>
        <v/>
      </c>
      <c r="R75" s="1" t="str">
        <f t="shared" si="45"/>
        <v/>
      </c>
      <c r="S75" s="1">
        <f t="shared" si="46"/>
        <v>91.5</v>
      </c>
      <c r="T75">
        <f t="shared" si="47"/>
        <v>6</v>
      </c>
      <c r="U75" s="10">
        <f t="shared" si="48"/>
        <v>91.5</v>
      </c>
    </row>
    <row r="76" spans="1:23" x14ac:dyDescent="0.25">
      <c r="A76" t="s">
        <v>46</v>
      </c>
      <c r="B76" s="6"/>
      <c r="C76" s="6"/>
      <c r="D76" s="1" t="str">
        <f t="shared" si="31"/>
        <v/>
      </c>
      <c r="E76" s="1" t="str">
        <f t="shared" si="32"/>
        <v/>
      </c>
      <c r="F76" s="1" t="str">
        <f t="shared" si="33"/>
        <v/>
      </c>
      <c r="G76" s="1" t="str">
        <f t="shared" si="34"/>
        <v/>
      </c>
      <c r="H76" s="1" t="str">
        <f t="shared" si="35"/>
        <v/>
      </c>
      <c r="I76" s="1" t="str">
        <f t="shared" si="36"/>
        <v/>
      </c>
      <c r="J76" s="1" t="str">
        <f t="shared" si="37"/>
        <v/>
      </c>
      <c r="K76" s="1" t="str">
        <f t="shared" si="38"/>
        <v/>
      </c>
      <c r="L76" s="1" t="str">
        <f t="shared" si="39"/>
        <v/>
      </c>
      <c r="M76" s="1" t="str">
        <f t="shared" si="40"/>
        <v/>
      </c>
      <c r="N76" s="1" t="str">
        <f t="shared" si="41"/>
        <v/>
      </c>
      <c r="O76" s="1" t="str">
        <f t="shared" si="42"/>
        <v/>
      </c>
      <c r="P76" s="1">
        <f t="shared" si="43"/>
        <v>91.5</v>
      </c>
      <c r="Q76" s="1" t="str">
        <f t="shared" si="44"/>
        <v/>
      </c>
      <c r="R76" s="1" t="str">
        <f t="shared" si="45"/>
        <v/>
      </c>
      <c r="S76" s="1" t="str">
        <f t="shared" si="46"/>
        <v/>
      </c>
      <c r="T76">
        <f t="shared" si="47"/>
        <v>1</v>
      </c>
      <c r="U76" s="10">
        <f t="shared" si="48"/>
        <v>91.5</v>
      </c>
    </row>
    <row r="77" spans="1:23" s="2" customFormat="1" ht="18.75" x14ac:dyDescent="0.3">
      <c r="A77" t="s">
        <v>40</v>
      </c>
      <c r="B77" s="6"/>
      <c r="C77" s="6"/>
      <c r="D77" s="1" t="str">
        <f t="shared" si="31"/>
        <v/>
      </c>
      <c r="E77" s="1">
        <f t="shared" si="32"/>
        <v>127.5</v>
      </c>
      <c r="F77" s="1" t="str">
        <f t="shared" si="33"/>
        <v/>
      </c>
      <c r="G77" s="1">
        <f t="shared" si="34"/>
        <v>113</v>
      </c>
      <c r="H77" s="7">
        <f t="shared" si="35"/>
        <v>70.5</v>
      </c>
      <c r="I77" s="1">
        <f t="shared" si="36"/>
        <v>137</v>
      </c>
      <c r="J77" s="1" t="str">
        <f t="shared" si="37"/>
        <v/>
      </c>
      <c r="K77" s="1" t="str">
        <f t="shared" si="38"/>
        <v/>
      </c>
      <c r="L77" s="1">
        <f t="shared" si="39"/>
        <v>124</v>
      </c>
      <c r="M77" s="1" t="str">
        <f t="shared" si="40"/>
        <v/>
      </c>
      <c r="N77" s="1" t="str">
        <f t="shared" si="41"/>
        <v/>
      </c>
      <c r="O77" s="1" t="str">
        <f t="shared" si="42"/>
        <v/>
      </c>
      <c r="P77" s="1" t="str">
        <f t="shared" si="43"/>
        <v/>
      </c>
      <c r="Q77" s="1" t="str">
        <f t="shared" si="44"/>
        <v/>
      </c>
      <c r="R77" s="1">
        <f t="shared" si="45"/>
        <v>124</v>
      </c>
      <c r="S77" s="1">
        <f t="shared" si="46"/>
        <v>137</v>
      </c>
      <c r="T77">
        <f t="shared" si="47"/>
        <v>7</v>
      </c>
      <c r="U77" s="10">
        <f t="shared" si="48"/>
        <v>70.5</v>
      </c>
    </row>
    <row r="78" spans="1:23" ht="18.75" x14ac:dyDescent="0.3">
      <c r="A78" t="s">
        <v>25</v>
      </c>
      <c r="B78" s="6"/>
      <c r="C78" s="6"/>
      <c r="D78" s="1" t="str">
        <f t="shared" si="31"/>
        <v/>
      </c>
      <c r="E78" s="1" t="str">
        <f t="shared" si="32"/>
        <v/>
      </c>
      <c r="F78" s="1" t="str">
        <f t="shared" si="33"/>
        <v/>
      </c>
      <c r="G78" s="1" t="str">
        <f t="shared" si="34"/>
        <v/>
      </c>
      <c r="H78" s="1" t="str">
        <f t="shared" si="35"/>
        <v/>
      </c>
      <c r="I78" s="1">
        <f t="shared" si="36"/>
        <v>66</v>
      </c>
      <c r="J78" s="1">
        <f t="shared" si="37"/>
        <v>133.5</v>
      </c>
      <c r="K78" s="1" t="str">
        <f t="shared" si="38"/>
        <v/>
      </c>
      <c r="L78" s="1" t="str">
        <f t="shared" si="39"/>
        <v/>
      </c>
      <c r="M78" s="1">
        <f t="shared" si="40"/>
        <v>141.5</v>
      </c>
      <c r="N78" s="1" t="str">
        <f t="shared" si="41"/>
        <v/>
      </c>
      <c r="O78" s="1" t="str">
        <f t="shared" si="42"/>
        <v/>
      </c>
      <c r="P78" s="1" t="str">
        <f t="shared" si="43"/>
        <v/>
      </c>
      <c r="Q78" s="1">
        <f t="shared" si="44"/>
        <v>77.5</v>
      </c>
      <c r="R78" s="1" t="str">
        <f t="shared" si="45"/>
        <v/>
      </c>
      <c r="S78" s="7">
        <f t="shared" si="46"/>
        <v>77.5</v>
      </c>
      <c r="T78">
        <f t="shared" si="47"/>
        <v>5</v>
      </c>
      <c r="U78" s="10">
        <f t="shared" si="48"/>
        <v>66</v>
      </c>
      <c r="V78" t="s">
        <v>55</v>
      </c>
    </row>
    <row r="79" spans="1:23" x14ac:dyDescent="0.25">
      <c r="A79" t="s">
        <v>50</v>
      </c>
      <c r="B79" s="6"/>
      <c r="C79" s="6"/>
      <c r="D79" s="1">
        <f t="shared" si="31"/>
        <v>137</v>
      </c>
      <c r="E79" s="1">
        <f t="shared" si="32"/>
        <v>150</v>
      </c>
      <c r="F79" s="1" t="str">
        <f t="shared" si="33"/>
        <v/>
      </c>
      <c r="G79" s="1">
        <f t="shared" si="34"/>
        <v>120.5</v>
      </c>
      <c r="H79" s="1" t="str">
        <f t="shared" si="35"/>
        <v/>
      </c>
      <c r="I79" s="1" t="str">
        <f t="shared" si="36"/>
        <v/>
      </c>
      <c r="J79" s="1" t="str">
        <f t="shared" si="37"/>
        <v/>
      </c>
      <c r="K79" s="1" t="str">
        <f t="shared" si="38"/>
        <v/>
      </c>
      <c r="L79" s="1">
        <f t="shared" si="39"/>
        <v>66</v>
      </c>
      <c r="M79" s="1" t="str">
        <f t="shared" si="40"/>
        <v/>
      </c>
      <c r="N79" s="1" t="str">
        <f t="shared" si="41"/>
        <v/>
      </c>
      <c r="O79" s="1" t="str">
        <f t="shared" si="42"/>
        <v/>
      </c>
      <c r="P79" s="1">
        <f t="shared" si="43"/>
        <v>88</v>
      </c>
      <c r="Q79" s="1" t="str">
        <f t="shared" si="44"/>
        <v/>
      </c>
      <c r="R79" s="1" t="str">
        <f t="shared" si="45"/>
        <v/>
      </c>
      <c r="S79" s="1" t="str">
        <f t="shared" si="46"/>
        <v/>
      </c>
      <c r="T79">
        <f t="shared" si="47"/>
        <v>5</v>
      </c>
      <c r="U79" s="10">
        <f t="shared" si="48"/>
        <v>66</v>
      </c>
      <c r="V79">
        <v>11</v>
      </c>
      <c r="W79">
        <f t="shared" ref="W79:W88" si="49">COUNTIF($T$72:$T$101,V79)</f>
        <v>4</v>
      </c>
    </row>
    <row r="80" spans="1:23" ht="18.75" x14ac:dyDescent="0.3">
      <c r="A80" t="s">
        <v>27</v>
      </c>
      <c r="B80" s="6"/>
      <c r="C80" s="6"/>
      <c r="D80" s="1">
        <f t="shared" si="31"/>
        <v>131</v>
      </c>
      <c r="E80" s="1" t="str">
        <f t="shared" si="32"/>
        <v/>
      </c>
      <c r="F80" s="1">
        <f t="shared" si="33"/>
        <v>62</v>
      </c>
      <c r="G80" s="7">
        <f t="shared" si="34"/>
        <v>66</v>
      </c>
      <c r="H80" s="1" t="str">
        <f t="shared" si="35"/>
        <v/>
      </c>
      <c r="I80" s="1" t="str">
        <f t="shared" si="36"/>
        <v/>
      </c>
      <c r="J80" s="1" t="str">
        <f t="shared" si="37"/>
        <v/>
      </c>
      <c r="K80" s="1" t="str">
        <f t="shared" si="38"/>
        <v/>
      </c>
      <c r="L80" s="1">
        <f t="shared" si="39"/>
        <v>150</v>
      </c>
      <c r="M80" s="1" t="str">
        <f t="shared" si="40"/>
        <v/>
      </c>
      <c r="N80" s="1" t="str">
        <f t="shared" si="41"/>
        <v/>
      </c>
      <c r="O80" s="1" t="str">
        <f t="shared" si="42"/>
        <v/>
      </c>
      <c r="P80" s="1" t="str">
        <f t="shared" si="43"/>
        <v/>
      </c>
      <c r="Q80" s="1" t="str">
        <f t="shared" si="44"/>
        <v/>
      </c>
      <c r="R80" s="1" t="str">
        <f t="shared" si="45"/>
        <v/>
      </c>
      <c r="S80" s="1">
        <f t="shared" si="46"/>
        <v>99</v>
      </c>
      <c r="T80">
        <f t="shared" si="47"/>
        <v>5</v>
      </c>
      <c r="U80" s="10">
        <f t="shared" si="48"/>
        <v>62</v>
      </c>
      <c r="V80">
        <v>10</v>
      </c>
      <c r="W80">
        <f t="shared" si="49"/>
        <v>1</v>
      </c>
    </row>
    <row r="81" spans="1:23" x14ac:dyDescent="0.25">
      <c r="A81" t="s">
        <v>35</v>
      </c>
      <c r="B81" s="6"/>
      <c r="C81" s="6"/>
      <c r="D81" s="1" t="str">
        <f t="shared" si="31"/>
        <v/>
      </c>
      <c r="E81" s="1" t="str">
        <f t="shared" si="32"/>
        <v/>
      </c>
      <c r="F81" s="1" t="str">
        <f t="shared" si="33"/>
        <v/>
      </c>
      <c r="G81" s="1">
        <f t="shared" si="34"/>
        <v>60</v>
      </c>
      <c r="H81" s="1" t="str">
        <f t="shared" si="35"/>
        <v/>
      </c>
      <c r="I81" s="1" t="str">
        <f t="shared" si="36"/>
        <v/>
      </c>
      <c r="J81" s="1" t="str">
        <f t="shared" si="37"/>
        <v/>
      </c>
      <c r="K81" s="1" t="str">
        <f t="shared" si="38"/>
        <v/>
      </c>
      <c r="L81" s="1" t="str">
        <f t="shared" si="39"/>
        <v/>
      </c>
      <c r="M81" s="1">
        <f t="shared" si="40"/>
        <v>127.5</v>
      </c>
      <c r="N81" s="1" t="str">
        <f t="shared" si="41"/>
        <v/>
      </c>
      <c r="O81" s="1" t="str">
        <f t="shared" si="42"/>
        <v/>
      </c>
      <c r="P81" s="1" t="str">
        <f t="shared" si="43"/>
        <v/>
      </c>
      <c r="Q81" s="1" t="str">
        <f t="shared" si="44"/>
        <v/>
      </c>
      <c r="R81" s="1" t="str">
        <f t="shared" si="45"/>
        <v/>
      </c>
      <c r="S81" s="1" t="str">
        <f t="shared" si="46"/>
        <v/>
      </c>
      <c r="T81">
        <f t="shared" si="47"/>
        <v>2</v>
      </c>
      <c r="U81" s="10">
        <f t="shared" si="48"/>
        <v>60</v>
      </c>
      <c r="V81">
        <v>8</v>
      </c>
      <c r="W81">
        <f t="shared" si="49"/>
        <v>0</v>
      </c>
    </row>
    <row r="82" spans="1:23" x14ac:dyDescent="0.25">
      <c r="A82" t="s">
        <v>39</v>
      </c>
      <c r="B82" s="6"/>
      <c r="C82" s="6"/>
      <c r="D82" s="1" t="str">
        <f t="shared" si="31"/>
        <v/>
      </c>
      <c r="E82" s="1">
        <f t="shared" si="32"/>
        <v>141.5</v>
      </c>
      <c r="F82" s="1">
        <f t="shared" si="33"/>
        <v>59</v>
      </c>
      <c r="G82" s="1" t="str">
        <f t="shared" si="34"/>
        <v/>
      </c>
      <c r="H82" s="1" t="str">
        <f t="shared" si="35"/>
        <v/>
      </c>
      <c r="I82" s="1" t="str">
        <f t="shared" si="36"/>
        <v/>
      </c>
      <c r="J82" s="1" t="str">
        <f t="shared" si="37"/>
        <v/>
      </c>
      <c r="K82" s="1" t="str">
        <f t="shared" si="38"/>
        <v/>
      </c>
      <c r="L82" s="1">
        <f t="shared" si="39"/>
        <v>105</v>
      </c>
      <c r="M82" s="1" t="str">
        <f t="shared" si="40"/>
        <v/>
      </c>
      <c r="N82" s="1" t="str">
        <f t="shared" si="41"/>
        <v/>
      </c>
      <c r="O82" s="1" t="str">
        <f t="shared" si="42"/>
        <v/>
      </c>
      <c r="P82" s="1" t="str">
        <f t="shared" si="43"/>
        <v/>
      </c>
      <c r="Q82" s="1">
        <f t="shared" si="44"/>
        <v>77.5</v>
      </c>
      <c r="R82" s="1" t="str">
        <f t="shared" si="45"/>
        <v/>
      </c>
      <c r="S82" s="1" t="str">
        <f t="shared" si="46"/>
        <v/>
      </c>
      <c r="T82">
        <f t="shared" si="47"/>
        <v>4</v>
      </c>
      <c r="U82" s="10">
        <f t="shared" si="48"/>
        <v>59</v>
      </c>
      <c r="V82">
        <v>7</v>
      </c>
      <c r="W82">
        <f t="shared" si="49"/>
        <v>1</v>
      </c>
    </row>
    <row r="83" spans="1:23" ht="18.75" x14ac:dyDescent="0.3">
      <c r="A83" t="s">
        <v>19</v>
      </c>
      <c r="B83" s="6"/>
      <c r="C83" s="6"/>
      <c r="D83" s="1">
        <f t="shared" si="31"/>
        <v>145</v>
      </c>
      <c r="E83" s="1" t="str">
        <f t="shared" si="32"/>
        <v/>
      </c>
      <c r="F83" s="7">
        <f t="shared" si="33"/>
        <v>52.5</v>
      </c>
      <c r="G83" s="1" t="str">
        <f t="shared" si="34"/>
        <v/>
      </c>
      <c r="H83" s="1" t="str">
        <f t="shared" si="35"/>
        <v/>
      </c>
      <c r="I83" s="1" t="str">
        <f t="shared" si="36"/>
        <v/>
      </c>
      <c r="J83" s="1" t="str">
        <f t="shared" si="37"/>
        <v/>
      </c>
      <c r="K83" s="1" t="str">
        <f t="shared" si="38"/>
        <v/>
      </c>
      <c r="L83" s="1">
        <f t="shared" si="39"/>
        <v>145</v>
      </c>
      <c r="M83" s="1" t="str">
        <f t="shared" si="40"/>
        <v/>
      </c>
      <c r="N83" s="1" t="str">
        <f t="shared" si="41"/>
        <v/>
      </c>
      <c r="O83" s="1" t="str">
        <f t="shared" si="42"/>
        <v/>
      </c>
      <c r="P83" s="1" t="str">
        <f t="shared" si="43"/>
        <v/>
      </c>
      <c r="Q83" s="1" t="str">
        <f t="shared" si="44"/>
        <v/>
      </c>
      <c r="R83" s="1" t="str">
        <f t="shared" si="45"/>
        <v/>
      </c>
      <c r="S83" s="1" t="str">
        <f t="shared" si="46"/>
        <v/>
      </c>
      <c r="T83">
        <f t="shared" si="47"/>
        <v>3</v>
      </c>
      <c r="U83" s="10">
        <f t="shared" si="48"/>
        <v>52.5</v>
      </c>
      <c r="V83">
        <v>6</v>
      </c>
      <c r="W83">
        <f t="shared" si="49"/>
        <v>1</v>
      </c>
    </row>
    <row r="84" spans="1:23" ht="18.75" x14ac:dyDescent="0.3">
      <c r="A84" t="s">
        <v>31</v>
      </c>
      <c r="B84" s="6"/>
      <c r="C84" s="6"/>
      <c r="D84" s="1" t="str">
        <f t="shared" si="31"/>
        <v/>
      </c>
      <c r="E84" s="1">
        <f t="shared" si="32"/>
        <v>49</v>
      </c>
      <c r="F84" s="1" t="str">
        <f t="shared" si="33"/>
        <v/>
      </c>
      <c r="G84" s="1" t="str">
        <f t="shared" si="34"/>
        <v/>
      </c>
      <c r="H84" s="1" t="str">
        <f t="shared" si="35"/>
        <v/>
      </c>
      <c r="I84" s="1">
        <f t="shared" si="36"/>
        <v>141.5</v>
      </c>
      <c r="J84" s="1" t="str">
        <f t="shared" si="37"/>
        <v/>
      </c>
      <c r="K84" s="1" t="str">
        <f t="shared" si="38"/>
        <v/>
      </c>
      <c r="L84" s="7">
        <f t="shared" si="39"/>
        <v>49</v>
      </c>
      <c r="M84" s="1" t="str">
        <f t="shared" si="40"/>
        <v/>
      </c>
      <c r="N84" s="1" t="str">
        <f t="shared" si="41"/>
        <v/>
      </c>
      <c r="O84" s="1" t="str">
        <f t="shared" si="42"/>
        <v/>
      </c>
      <c r="P84" s="1" t="str">
        <f t="shared" si="43"/>
        <v/>
      </c>
      <c r="Q84" s="1" t="str">
        <f t="shared" si="44"/>
        <v/>
      </c>
      <c r="R84" s="1" t="str">
        <f t="shared" si="45"/>
        <v/>
      </c>
      <c r="S84" s="1" t="str">
        <f t="shared" si="46"/>
        <v/>
      </c>
      <c r="T84">
        <f t="shared" si="47"/>
        <v>3</v>
      </c>
      <c r="U84" s="10">
        <f t="shared" si="48"/>
        <v>49</v>
      </c>
      <c r="V84">
        <v>5</v>
      </c>
      <c r="W84">
        <f t="shared" si="49"/>
        <v>3</v>
      </c>
    </row>
    <row r="85" spans="1:23" ht="18.75" x14ac:dyDescent="0.3">
      <c r="A85" t="s">
        <v>47</v>
      </c>
      <c r="B85" s="6"/>
      <c r="C85" s="6"/>
      <c r="D85" s="1">
        <f t="shared" si="31"/>
        <v>77.5</v>
      </c>
      <c r="E85" s="1" t="str">
        <f t="shared" si="32"/>
        <v/>
      </c>
      <c r="F85" s="1" t="str">
        <f t="shared" si="33"/>
        <v/>
      </c>
      <c r="G85" s="1" t="str">
        <f t="shared" si="34"/>
        <v/>
      </c>
      <c r="H85" s="1" t="str">
        <f t="shared" si="35"/>
        <v/>
      </c>
      <c r="I85" s="1" t="str">
        <f t="shared" si="36"/>
        <v/>
      </c>
      <c r="J85" s="1" t="str">
        <f t="shared" si="37"/>
        <v/>
      </c>
      <c r="K85" s="1" t="str">
        <f t="shared" si="38"/>
        <v/>
      </c>
      <c r="L85" s="1" t="str">
        <f t="shared" si="39"/>
        <v/>
      </c>
      <c r="M85" s="7">
        <f t="shared" si="40"/>
        <v>49</v>
      </c>
      <c r="N85" s="1" t="str">
        <f t="shared" si="41"/>
        <v/>
      </c>
      <c r="O85" s="1" t="str">
        <f t="shared" si="42"/>
        <v/>
      </c>
      <c r="P85" s="1" t="str">
        <f t="shared" si="43"/>
        <v/>
      </c>
      <c r="Q85" s="1" t="str">
        <f t="shared" si="44"/>
        <v/>
      </c>
      <c r="R85" s="1">
        <f t="shared" si="45"/>
        <v>88</v>
      </c>
      <c r="S85" s="1">
        <f t="shared" si="46"/>
        <v>141.5</v>
      </c>
      <c r="T85">
        <f t="shared" si="47"/>
        <v>4</v>
      </c>
      <c r="U85" s="10">
        <f t="shared" si="48"/>
        <v>49</v>
      </c>
      <c r="V85">
        <v>4</v>
      </c>
      <c r="W85">
        <f t="shared" si="49"/>
        <v>4</v>
      </c>
    </row>
    <row r="86" spans="1:23" s="2" customFormat="1" ht="18.75" x14ac:dyDescent="0.3">
      <c r="A86" t="s">
        <v>33</v>
      </c>
      <c r="B86" s="6"/>
      <c r="C86" s="6"/>
      <c r="D86" s="1" t="str">
        <f t="shared" si="31"/>
        <v/>
      </c>
      <c r="E86" s="1">
        <f t="shared" si="32"/>
        <v>137</v>
      </c>
      <c r="F86" s="1" t="str">
        <f t="shared" si="33"/>
        <v/>
      </c>
      <c r="G86" s="1" t="str">
        <f t="shared" si="34"/>
        <v/>
      </c>
      <c r="H86" s="1" t="str">
        <f t="shared" si="35"/>
        <v/>
      </c>
      <c r="I86" s="1" t="str">
        <f t="shared" si="36"/>
        <v/>
      </c>
      <c r="J86" s="1" t="str">
        <f t="shared" si="37"/>
        <v/>
      </c>
      <c r="K86" s="1" t="str">
        <f t="shared" si="38"/>
        <v/>
      </c>
      <c r="L86" s="1" t="str">
        <f t="shared" si="39"/>
        <v/>
      </c>
      <c r="M86" s="1" t="str">
        <f t="shared" si="40"/>
        <v/>
      </c>
      <c r="N86" s="7">
        <f t="shared" si="41"/>
        <v>45.5</v>
      </c>
      <c r="O86" s="1" t="str">
        <f t="shared" si="42"/>
        <v/>
      </c>
      <c r="P86" s="1">
        <f t="shared" si="43"/>
        <v>81.5</v>
      </c>
      <c r="Q86" s="1" t="str">
        <f t="shared" si="44"/>
        <v/>
      </c>
      <c r="R86" s="1" t="str">
        <f t="shared" si="45"/>
        <v/>
      </c>
      <c r="S86" s="1">
        <f t="shared" si="46"/>
        <v>45.5</v>
      </c>
      <c r="T86">
        <f t="shared" si="47"/>
        <v>4</v>
      </c>
      <c r="U86" s="10">
        <f t="shared" si="48"/>
        <v>45.5</v>
      </c>
      <c r="V86">
        <v>3</v>
      </c>
      <c r="W86">
        <f t="shared" si="49"/>
        <v>3</v>
      </c>
    </row>
    <row r="87" spans="1:23" s="2" customFormat="1" ht="18.75" x14ac:dyDescent="0.3">
      <c r="A87" t="s">
        <v>32</v>
      </c>
      <c r="B87" s="6"/>
      <c r="C87" s="6"/>
      <c r="D87" s="7">
        <f t="shared" si="31"/>
        <v>32.5</v>
      </c>
      <c r="E87" s="1" t="str">
        <f t="shared" si="32"/>
        <v/>
      </c>
      <c r="F87" s="1">
        <f t="shared" si="33"/>
        <v>150</v>
      </c>
      <c r="G87" s="1" t="str">
        <f t="shared" si="34"/>
        <v/>
      </c>
      <c r="H87" s="1" t="str">
        <f t="shared" si="35"/>
        <v/>
      </c>
      <c r="I87" s="1">
        <f t="shared" si="36"/>
        <v>32.5</v>
      </c>
      <c r="J87" s="1" t="str">
        <f t="shared" si="37"/>
        <v/>
      </c>
      <c r="K87" s="1" t="str">
        <f t="shared" si="38"/>
        <v/>
      </c>
      <c r="L87" s="1" t="str">
        <f t="shared" si="39"/>
        <v/>
      </c>
      <c r="M87" s="1" t="str">
        <f t="shared" si="40"/>
        <v/>
      </c>
      <c r="N87" s="1" t="str">
        <f t="shared" si="41"/>
        <v/>
      </c>
      <c r="O87" s="1" t="str">
        <f t="shared" si="42"/>
        <v/>
      </c>
      <c r="P87" s="1" t="str">
        <f t="shared" si="43"/>
        <v/>
      </c>
      <c r="Q87" s="1">
        <f t="shared" si="44"/>
        <v>113</v>
      </c>
      <c r="R87" s="1" t="str">
        <f t="shared" si="45"/>
        <v/>
      </c>
      <c r="S87" s="1" t="str">
        <f t="shared" si="46"/>
        <v/>
      </c>
      <c r="T87">
        <f t="shared" si="47"/>
        <v>4</v>
      </c>
      <c r="U87" s="10">
        <f t="shared" si="48"/>
        <v>32.5</v>
      </c>
      <c r="V87">
        <v>2</v>
      </c>
      <c r="W87">
        <f t="shared" si="49"/>
        <v>2</v>
      </c>
    </row>
    <row r="88" spans="1:23" s="2" customFormat="1" ht="18.75" x14ac:dyDescent="0.3">
      <c r="A88" t="s">
        <v>48</v>
      </c>
      <c r="B88" s="6"/>
      <c r="C88" s="6"/>
      <c r="D88" s="1">
        <f t="shared" si="31"/>
        <v>35</v>
      </c>
      <c r="E88" s="1" t="str">
        <f t="shared" si="32"/>
        <v/>
      </c>
      <c r="F88" s="1">
        <f t="shared" si="33"/>
        <v>124</v>
      </c>
      <c r="G88" s="1">
        <f t="shared" si="34"/>
        <v>66</v>
      </c>
      <c r="H88" s="1" t="str">
        <f t="shared" si="35"/>
        <v/>
      </c>
      <c r="I88" s="1">
        <f t="shared" si="36"/>
        <v>27</v>
      </c>
      <c r="J88" s="1" t="str">
        <f t="shared" si="37"/>
        <v/>
      </c>
      <c r="K88" s="1">
        <f t="shared" si="38"/>
        <v>84.5</v>
      </c>
      <c r="L88" s="1" t="str">
        <f t="shared" si="39"/>
        <v/>
      </c>
      <c r="M88" s="1" t="str">
        <f t="shared" si="40"/>
        <v/>
      </c>
      <c r="N88" s="1">
        <f t="shared" si="41"/>
        <v>120.5</v>
      </c>
      <c r="O88" s="1">
        <f t="shared" si="42"/>
        <v>27</v>
      </c>
      <c r="P88" s="1">
        <f t="shared" si="43"/>
        <v>105</v>
      </c>
      <c r="Q88" s="1">
        <f t="shared" si="44"/>
        <v>37</v>
      </c>
      <c r="R88" s="7">
        <f t="shared" si="45"/>
        <v>42</v>
      </c>
      <c r="S88" s="1">
        <f t="shared" si="46"/>
        <v>37</v>
      </c>
      <c r="T88">
        <f t="shared" si="47"/>
        <v>11</v>
      </c>
      <c r="U88" s="10">
        <f t="shared" si="48"/>
        <v>27</v>
      </c>
      <c r="V88">
        <v>1</v>
      </c>
      <c r="W88">
        <f t="shared" si="49"/>
        <v>2</v>
      </c>
    </row>
    <row r="89" spans="1:23" ht="18.75" x14ac:dyDescent="0.3">
      <c r="A89" t="s">
        <v>44</v>
      </c>
      <c r="B89" s="6"/>
      <c r="C89" s="6"/>
      <c r="D89" s="1" t="str">
        <f t="shared" si="31"/>
        <v/>
      </c>
      <c r="E89" s="1">
        <f t="shared" si="32"/>
        <v>133.5</v>
      </c>
      <c r="F89" s="1">
        <f t="shared" si="33"/>
        <v>129</v>
      </c>
      <c r="G89" s="1">
        <f t="shared" si="34"/>
        <v>19.5</v>
      </c>
      <c r="H89" s="1">
        <f t="shared" si="35"/>
        <v>105</v>
      </c>
      <c r="I89" s="7">
        <f t="shared" si="36"/>
        <v>19.5</v>
      </c>
      <c r="J89" s="1" t="str">
        <f t="shared" si="37"/>
        <v/>
      </c>
      <c r="K89" s="1" t="str">
        <f t="shared" si="38"/>
        <v/>
      </c>
      <c r="L89" s="1" t="str">
        <f t="shared" si="39"/>
        <v/>
      </c>
      <c r="M89" s="1">
        <f t="shared" si="40"/>
        <v>81.5</v>
      </c>
      <c r="N89" s="1">
        <f t="shared" si="41"/>
        <v>39</v>
      </c>
      <c r="O89" s="1" t="str">
        <f t="shared" si="42"/>
        <v/>
      </c>
      <c r="P89" s="1">
        <f t="shared" si="43"/>
        <v>49</v>
      </c>
      <c r="Q89" s="1">
        <f t="shared" si="44"/>
        <v>95.5</v>
      </c>
      <c r="R89" s="1" t="str">
        <f t="shared" si="45"/>
        <v/>
      </c>
      <c r="S89" s="1">
        <f t="shared" si="46"/>
        <v>95.5</v>
      </c>
      <c r="T89">
        <f t="shared" si="47"/>
        <v>10</v>
      </c>
      <c r="U89" s="10">
        <f t="shared" si="48"/>
        <v>19.5</v>
      </c>
    </row>
    <row r="90" spans="1:23" ht="18.75" x14ac:dyDescent="0.3">
      <c r="A90" t="s">
        <v>29</v>
      </c>
      <c r="B90" s="6"/>
      <c r="C90" s="6"/>
      <c r="D90" s="1" t="str">
        <f t="shared" si="31"/>
        <v/>
      </c>
      <c r="E90" s="1">
        <f t="shared" si="32"/>
        <v>10</v>
      </c>
      <c r="F90" s="1">
        <f t="shared" si="33"/>
        <v>62</v>
      </c>
      <c r="G90" s="1" t="str">
        <f t="shared" si="34"/>
        <v/>
      </c>
      <c r="H90" s="1">
        <f t="shared" si="35"/>
        <v>113</v>
      </c>
      <c r="I90" s="1" t="str">
        <f t="shared" si="36"/>
        <v/>
      </c>
      <c r="J90" s="1">
        <f t="shared" si="37"/>
        <v>84.5</v>
      </c>
      <c r="K90" s="1">
        <f t="shared" si="38"/>
        <v>73.5</v>
      </c>
      <c r="L90" s="1" t="str">
        <f t="shared" si="39"/>
        <v/>
      </c>
      <c r="M90" s="1">
        <f t="shared" si="40"/>
        <v>17</v>
      </c>
      <c r="N90" s="1" t="str">
        <f t="shared" si="41"/>
        <v/>
      </c>
      <c r="O90" s="1">
        <f t="shared" si="42"/>
        <v>66</v>
      </c>
      <c r="P90" s="1">
        <f t="shared" si="43"/>
        <v>131</v>
      </c>
      <c r="Q90" s="7">
        <f t="shared" si="44"/>
        <v>43.5</v>
      </c>
      <c r="R90" s="1">
        <f t="shared" si="45"/>
        <v>84.5</v>
      </c>
      <c r="S90" s="1">
        <f t="shared" si="46"/>
        <v>24</v>
      </c>
      <c r="T90">
        <f t="shared" si="47"/>
        <v>11</v>
      </c>
      <c r="U90" s="10">
        <f t="shared" si="48"/>
        <v>10</v>
      </c>
    </row>
    <row r="91" spans="1:23" s="5" customFormat="1" ht="18.75" x14ac:dyDescent="0.3">
      <c r="A91" t="s">
        <v>30</v>
      </c>
      <c r="B91" s="6"/>
      <c r="C91" s="6"/>
      <c r="D91" s="1">
        <f t="shared" si="31"/>
        <v>14</v>
      </c>
      <c r="E91" s="1">
        <f t="shared" si="32"/>
        <v>72</v>
      </c>
      <c r="F91" s="1" t="str">
        <f t="shared" si="33"/>
        <v/>
      </c>
      <c r="G91" s="1">
        <f t="shared" si="34"/>
        <v>70.5</v>
      </c>
      <c r="H91" s="1">
        <f t="shared" si="35"/>
        <v>54.5</v>
      </c>
      <c r="I91" s="1">
        <f t="shared" si="36"/>
        <v>52.5</v>
      </c>
      <c r="J91" s="7">
        <f t="shared" si="37"/>
        <v>9</v>
      </c>
      <c r="K91" s="1" t="str">
        <f t="shared" si="38"/>
        <v/>
      </c>
      <c r="L91" s="1">
        <f t="shared" si="39"/>
        <v>18</v>
      </c>
      <c r="M91" s="1">
        <f t="shared" si="40"/>
        <v>95.5</v>
      </c>
      <c r="N91" s="1" t="str">
        <f t="shared" si="41"/>
        <v/>
      </c>
      <c r="O91" s="1">
        <f t="shared" si="42"/>
        <v>29.5</v>
      </c>
      <c r="P91" s="1">
        <f t="shared" si="43"/>
        <v>116.5</v>
      </c>
      <c r="Q91" s="1">
        <f t="shared" si="44"/>
        <v>29.5</v>
      </c>
      <c r="R91" s="1" t="str">
        <f t="shared" si="45"/>
        <v/>
      </c>
      <c r="S91" s="1">
        <f t="shared" si="46"/>
        <v>95.5</v>
      </c>
      <c r="T91">
        <f t="shared" si="47"/>
        <v>12</v>
      </c>
      <c r="U91" s="10">
        <f t="shared" si="48"/>
        <v>9</v>
      </c>
    </row>
    <row r="92" spans="1:23" s="5" customFormat="1" ht="18.75" x14ac:dyDescent="0.3">
      <c r="A92" t="s">
        <v>22</v>
      </c>
      <c r="B92" s="6"/>
      <c r="C92" s="6"/>
      <c r="D92" s="1">
        <f t="shared" si="31"/>
        <v>12</v>
      </c>
      <c r="E92" s="1">
        <f t="shared" si="32"/>
        <v>5.5</v>
      </c>
      <c r="F92" s="1">
        <f t="shared" si="33"/>
        <v>32.5</v>
      </c>
      <c r="G92" s="1">
        <f t="shared" si="34"/>
        <v>43.5</v>
      </c>
      <c r="H92" s="1" t="str">
        <f t="shared" si="35"/>
        <v/>
      </c>
      <c r="I92" s="1">
        <f t="shared" si="36"/>
        <v>8</v>
      </c>
      <c r="J92" s="1" t="str">
        <f t="shared" si="37"/>
        <v/>
      </c>
      <c r="K92" s="7">
        <f t="shared" si="38"/>
        <v>12</v>
      </c>
      <c r="L92" s="1">
        <f t="shared" si="39"/>
        <v>118.5</v>
      </c>
      <c r="M92" s="1">
        <f t="shared" si="40"/>
        <v>54.5</v>
      </c>
      <c r="N92" s="1">
        <f t="shared" si="41"/>
        <v>49</v>
      </c>
      <c r="O92" s="1">
        <f t="shared" si="42"/>
        <v>69</v>
      </c>
      <c r="P92" s="1">
        <f t="shared" si="43"/>
        <v>32.5</v>
      </c>
      <c r="Q92" s="1">
        <f t="shared" si="44"/>
        <v>12</v>
      </c>
      <c r="R92" s="1" t="str">
        <f t="shared" si="45"/>
        <v/>
      </c>
      <c r="S92" s="1">
        <f t="shared" si="46"/>
        <v>7</v>
      </c>
      <c r="T92">
        <f t="shared" si="47"/>
        <v>13</v>
      </c>
      <c r="U92" s="10">
        <f t="shared" si="48"/>
        <v>5.5</v>
      </c>
    </row>
    <row r="93" spans="1:23" ht="18.75" x14ac:dyDescent="0.3">
      <c r="A93" t="s">
        <v>36</v>
      </c>
      <c r="B93" s="6"/>
      <c r="C93" s="6"/>
      <c r="D93" s="1" t="str">
        <f t="shared" si="31"/>
        <v/>
      </c>
      <c r="E93" s="7">
        <f t="shared" si="32"/>
        <v>37</v>
      </c>
      <c r="F93" s="1">
        <f t="shared" si="33"/>
        <v>124</v>
      </c>
      <c r="G93" s="1">
        <f t="shared" si="34"/>
        <v>22</v>
      </c>
      <c r="H93" s="1">
        <f t="shared" si="35"/>
        <v>113</v>
      </c>
      <c r="I93" s="1">
        <f t="shared" si="36"/>
        <v>137</v>
      </c>
      <c r="J93" s="1">
        <f t="shared" si="37"/>
        <v>5.5</v>
      </c>
      <c r="K93" s="1">
        <f t="shared" si="38"/>
        <v>77.5</v>
      </c>
      <c r="L93" s="1">
        <f t="shared" si="39"/>
        <v>88</v>
      </c>
      <c r="M93" s="1" t="str">
        <f t="shared" si="40"/>
        <v/>
      </c>
      <c r="N93" s="1">
        <f t="shared" si="41"/>
        <v>62</v>
      </c>
      <c r="O93" s="1" t="str">
        <f t="shared" si="42"/>
        <v/>
      </c>
      <c r="P93" s="1" t="str">
        <f t="shared" si="43"/>
        <v/>
      </c>
      <c r="Q93" s="1">
        <f t="shared" si="44"/>
        <v>113</v>
      </c>
      <c r="R93" s="1">
        <f t="shared" si="45"/>
        <v>84.5</v>
      </c>
      <c r="S93" s="1" t="str">
        <f t="shared" si="46"/>
        <v/>
      </c>
      <c r="T93">
        <f t="shared" si="47"/>
        <v>11</v>
      </c>
      <c r="U93" s="10">
        <f t="shared" si="48"/>
        <v>5.5</v>
      </c>
    </row>
    <row r="94" spans="1:23" ht="18.75" x14ac:dyDescent="0.3">
      <c r="A94" t="s">
        <v>34</v>
      </c>
      <c r="B94" s="6"/>
      <c r="C94" s="6"/>
      <c r="D94" s="1">
        <f t="shared" si="31"/>
        <v>27</v>
      </c>
      <c r="E94" s="1" t="str">
        <f t="shared" si="32"/>
        <v/>
      </c>
      <c r="F94" s="1">
        <f t="shared" si="33"/>
        <v>77.5</v>
      </c>
      <c r="G94" s="1" t="str">
        <f t="shared" si="34"/>
        <v/>
      </c>
      <c r="H94" s="1">
        <f t="shared" si="35"/>
        <v>57</v>
      </c>
      <c r="I94" s="1">
        <f t="shared" si="36"/>
        <v>108.5</v>
      </c>
      <c r="J94" s="1" t="str">
        <f t="shared" si="37"/>
        <v/>
      </c>
      <c r="K94" s="1" t="str">
        <f t="shared" si="38"/>
        <v/>
      </c>
      <c r="L94" s="1">
        <f t="shared" si="39"/>
        <v>147.5</v>
      </c>
      <c r="M94" s="1">
        <f t="shared" si="40"/>
        <v>99</v>
      </c>
      <c r="N94" s="1">
        <f t="shared" si="41"/>
        <v>99</v>
      </c>
      <c r="O94" s="7">
        <f t="shared" si="42"/>
        <v>73.5</v>
      </c>
      <c r="P94" s="1" t="str">
        <f t="shared" si="43"/>
        <v/>
      </c>
      <c r="Q94" s="1">
        <f t="shared" si="44"/>
        <v>4</v>
      </c>
      <c r="R94" s="1">
        <f t="shared" si="45"/>
        <v>147.5</v>
      </c>
      <c r="S94" s="1">
        <f t="shared" si="46"/>
        <v>57</v>
      </c>
      <c r="T94">
        <f t="shared" si="47"/>
        <v>11</v>
      </c>
      <c r="U94" s="10">
        <f t="shared" si="48"/>
        <v>4</v>
      </c>
    </row>
    <row r="95" spans="1:23" ht="18.75" x14ac:dyDescent="0.3">
      <c r="A95" t="s">
        <v>21</v>
      </c>
      <c r="B95" s="6"/>
      <c r="C95" s="6"/>
      <c r="D95" s="1" t="str">
        <f t="shared" si="31"/>
        <v/>
      </c>
      <c r="E95" s="1">
        <f t="shared" si="32"/>
        <v>124</v>
      </c>
      <c r="F95" s="1">
        <f t="shared" si="33"/>
        <v>25</v>
      </c>
      <c r="G95" s="1">
        <f t="shared" si="34"/>
        <v>91.5</v>
      </c>
      <c r="H95" s="1" t="str">
        <f t="shared" si="35"/>
        <v/>
      </c>
      <c r="I95" s="1">
        <f t="shared" si="36"/>
        <v>15</v>
      </c>
      <c r="J95" s="1">
        <f t="shared" si="37"/>
        <v>2.5</v>
      </c>
      <c r="K95" s="1">
        <f t="shared" si="38"/>
        <v>57</v>
      </c>
      <c r="L95" s="1">
        <f t="shared" si="39"/>
        <v>2.5</v>
      </c>
      <c r="M95" s="1">
        <f t="shared" si="40"/>
        <v>1</v>
      </c>
      <c r="N95" s="1">
        <f t="shared" si="41"/>
        <v>40.5</v>
      </c>
      <c r="O95" s="1">
        <f t="shared" si="42"/>
        <v>22</v>
      </c>
      <c r="P95" s="7">
        <f t="shared" si="43"/>
        <v>40.5</v>
      </c>
      <c r="Q95" s="1">
        <f t="shared" si="44"/>
        <v>16</v>
      </c>
      <c r="R95" s="1" t="str">
        <f t="shared" si="45"/>
        <v/>
      </c>
      <c r="S95" s="1">
        <f t="shared" si="46"/>
        <v>22</v>
      </c>
      <c r="T95">
        <f t="shared" si="47"/>
        <v>13</v>
      </c>
      <c r="U95" s="10">
        <f t="shared" si="48"/>
        <v>1</v>
      </c>
    </row>
    <row r="96" spans="1:23" s="2" customFormat="1" x14ac:dyDescent="0.25">
      <c r="A96" t="s">
        <v>23</v>
      </c>
      <c r="B96" s="6"/>
      <c r="C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>
        <f t="shared" si="47"/>
        <v>0</v>
      </c>
      <c r="U96" s="10">
        <f t="shared" si="48"/>
        <v>0</v>
      </c>
    </row>
    <row r="97" spans="1:23" s="2" customFormat="1" x14ac:dyDescent="0.25">
      <c r="A97" t="s">
        <v>38</v>
      </c>
      <c r="B97" s="6"/>
      <c r="C97" s="6"/>
      <c r="D97" s="1" t="str">
        <f>VLOOKUP($A97,$A$38:$S$67,4,FALSE)</f>
        <v/>
      </c>
      <c r="E97" s="1" t="str">
        <f>VLOOKUP($A97,$A$38:$S$67,5,FALSE)</f>
        <v/>
      </c>
      <c r="F97" s="1" t="str">
        <f>VLOOKUP($A97,$A$38:$S$67,6,FALSE)</f>
        <v/>
      </c>
      <c r="G97" s="1" t="str">
        <f>VLOOKUP($A97,$A$38:$S$67,7,FALSE)</f>
        <v/>
      </c>
      <c r="H97" s="1" t="str">
        <f>VLOOKUP($A97,$A$38:$S$67,8,FALSE)</f>
        <v/>
      </c>
      <c r="I97" s="1" t="str">
        <f>VLOOKUP($A97,$A$38:$S$67,9,FALSE)</f>
        <v/>
      </c>
      <c r="J97" s="1" t="str">
        <f>VLOOKUP($A97,$A$38:$S$67,10,FALSE)</f>
        <v/>
      </c>
      <c r="K97" s="1" t="str">
        <f>VLOOKUP($A97,$A$38:$S$67,11,FALSE)</f>
        <v/>
      </c>
      <c r="L97" s="1" t="str">
        <f>VLOOKUP($A97,$A$38:$S$67,12,FALSE)</f>
        <v/>
      </c>
      <c r="M97" s="1" t="str">
        <f>VLOOKUP($A97,$A$38:$S$67,13,FALSE)</f>
        <v/>
      </c>
      <c r="N97" s="1" t="str">
        <f>VLOOKUP($A97,$A$38:$S$67,14,FALSE)</f>
        <v/>
      </c>
      <c r="O97" s="1" t="str">
        <f>VLOOKUP($A97,$A$38:$S$67,15,FALSE)</f>
        <v/>
      </c>
      <c r="P97" s="1" t="str">
        <f>VLOOKUP($A97,$A$38:$S$67,16,FALSE)</f>
        <v/>
      </c>
      <c r="Q97" s="1" t="str">
        <f>VLOOKUP($A97,$A$38:$S$67,17,FALSE)</f>
        <v/>
      </c>
      <c r="R97" s="1" t="str">
        <f>VLOOKUP($A97,$A$38:$S$67,18,FALSE)</f>
        <v/>
      </c>
      <c r="S97" s="1" t="str">
        <f>VLOOKUP($A97,$A$38:$S$67,19,FALSE)</f>
        <v/>
      </c>
      <c r="T97">
        <f t="shared" si="47"/>
        <v>0</v>
      </c>
      <c r="U97" s="10">
        <f t="shared" si="48"/>
        <v>0</v>
      </c>
    </row>
    <row r="98" spans="1:23" x14ac:dyDescent="0.25">
      <c r="A98" t="s">
        <v>41</v>
      </c>
      <c r="B98" s="6"/>
      <c r="C98" s="6"/>
      <c r="D98" s="1" t="str">
        <f>VLOOKUP($A98,$A$38:$S$67,4,FALSE)</f>
        <v/>
      </c>
      <c r="E98" s="1" t="str">
        <f>VLOOKUP($A98,$A$38:$S$67,5,FALSE)</f>
        <v/>
      </c>
      <c r="F98" s="1" t="str">
        <f>VLOOKUP($A98,$A$38:$S$67,6,FALSE)</f>
        <v/>
      </c>
      <c r="G98" s="1" t="str">
        <f>VLOOKUP($A98,$A$38:$S$67,7,FALSE)</f>
        <v/>
      </c>
      <c r="H98" s="1" t="str">
        <f>VLOOKUP($A98,$A$38:$S$67,8,FALSE)</f>
        <v/>
      </c>
      <c r="I98" s="1" t="str">
        <f>VLOOKUP($A98,$A$38:$S$67,9,FALSE)</f>
        <v/>
      </c>
      <c r="J98" s="1" t="str">
        <f>VLOOKUP($A98,$A$38:$S$67,10,FALSE)</f>
        <v/>
      </c>
      <c r="K98" s="1" t="str">
        <f>VLOOKUP($A98,$A$38:$S$67,11,FALSE)</f>
        <v/>
      </c>
      <c r="L98" s="1" t="str">
        <f>VLOOKUP($A98,$A$38:$S$67,12,FALSE)</f>
        <v/>
      </c>
      <c r="M98" s="1" t="str">
        <f>VLOOKUP($A98,$A$38:$S$67,13,FALSE)</f>
        <v/>
      </c>
      <c r="N98" s="1" t="str">
        <f>VLOOKUP($A98,$A$38:$S$67,14,FALSE)</f>
        <v/>
      </c>
      <c r="O98" s="1" t="str">
        <f>VLOOKUP($A98,$A$38:$S$67,15,FALSE)</f>
        <v/>
      </c>
      <c r="P98" s="1" t="str">
        <f>VLOOKUP($A98,$A$38:$S$67,16,FALSE)</f>
        <v/>
      </c>
      <c r="Q98" s="1" t="str">
        <f>VLOOKUP($A98,$A$38:$S$67,17,FALSE)</f>
        <v/>
      </c>
      <c r="R98" s="1" t="str">
        <f>VLOOKUP($A98,$A$38:$S$67,18,FALSE)</f>
        <v/>
      </c>
      <c r="S98" s="1" t="str">
        <f>VLOOKUP($A98,$A$38:$S$67,19,FALSE)</f>
        <v/>
      </c>
      <c r="T98">
        <f t="shared" si="47"/>
        <v>0</v>
      </c>
      <c r="U98" s="10">
        <f t="shared" si="48"/>
        <v>0</v>
      </c>
    </row>
    <row r="99" spans="1:23" s="2" customFormat="1" x14ac:dyDescent="0.25">
      <c r="A99" t="s">
        <v>42</v>
      </c>
      <c r="B99" s="6"/>
      <c r="C99" s="6"/>
      <c r="D99" s="1" t="str">
        <f>VLOOKUP($A99,$A$38:$S$67,4,FALSE)</f>
        <v/>
      </c>
      <c r="E99" s="1" t="str">
        <f>VLOOKUP($A99,$A$38:$S$67,5,FALSE)</f>
        <v/>
      </c>
      <c r="F99" s="1" t="str">
        <f>VLOOKUP($A99,$A$38:$S$67,6,FALSE)</f>
        <v/>
      </c>
      <c r="G99" s="1" t="str">
        <f>VLOOKUP($A99,$A$38:$S$67,7,FALSE)</f>
        <v/>
      </c>
      <c r="H99" s="1" t="str">
        <f>VLOOKUP($A99,$A$38:$S$67,8,FALSE)</f>
        <v/>
      </c>
      <c r="I99" s="1" t="str">
        <f>VLOOKUP($A99,$A$38:$S$67,9,FALSE)</f>
        <v/>
      </c>
      <c r="J99" s="1" t="str">
        <f>VLOOKUP($A99,$A$38:$S$67,10,FALSE)</f>
        <v/>
      </c>
      <c r="K99" s="1" t="str">
        <f>VLOOKUP($A99,$A$38:$S$67,11,FALSE)</f>
        <v/>
      </c>
      <c r="L99" s="1" t="str">
        <f>VLOOKUP($A99,$A$38:$S$67,12,FALSE)</f>
        <v/>
      </c>
      <c r="M99" s="1" t="str">
        <f>VLOOKUP($A99,$A$38:$S$67,13,FALSE)</f>
        <v/>
      </c>
      <c r="N99" s="1" t="str">
        <f>VLOOKUP($A99,$A$38:$S$67,14,FALSE)</f>
        <v/>
      </c>
      <c r="O99" s="1" t="str">
        <f>VLOOKUP($A99,$A$38:$S$67,15,FALSE)</f>
        <v/>
      </c>
      <c r="P99" s="1" t="str">
        <f>VLOOKUP($A99,$A$38:$S$67,16,FALSE)</f>
        <v/>
      </c>
      <c r="Q99" s="1" t="str">
        <f>VLOOKUP($A99,$A$38:$S$67,17,FALSE)</f>
        <v/>
      </c>
      <c r="R99" s="1" t="str">
        <f>VLOOKUP($A99,$A$38:$S$67,18,FALSE)</f>
        <v/>
      </c>
      <c r="S99" s="1" t="str">
        <f>VLOOKUP($A99,$A$38:$S$67,19,FALSE)</f>
        <v/>
      </c>
      <c r="T99">
        <f t="shared" si="47"/>
        <v>0</v>
      </c>
      <c r="U99" s="10">
        <f t="shared" si="48"/>
        <v>0</v>
      </c>
    </row>
    <row r="100" spans="1:23" x14ac:dyDescent="0.25">
      <c r="A100" t="s">
        <v>43</v>
      </c>
      <c r="B100" s="6"/>
      <c r="C100" s="6"/>
      <c r="D100" s="1" t="str">
        <f>VLOOKUP($A100,$A$38:$S$67,4,FALSE)</f>
        <v/>
      </c>
      <c r="E100" s="1" t="str">
        <f>VLOOKUP($A100,$A$38:$S$67,5,FALSE)</f>
        <v/>
      </c>
      <c r="F100" s="1" t="str">
        <f>VLOOKUP($A100,$A$38:$S$67,6,FALSE)</f>
        <v/>
      </c>
      <c r="G100" s="1" t="str">
        <f>VLOOKUP($A100,$A$38:$S$67,7,FALSE)</f>
        <v/>
      </c>
      <c r="H100" s="1" t="str">
        <f>VLOOKUP($A100,$A$38:$S$67,8,FALSE)</f>
        <v/>
      </c>
      <c r="I100" s="1" t="str">
        <f>VLOOKUP($A100,$A$38:$S$67,9,FALSE)</f>
        <v/>
      </c>
      <c r="J100" s="1" t="str">
        <f>VLOOKUP($A100,$A$38:$S$67,10,FALSE)</f>
        <v/>
      </c>
      <c r="K100" s="1" t="str">
        <f>VLOOKUP($A100,$A$38:$S$67,11,FALSE)</f>
        <v/>
      </c>
      <c r="L100" s="1" t="str">
        <f>VLOOKUP($A100,$A$38:$S$67,12,FALSE)</f>
        <v/>
      </c>
      <c r="M100" s="1" t="str">
        <f>VLOOKUP($A100,$A$38:$S$67,13,FALSE)</f>
        <v/>
      </c>
      <c r="N100" s="1" t="str">
        <f>VLOOKUP($A100,$A$38:$S$67,14,FALSE)</f>
        <v/>
      </c>
      <c r="O100" s="1" t="str">
        <f>VLOOKUP($A100,$A$38:$S$67,15,FALSE)</f>
        <v/>
      </c>
      <c r="P100" s="1" t="str">
        <f>VLOOKUP($A100,$A$38:$S$67,16,FALSE)</f>
        <v/>
      </c>
      <c r="Q100" s="1" t="str">
        <f>VLOOKUP($A100,$A$38:$S$67,17,FALSE)</f>
        <v/>
      </c>
      <c r="R100" s="1" t="str">
        <f>VLOOKUP($A100,$A$38:$S$67,18,FALSE)</f>
        <v/>
      </c>
      <c r="S100" s="1" t="str">
        <f>VLOOKUP($A100,$A$38:$S$67,19,FALSE)</f>
        <v/>
      </c>
      <c r="T100">
        <f t="shared" si="47"/>
        <v>0</v>
      </c>
      <c r="U100" s="10">
        <f t="shared" si="48"/>
        <v>0</v>
      </c>
    </row>
    <row r="101" spans="1:23" s="2" customFormat="1" x14ac:dyDescent="0.25">
      <c r="A101" t="s">
        <v>49</v>
      </c>
      <c r="B101" s="6"/>
      <c r="C101" s="6"/>
      <c r="D101" s="1" t="str">
        <f>VLOOKUP($A101,$A$38:$S$67,4,FALSE)</f>
        <v/>
      </c>
      <c r="E101" s="1" t="str">
        <f>VLOOKUP($A101,$A$38:$S$67,5,FALSE)</f>
        <v/>
      </c>
      <c r="F101" s="1" t="str">
        <f>VLOOKUP($A101,$A$38:$S$67,6,FALSE)</f>
        <v/>
      </c>
      <c r="G101" s="1" t="str">
        <f>VLOOKUP($A101,$A$38:$S$67,7,FALSE)</f>
        <v/>
      </c>
      <c r="H101" s="1" t="str">
        <f>VLOOKUP($A101,$A$38:$S$67,8,FALSE)</f>
        <v/>
      </c>
      <c r="I101" s="1" t="str">
        <f>VLOOKUP($A101,$A$38:$S$67,9,FALSE)</f>
        <v/>
      </c>
      <c r="J101" s="1" t="str">
        <f>VLOOKUP($A101,$A$38:$S$67,10,FALSE)</f>
        <v/>
      </c>
      <c r="K101" s="1" t="str">
        <f>VLOOKUP($A101,$A$38:$S$67,11,FALSE)</f>
        <v/>
      </c>
      <c r="L101" s="1" t="str">
        <f>VLOOKUP($A101,$A$38:$S$67,12,FALSE)</f>
        <v/>
      </c>
      <c r="M101" s="1" t="str">
        <f>VLOOKUP($A101,$A$38:$S$67,13,FALSE)</f>
        <v/>
      </c>
      <c r="N101" s="1" t="str">
        <f>VLOOKUP($A101,$A$38:$S$67,14,FALSE)</f>
        <v/>
      </c>
      <c r="O101" s="1" t="str">
        <f>VLOOKUP($A101,$A$38:$S$67,15,FALSE)</f>
        <v/>
      </c>
      <c r="P101" s="1" t="str">
        <f>VLOOKUP($A101,$A$38:$S$67,16,FALSE)</f>
        <v/>
      </c>
      <c r="Q101" s="1" t="str">
        <f>VLOOKUP($A101,$A$38:$S$67,17,FALSE)</f>
        <v/>
      </c>
      <c r="R101" s="1" t="str">
        <f>VLOOKUP($A101,$A$38:$S$67,18,FALSE)</f>
        <v/>
      </c>
      <c r="S101" s="1" t="str">
        <f>VLOOKUP($A101,$A$38:$S$67,19,FALSE)</f>
        <v/>
      </c>
      <c r="T101">
        <f t="shared" si="47"/>
        <v>0</v>
      </c>
      <c r="U101" s="10">
        <f t="shared" si="48"/>
        <v>0</v>
      </c>
    </row>
    <row r="102" spans="1:23" s="3" customFormat="1" x14ac:dyDescent="0.25"/>
    <row r="103" spans="1:23" x14ac:dyDescent="0.25">
      <c r="A103" t="s">
        <v>57</v>
      </c>
      <c r="D103" s="3">
        <v>33</v>
      </c>
      <c r="E103" s="3">
        <v>37</v>
      </c>
      <c r="F103" s="3">
        <v>25</v>
      </c>
      <c r="G103" s="3">
        <v>66</v>
      </c>
      <c r="H103" s="3">
        <v>71</v>
      </c>
      <c r="I103" s="3">
        <v>8</v>
      </c>
      <c r="J103" s="3">
        <v>9</v>
      </c>
      <c r="K103" s="3">
        <v>74</v>
      </c>
      <c r="L103" s="3">
        <v>49</v>
      </c>
      <c r="M103" s="3">
        <v>49</v>
      </c>
      <c r="N103" s="3">
        <v>46</v>
      </c>
      <c r="O103" s="3">
        <v>74</v>
      </c>
      <c r="P103" s="3">
        <v>49</v>
      </c>
      <c r="Q103" s="3">
        <v>37</v>
      </c>
      <c r="R103" s="3">
        <v>109</v>
      </c>
      <c r="S103" s="3">
        <v>92</v>
      </c>
      <c r="T103" s="13">
        <f>MIN(A103:S103)</f>
        <v>8</v>
      </c>
      <c r="U103" s="10">
        <f>MAX(A103:S103)</f>
        <v>109</v>
      </c>
      <c r="V103" s="13">
        <f>AVERAGE(A103:T103)</f>
        <v>49.176470588235297</v>
      </c>
      <c r="W103">
        <f>SUM(D103:S103)</f>
        <v>828</v>
      </c>
    </row>
    <row r="104" spans="1:23" x14ac:dyDescent="0.25">
      <c r="A104" t="s">
        <v>58</v>
      </c>
      <c r="D104" s="14">
        <f>D103</f>
        <v>33</v>
      </c>
      <c r="E104" s="14">
        <f t="shared" ref="E104:O104" si="50">E103</f>
        <v>37</v>
      </c>
      <c r="F104" s="14">
        <v>53</v>
      </c>
      <c r="G104" s="14">
        <f t="shared" si="50"/>
        <v>66</v>
      </c>
      <c r="H104" s="14">
        <f t="shared" si="50"/>
        <v>71</v>
      </c>
      <c r="I104" s="14">
        <v>20</v>
      </c>
      <c r="J104" s="14">
        <f t="shared" si="50"/>
        <v>9</v>
      </c>
      <c r="K104" s="14">
        <v>12</v>
      </c>
      <c r="L104" s="14">
        <f t="shared" si="50"/>
        <v>49</v>
      </c>
      <c r="M104" s="14">
        <f t="shared" si="50"/>
        <v>49</v>
      </c>
      <c r="N104" s="14">
        <f t="shared" si="50"/>
        <v>46</v>
      </c>
      <c r="O104" s="14">
        <f t="shared" si="50"/>
        <v>74</v>
      </c>
      <c r="P104" s="14">
        <v>41</v>
      </c>
      <c r="Q104" s="14">
        <v>44</v>
      </c>
      <c r="R104" s="14">
        <v>42</v>
      </c>
      <c r="S104" s="14">
        <v>78</v>
      </c>
      <c r="T104" s="13">
        <f>MIN(A104:S104)</f>
        <v>9</v>
      </c>
      <c r="U104" s="10">
        <f>MAX(A104:S104)</f>
        <v>78</v>
      </c>
      <c r="V104" s="13">
        <f>AVERAGE(A104:T104)</f>
        <v>43.117647058823529</v>
      </c>
      <c r="W104">
        <f>SUM(D104:S104)</f>
        <v>724</v>
      </c>
    </row>
    <row r="105" spans="1:23" x14ac:dyDescent="0.25">
      <c r="D105">
        <f>D104-D103</f>
        <v>0</v>
      </c>
      <c r="E105">
        <f t="shared" ref="E105:S105" si="51">E104-E103</f>
        <v>0</v>
      </c>
      <c r="F105">
        <f t="shared" si="51"/>
        <v>28</v>
      </c>
      <c r="G105">
        <f t="shared" si="51"/>
        <v>0</v>
      </c>
      <c r="H105">
        <f t="shared" si="51"/>
        <v>0</v>
      </c>
      <c r="I105">
        <f t="shared" si="51"/>
        <v>12</v>
      </c>
      <c r="J105">
        <f t="shared" si="51"/>
        <v>0</v>
      </c>
      <c r="K105">
        <f t="shared" si="51"/>
        <v>-62</v>
      </c>
      <c r="L105">
        <f t="shared" si="51"/>
        <v>0</v>
      </c>
      <c r="M105">
        <f t="shared" si="51"/>
        <v>0</v>
      </c>
      <c r="N105">
        <f t="shared" si="51"/>
        <v>0</v>
      </c>
      <c r="O105">
        <f t="shared" si="51"/>
        <v>0</v>
      </c>
      <c r="P105">
        <f t="shared" si="51"/>
        <v>-8</v>
      </c>
      <c r="Q105">
        <f t="shared" si="51"/>
        <v>7</v>
      </c>
      <c r="R105">
        <f t="shared" si="51"/>
        <v>-67</v>
      </c>
      <c r="S105">
        <f t="shared" si="51"/>
        <v>-14</v>
      </c>
    </row>
    <row r="107" spans="1:23" x14ac:dyDescent="0.25">
      <c r="D107">
        <f t="shared" ref="D107:S107" si="52">COUNTIF(D72:D101,"&lt; 75")</f>
        <v>5</v>
      </c>
      <c r="E107">
        <f t="shared" si="52"/>
        <v>5</v>
      </c>
      <c r="F107">
        <f t="shared" si="52"/>
        <v>6</v>
      </c>
      <c r="G107">
        <f t="shared" si="52"/>
        <v>7</v>
      </c>
      <c r="H107">
        <f t="shared" si="52"/>
        <v>3</v>
      </c>
      <c r="I107">
        <f t="shared" si="52"/>
        <v>7</v>
      </c>
      <c r="J107">
        <f t="shared" si="52"/>
        <v>3</v>
      </c>
      <c r="K107">
        <f t="shared" si="52"/>
        <v>3</v>
      </c>
      <c r="L107">
        <f t="shared" si="52"/>
        <v>4</v>
      </c>
      <c r="M107">
        <f t="shared" si="52"/>
        <v>4</v>
      </c>
      <c r="N107">
        <f t="shared" si="52"/>
        <v>5</v>
      </c>
      <c r="O107">
        <f t="shared" si="52"/>
        <v>6</v>
      </c>
      <c r="P107">
        <f t="shared" si="52"/>
        <v>3</v>
      </c>
      <c r="Q107">
        <f t="shared" si="52"/>
        <v>6</v>
      </c>
      <c r="R107">
        <f t="shared" si="52"/>
        <v>1</v>
      </c>
      <c r="S107">
        <f t="shared" si="52"/>
        <v>6</v>
      </c>
    </row>
  </sheetData>
  <autoFilter ref="A71:U71" xr:uid="{3176254B-1DB6-41CD-B7A1-887B0C11B426}">
    <sortState xmlns:xlrd2="http://schemas.microsoft.com/office/spreadsheetml/2017/richdata2" ref="A72:U101">
      <sortCondition descending="1" ref="U71"/>
    </sortState>
  </autoFilter>
  <conditionalFormatting sqref="B72:C90">
    <cfRule type="colorScale" priority="8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91:C101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:S2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S3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S4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S5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S6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S7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S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S9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S10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S11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S12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S13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S14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S15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S1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S17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S1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S1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S2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S2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S2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S2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S2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S2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S2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S2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S2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9:S29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S3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S3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8:S67">
    <cfRule type="colorScale" priority="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72:S10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07:S10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9BE9-50E9-43CF-8C15-E627F9C13756}">
  <dimension ref="A1:W100"/>
  <sheetViews>
    <sheetView topLeftCell="A67" zoomScale="85" zoomScaleNormal="85" workbookViewId="0">
      <selection activeCell="I76" sqref="I76"/>
    </sheetView>
  </sheetViews>
  <sheetFormatPr defaultRowHeight="15" x14ac:dyDescent="0.25"/>
  <cols>
    <col min="1" max="1" width="24.28515625" bestFit="1" customWidth="1"/>
    <col min="2" max="3" width="9.42578125" hidden="1" customWidth="1"/>
    <col min="4" max="10" width="9.42578125" bestFit="1" customWidth="1"/>
    <col min="11" max="17" width="10.42578125" bestFit="1" customWidth="1"/>
    <col min="18" max="18" width="10.7109375" bestFit="1" customWidth="1"/>
    <col min="19" max="19" width="10.42578125" bestFit="1" customWidth="1"/>
    <col min="20" max="20" width="12.85546875" bestFit="1" customWidth="1"/>
    <col min="21" max="21" width="11.5703125" bestFit="1" customWidth="1"/>
  </cols>
  <sheetData>
    <row r="1" spans="1:19" x14ac:dyDescent="0.25"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D2">
        <v>2.2000000000000002</v>
      </c>
      <c r="E2">
        <v>-0.1</v>
      </c>
      <c r="F2">
        <v>6.3</v>
      </c>
      <c r="G2">
        <v>-1.1000000000000001</v>
      </c>
      <c r="H2">
        <v>-6</v>
      </c>
      <c r="J2">
        <v>-1.1000000000000001</v>
      </c>
      <c r="K2">
        <v>-0.1</v>
      </c>
      <c r="L2">
        <v>2.2000000000000002</v>
      </c>
      <c r="M2">
        <v>-0.2</v>
      </c>
      <c r="N2">
        <v>-3</v>
      </c>
      <c r="O2">
        <v>-3.7</v>
      </c>
      <c r="P2">
        <v>-0.1</v>
      </c>
      <c r="Q2">
        <v>0.5</v>
      </c>
      <c r="R2">
        <v>-1</v>
      </c>
      <c r="S2">
        <v>-3.7</v>
      </c>
    </row>
    <row r="3" spans="1:19" x14ac:dyDescent="0.25">
      <c r="A3" t="s">
        <v>20</v>
      </c>
      <c r="D3">
        <v>3.6</v>
      </c>
      <c r="E3">
        <v>-2</v>
      </c>
      <c r="G3">
        <v>-6.6</v>
      </c>
      <c r="H3">
        <v>1.7</v>
      </c>
      <c r="I3">
        <v>3.2</v>
      </c>
      <c r="J3">
        <v>0.8</v>
      </c>
      <c r="K3">
        <v>-1.6</v>
      </c>
      <c r="L3">
        <v>3.6</v>
      </c>
      <c r="M3">
        <v>4.0999999999999996</v>
      </c>
      <c r="N3">
        <v>3.7</v>
      </c>
      <c r="O3">
        <v>-0.6</v>
      </c>
      <c r="P3">
        <v>-3.5</v>
      </c>
      <c r="Q3">
        <v>-0.5</v>
      </c>
      <c r="R3">
        <v>-4.2</v>
      </c>
      <c r="S3">
        <v>4.0999999999999996</v>
      </c>
    </row>
    <row r="4" spans="1:19" x14ac:dyDescent="0.25">
      <c r="A4" t="s">
        <v>21</v>
      </c>
      <c r="D4">
        <v>1.5</v>
      </c>
      <c r="E4">
        <v>2.9</v>
      </c>
      <c r="F4">
        <v>7.7</v>
      </c>
      <c r="G4">
        <v>4.0999999999999996</v>
      </c>
      <c r="I4">
        <v>9.3000000000000007</v>
      </c>
      <c r="J4">
        <v>11.5</v>
      </c>
      <c r="K4">
        <v>5.8</v>
      </c>
      <c r="L4">
        <v>11.5</v>
      </c>
      <c r="M4">
        <v>12</v>
      </c>
      <c r="N4">
        <v>6.8</v>
      </c>
      <c r="O4">
        <v>8.1</v>
      </c>
      <c r="P4">
        <v>6.8</v>
      </c>
      <c r="Q4">
        <v>9.1</v>
      </c>
      <c r="R4">
        <v>1.8</v>
      </c>
      <c r="S4">
        <v>8.1</v>
      </c>
    </row>
    <row r="5" spans="1:19" x14ac:dyDescent="0.25">
      <c r="A5" t="s">
        <v>22</v>
      </c>
      <c r="D5">
        <v>9.8000000000000007</v>
      </c>
      <c r="E5">
        <v>10.7</v>
      </c>
      <c r="F5">
        <v>7.4</v>
      </c>
      <c r="G5">
        <v>6.6</v>
      </c>
      <c r="I5">
        <v>10.199999999999999</v>
      </c>
      <c r="J5">
        <v>1.2</v>
      </c>
      <c r="K5">
        <v>9.8000000000000007</v>
      </c>
      <c r="L5">
        <v>3.1</v>
      </c>
      <c r="M5">
        <v>6</v>
      </c>
      <c r="N5">
        <v>6.4</v>
      </c>
      <c r="O5">
        <v>5.0999999999999996</v>
      </c>
      <c r="P5">
        <v>7.4</v>
      </c>
      <c r="Q5">
        <v>9.8000000000000007</v>
      </c>
      <c r="R5">
        <v>0.6</v>
      </c>
      <c r="S5">
        <v>10.3</v>
      </c>
    </row>
    <row r="6" spans="1:19" x14ac:dyDescent="0.25">
      <c r="A6" t="s">
        <v>23</v>
      </c>
      <c r="D6">
        <v>-3.6</v>
      </c>
      <c r="E6">
        <v>-2.8</v>
      </c>
      <c r="F6">
        <v>-0.4</v>
      </c>
      <c r="G6">
        <v>-5.2</v>
      </c>
      <c r="H6">
        <v>0.1</v>
      </c>
      <c r="I6">
        <v>-10.199999999999999</v>
      </c>
      <c r="J6">
        <v>-10.1</v>
      </c>
      <c r="K6">
        <v>0.5</v>
      </c>
      <c r="L6">
        <v>-3.6</v>
      </c>
      <c r="M6">
        <v>-1.9</v>
      </c>
      <c r="N6">
        <v>-7.8</v>
      </c>
      <c r="P6">
        <v>0.5</v>
      </c>
      <c r="Q6">
        <v>-7.1</v>
      </c>
      <c r="R6">
        <v>-4.2</v>
      </c>
      <c r="S6">
        <v>-7.1</v>
      </c>
    </row>
    <row r="7" spans="1:19" x14ac:dyDescent="0.25">
      <c r="A7" t="s">
        <v>24</v>
      </c>
      <c r="D7">
        <v>-2.6</v>
      </c>
      <c r="E7">
        <v>-0.6</v>
      </c>
      <c r="G7">
        <v>-3</v>
      </c>
      <c r="H7">
        <v>3.1</v>
      </c>
      <c r="I7">
        <v>-9.3000000000000007</v>
      </c>
      <c r="J7">
        <v>-2.5</v>
      </c>
      <c r="K7">
        <v>1.2</v>
      </c>
      <c r="L7">
        <v>-3.5</v>
      </c>
      <c r="M7">
        <v>-1.2</v>
      </c>
      <c r="N7">
        <v>-7</v>
      </c>
      <c r="O7">
        <v>-7.5</v>
      </c>
      <c r="P7">
        <v>2.2000000000000002</v>
      </c>
      <c r="Q7">
        <v>-7.5</v>
      </c>
      <c r="R7">
        <v>0.7</v>
      </c>
      <c r="S7">
        <v>-7.8</v>
      </c>
    </row>
    <row r="8" spans="1:19" x14ac:dyDescent="0.25">
      <c r="A8" t="s">
        <v>25</v>
      </c>
      <c r="D8">
        <v>-1</v>
      </c>
      <c r="E8">
        <v>-1.8</v>
      </c>
      <c r="F8">
        <v>-5.3</v>
      </c>
      <c r="G8">
        <v>-5</v>
      </c>
      <c r="H8">
        <v>1.3</v>
      </c>
      <c r="I8">
        <v>5.2</v>
      </c>
      <c r="J8">
        <v>2.5</v>
      </c>
      <c r="L8">
        <v>1.3</v>
      </c>
      <c r="M8">
        <v>2.2999999999999998</v>
      </c>
      <c r="N8">
        <v>-6.8</v>
      </c>
      <c r="O8">
        <v>-5.0999999999999996</v>
      </c>
      <c r="P8">
        <v>-6.8</v>
      </c>
      <c r="Q8">
        <v>4.7</v>
      </c>
      <c r="R8">
        <v>1</v>
      </c>
      <c r="S8">
        <v>4.7</v>
      </c>
    </row>
    <row r="9" spans="1:19" x14ac:dyDescent="0.25">
      <c r="A9" t="s">
        <v>26</v>
      </c>
      <c r="D9">
        <v>-9.6999999999999993</v>
      </c>
      <c r="E9">
        <v>-10</v>
      </c>
      <c r="F9">
        <v>-5.7</v>
      </c>
      <c r="G9">
        <v>-3.4</v>
      </c>
      <c r="H9">
        <v>0</v>
      </c>
      <c r="I9">
        <v>-2.4</v>
      </c>
      <c r="K9">
        <v>0.5</v>
      </c>
      <c r="L9">
        <v>-11.5</v>
      </c>
      <c r="M9">
        <v>-2.8</v>
      </c>
      <c r="N9">
        <v>-1.5</v>
      </c>
      <c r="O9">
        <v>2.6</v>
      </c>
      <c r="P9">
        <v>-2.2000000000000002</v>
      </c>
      <c r="Q9">
        <v>-9.8000000000000007</v>
      </c>
      <c r="R9">
        <v>-3.4</v>
      </c>
      <c r="S9">
        <v>-4.7</v>
      </c>
    </row>
    <row r="10" spans="1:19" x14ac:dyDescent="0.25">
      <c r="A10" t="s">
        <v>27</v>
      </c>
      <c r="D10">
        <v>2.6</v>
      </c>
      <c r="E10">
        <v>-4.9000000000000004</v>
      </c>
      <c r="F10">
        <v>5.3</v>
      </c>
      <c r="G10">
        <v>5.2</v>
      </c>
      <c r="H10">
        <v>-0.4</v>
      </c>
      <c r="I10">
        <v>-1.7</v>
      </c>
      <c r="J10">
        <v>1.1000000000000001</v>
      </c>
      <c r="L10">
        <v>2</v>
      </c>
      <c r="M10">
        <v>-4.4000000000000004</v>
      </c>
      <c r="N10">
        <v>-3.8</v>
      </c>
      <c r="O10">
        <v>-5.2</v>
      </c>
      <c r="P10">
        <v>-0.9</v>
      </c>
      <c r="Q10">
        <v>-3.3</v>
      </c>
      <c r="R10">
        <v>-0.4</v>
      </c>
      <c r="S10">
        <v>3.8</v>
      </c>
    </row>
    <row r="11" spans="1:19" x14ac:dyDescent="0.25">
      <c r="A11" t="s">
        <v>29</v>
      </c>
      <c r="D11">
        <v>-1.5</v>
      </c>
      <c r="E11">
        <v>10</v>
      </c>
      <c r="F11">
        <v>5.3</v>
      </c>
      <c r="G11">
        <v>1.4</v>
      </c>
      <c r="H11">
        <v>3.3</v>
      </c>
      <c r="J11">
        <v>4.3</v>
      </c>
      <c r="K11">
        <v>4.8</v>
      </c>
      <c r="L11">
        <v>0.8</v>
      </c>
      <c r="M11">
        <v>9</v>
      </c>
      <c r="N11">
        <v>0.3</v>
      </c>
      <c r="O11">
        <v>5.2</v>
      </c>
      <c r="P11">
        <v>2.6</v>
      </c>
      <c r="Q11">
        <v>6.6</v>
      </c>
      <c r="R11">
        <v>4.3</v>
      </c>
      <c r="S11">
        <v>7.8</v>
      </c>
    </row>
    <row r="12" spans="1:19" x14ac:dyDescent="0.25">
      <c r="A12" t="s">
        <v>30</v>
      </c>
      <c r="D12">
        <v>9.6999999999999993</v>
      </c>
      <c r="E12">
        <v>4.9000000000000004</v>
      </c>
      <c r="G12">
        <v>5</v>
      </c>
      <c r="H12">
        <v>6</v>
      </c>
      <c r="I12">
        <v>6.3</v>
      </c>
      <c r="J12">
        <v>10.1</v>
      </c>
      <c r="K12">
        <v>0.5</v>
      </c>
      <c r="L12">
        <v>8.6999999999999993</v>
      </c>
      <c r="M12">
        <v>4</v>
      </c>
      <c r="N12">
        <v>-0.3</v>
      </c>
      <c r="O12">
        <v>7.5</v>
      </c>
      <c r="P12">
        <v>3.2</v>
      </c>
      <c r="Q12">
        <v>7.5</v>
      </c>
      <c r="R12">
        <v>-1.8</v>
      </c>
      <c r="S12">
        <v>4</v>
      </c>
    </row>
    <row r="13" spans="1:19" x14ac:dyDescent="0.25">
      <c r="A13" t="s">
        <v>31</v>
      </c>
      <c r="D13">
        <v>-0.1</v>
      </c>
      <c r="E13">
        <v>6.4</v>
      </c>
      <c r="F13">
        <v>-7.7</v>
      </c>
      <c r="H13">
        <v>0</v>
      </c>
      <c r="I13">
        <v>2.2999999999999998</v>
      </c>
      <c r="J13">
        <v>-2.7</v>
      </c>
      <c r="K13">
        <v>-0.1</v>
      </c>
      <c r="L13">
        <v>6.4</v>
      </c>
      <c r="M13">
        <v>-6</v>
      </c>
      <c r="N13">
        <v>-1</v>
      </c>
      <c r="O13">
        <v>-4.8</v>
      </c>
      <c r="P13">
        <v>0.1</v>
      </c>
      <c r="Q13">
        <v>1</v>
      </c>
      <c r="R13">
        <v>-4.3</v>
      </c>
      <c r="S13">
        <v>-1</v>
      </c>
    </row>
    <row r="14" spans="1:19" x14ac:dyDescent="0.25">
      <c r="A14" t="s">
        <v>32</v>
      </c>
      <c r="D14">
        <v>7.4</v>
      </c>
      <c r="E14">
        <v>-2.6</v>
      </c>
      <c r="F14">
        <v>2</v>
      </c>
      <c r="G14">
        <v>1.1000000000000001</v>
      </c>
      <c r="H14">
        <v>-3.3</v>
      </c>
      <c r="I14">
        <v>7.4</v>
      </c>
      <c r="J14">
        <v>1.4</v>
      </c>
      <c r="K14">
        <v>1.6</v>
      </c>
      <c r="M14">
        <v>-3.8</v>
      </c>
      <c r="N14">
        <v>1</v>
      </c>
      <c r="O14">
        <v>0.9</v>
      </c>
      <c r="P14">
        <v>1</v>
      </c>
      <c r="Q14">
        <v>3.3</v>
      </c>
      <c r="R14">
        <v>0.9</v>
      </c>
      <c r="S14">
        <v>1</v>
      </c>
    </row>
    <row r="15" spans="1:19" x14ac:dyDescent="0.25">
      <c r="A15" t="s">
        <v>33</v>
      </c>
      <c r="D15">
        <v>0.1</v>
      </c>
      <c r="E15">
        <v>2.4</v>
      </c>
      <c r="F15">
        <v>-4.7</v>
      </c>
      <c r="G15">
        <v>0.1</v>
      </c>
      <c r="H15">
        <v>-3.5</v>
      </c>
      <c r="J15">
        <v>1.1000000000000001</v>
      </c>
      <c r="K15">
        <v>0.1</v>
      </c>
      <c r="L15">
        <v>-4.2</v>
      </c>
      <c r="M15">
        <v>0.2</v>
      </c>
      <c r="N15">
        <v>6.5</v>
      </c>
      <c r="O15">
        <v>-0.9</v>
      </c>
      <c r="P15">
        <v>4.4000000000000004</v>
      </c>
      <c r="Q15">
        <v>-2.6</v>
      </c>
      <c r="R15">
        <v>-0.9</v>
      </c>
      <c r="S15">
        <v>6.5</v>
      </c>
    </row>
    <row r="16" spans="1:19" x14ac:dyDescent="0.25">
      <c r="A16" t="s">
        <v>34</v>
      </c>
      <c r="D16">
        <v>7.6</v>
      </c>
      <c r="E16">
        <v>-2.9</v>
      </c>
      <c r="F16">
        <v>4.7</v>
      </c>
      <c r="G16">
        <v>-1.4</v>
      </c>
      <c r="H16">
        <v>5.8</v>
      </c>
      <c r="I16">
        <v>3.4</v>
      </c>
      <c r="J16">
        <v>-1.2</v>
      </c>
      <c r="L16">
        <v>2.1</v>
      </c>
      <c r="M16">
        <v>3.8</v>
      </c>
      <c r="N16">
        <v>3.8</v>
      </c>
      <c r="O16">
        <v>4.8</v>
      </c>
      <c r="P16">
        <v>0.5</v>
      </c>
      <c r="Q16">
        <v>11.2</v>
      </c>
      <c r="R16">
        <v>2.1</v>
      </c>
      <c r="S16">
        <v>5.8</v>
      </c>
    </row>
    <row r="17" spans="1:19" x14ac:dyDescent="0.25">
      <c r="A17" t="s">
        <v>35</v>
      </c>
      <c r="D17">
        <v>-2.4</v>
      </c>
      <c r="E17">
        <v>0.6</v>
      </c>
      <c r="F17">
        <v>-2</v>
      </c>
      <c r="G17">
        <v>5.4</v>
      </c>
      <c r="H17">
        <v>-5.8</v>
      </c>
      <c r="J17">
        <v>-1.1000000000000001</v>
      </c>
      <c r="K17">
        <v>-3.7</v>
      </c>
      <c r="L17">
        <v>-2</v>
      </c>
      <c r="M17">
        <v>2.8</v>
      </c>
      <c r="N17">
        <v>-5.3</v>
      </c>
      <c r="O17">
        <v>-3.7</v>
      </c>
      <c r="P17">
        <v>-6.4</v>
      </c>
      <c r="Q17">
        <v>-1</v>
      </c>
      <c r="R17">
        <v>1.8</v>
      </c>
      <c r="S17">
        <v>-5.8</v>
      </c>
    </row>
    <row r="18" spans="1:19" x14ac:dyDescent="0.25">
      <c r="A18" t="s">
        <v>36</v>
      </c>
      <c r="D18">
        <v>1.6</v>
      </c>
      <c r="E18">
        <v>7.1</v>
      </c>
      <c r="F18">
        <v>2.9</v>
      </c>
      <c r="G18">
        <v>8.1</v>
      </c>
      <c r="H18">
        <v>3.3</v>
      </c>
      <c r="I18">
        <v>2.4</v>
      </c>
      <c r="J18">
        <v>10.7</v>
      </c>
      <c r="K18">
        <v>4.7</v>
      </c>
      <c r="L18">
        <v>4.2</v>
      </c>
      <c r="N18">
        <v>5.3</v>
      </c>
      <c r="O18">
        <v>-1.1000000000000001</v>
      </c>
      <c r="P18">
        <v>-0.5</v>
      </c>
      <c r="Q18">
        <v>3.3</v>
      </c>
      <c r="R18">
        <v>4.3</v>
      </c>
      <c r="S18">
        <v>1.6</v>
      </c>
    </row>
    <row r="19" spans="1:19" x14ac:dyDescent="0.25">
      <c r="A19" t="s">
        <v>38</v>
      </c>
      <c r="D19">
        <v>-9.8000000000000007</v>
      </c>
      <c r="E19">
        <v>0.5</v>
      </c>
      <c r="F19">
        <v>0.4</v>
      </c>
      <c r="G19">
        <v>-8.1</v>
      </c>
      <c r="H19">
        <v>0</v>
      </c>
      <c r="I19">
        <v>-3.2</v>
      </c>
      <c r="J19">
        <v>-11.5</v>
      </c>
      <c r="K19">
        <v>-9.8000000000000007</v>
      </c>
      <c r="L19">
        <v>-5.2</v>
      </c>
      <c r="N19">
        <v>0.9</v>
      </c>
      <c r="O19">
        <v>0.5</v>
      </c>
      <c r="P19">
        <v>-3.4</v>
      </c>
      <c r="Q19">
        <v>-4.7</v>
      </c>
      <c r="R19">
        <v>-6.7</v>
      </c>
      <c r="S19">
        <v>-2.4</v>
      </c>
    </row>
    <row r="20" spans="1:19" x14ac:dyDescent="0.25">
      <c r="A20" t="s">
        <v>39</v>
      </c>
      <c r="D20">
        <v>1</v>
      </c>
      <c r="E20">
        <v>2.2999999999999998</v>
      </c>
      <c r="F20">
        <v>5.7</v>
      </c>
      <c r="H20">
        <v>-3.5</v>
      </c>
      <c r="I20">
        <v>-2.4</v>
      </c>
      <c r="J20">
        <v>-4.3</v>
      </c>
      <c r="K20">
        <v>-5.8</v>
      </c>
      <c r="L20">
        <v>3.5</v>
      </c>
      <c r="M20">
        <v>-4</v>
      </c>
      <c r="N20">
        <v>1.9</v>
      </c>
      <c r="O20">
        <v>0.5</v>
      </c>
      <c r="P20">
        <v>0.9</v>
      </c>
      <c r="Q20">
        <v>4.7</v>
      </c>
      <c r="R20">
        <v>-4.3</v>
      </c>
      <c r="S20">
        <v>-4</v>
      </c>
    </row>
    <row r="21" spans="1:19" x14ac:dyDescent="0.25">
      <c r="A21" t="s">
        <v>40</v>
      </c>
      <c r="D21">
        <v>-1</v>
      </c>
      <c r="E21">
        <v>2.8</v>
      </c>
      <c r="F21">
        <v>-7.4</v>
      </c>
      <c r="G21">
        <v>3.3</v>
      </c>
      <c r="H21">
        <v>5</v>
      </c>
      <c r="I21">
        <v>2.4</v>
      </c>
      <c r="J21">
        <v>-0.8</v>
      </c>
      <c r="K21">
        <v>-4.3</v>
      </c>
      <c r="L21">
        <v>2.9</v>
      </c>
      <c r="M21">
        <v>-2.2999999999999998</v>
      </c>
      <c r="N21">
        <v>1.4</v>
      </c>
      <c r="P21">
        <v>-7.4</v>
      </c>
      <c r="Q21">
        <v>-9.1</v>
      </c>
      <c r="R21">
        <v>2.9</v>
      </c>
      <c r="S21">
        <v>2.4</v>
      </c>
    </row>
    <row r="22" spans="1:19" x14ac:dyDescent="0.25">
      <c r="A22" t="s">
        <v>41</v>
      </c>
      <c r="D22">
        <v>-4.7</v>
      </c>
      <c r="E22">
        <v>-10.7</v>
      </c>
      <c r="F22">
        <v>-1.9</v>
      </c>
      <c r="G22">
        <v>-3.3</v>
      </c>
      <c r="H22">
        <v>-3.1</v>
      </c>
      <c r="I22">
        <v>-7.6</v>
      </c>
      <c r="J22">
        <v>-8.3000000000000007</v>
      </c>
      <c r="K22">
        <v>-0.5</v>
      </c>
      <c r="M22">
        <v>-4.0999999999999996</v>
      </c>
      <c r="N22">
        <v>-0.9</v>
      </c>
      <c r="O22">
        <v>-7.6</v>
      </c>
      <c r="P22">
        <v>-0.5</v>
      </c>
      <c r="Q22">
        <v>-0.4</v>
      </c>
      <c r="R22">
        <v>1.7</v>
      </c>
      <c r="S22">
        <v>-4.0999999999999996</v>
      </c>
    </row>
    <row r="23" spans="1:19" x14ac:dyDescent="0.25">
      <c r="A23" t="s">
        <v>42</v>
      </c>
      <c r="D23">
        <v>-7.6</v>
      </c>
      <c r="E23">
        <v>-7.1</v>
      </c>
      <c r="F23">
        <v>1.9</v>
      </c>
      <c r="G23">
        <v>-8.1999999999999993</v>
      </c>
      <c r="H23">
        <v>-5.5</v>
      </c>
      <c r="I23">
        <v>-8.1999999999999993</v>
      </c>
      <c r="J23">
        <v>-0.5</v>
      </c>
      <c r="K23">
        <v>-1.2</v>
      </c>
      <c r="L23">
        <v>-8.6999999999999993</v>
      </c>
      <c r="M23">
        <v>-9</v>
      </c>
      <c r="N23">
        <v>-1.4</v>
      </c>
      <c r="P23">
        <v>-4.2</v>
      </c>
      <c r="Q23">
        <v>-4.7</v>
      </c>
      <c r="R23">
        <v>-1.8</v>
      </c>
      <c r="S23">
        <v>-3.8</v>
      </c>
    </row>
    <row r="24" spans="1:19" x14ac:dyDescent="0.25">
      <c r="A24" t="s">
        <v>43</v>
      </c>
      <c r="D24">
        <v>-7.2</v>
      </c>
      <c r="E24">
        <v>-0.5</v>
      </c>
      <c r="F24">
        <v>-5.3</v>
      </c>
      <c r="G24">
        <v>-7</v>
      </c>
      <c r="H24">
        <v>-0.1</v>
      </c>
      <c r="I24">
        <v>-5.2</v>
      </c>
      <c r="K24">
        <v>-0.5</v>
      </c>
      <c r="L24">
        <v>-2.9</v>
      </c>
      <c r="M24">
        <v>-12</v>
      </c>
      <c r="N24">
        <v>-3.7</v>
      </c>
      <c r="O24">
        <v>-0.5</v>
      </c>
      <c r="P24">
        <v>-4.4000000000000004</v>
      </c>
      <c r="Q24">
        <v>0.4</v>
      </c>
      <c r="R24">
        <v>-2.9</v>
      </c>
      <c r="S24">
        <v>-10.3</v>
      </c>
    </row>
    <row r="25" spans="1:19" x14ac:dyDescent="0.25">
      <c r="A25" t="s">
        <v>44</v>
      </c>
      <c r="D25">
        <v>1.8</v>
      </c>
      <c r="E25">
        <v>2.5</v>
      </c>
      <c r="F25">
        <v>2.7</v>
      </c>
      <c r="G25">
        <v>8.1999999999999993</v>
      </c>
      <c r="H25">
        <v>3.5</v>
      </c>
      <c r="I25">
        <v>8.1999999999999993</v>
      </c>
      <c r="K25">
        <v>-0.5</v>
      </c>
      <c r="L25">
        <v>-0.8</v>
      </c>
      <c r="M25">
        <v>4.4000000000000004</v>
      </c>
      <c r="N25">
        <v>7</v>
      </c>
      <c r="O25">
        <v>1.1000000000000001</v>
      </c>
      <c r="P25">
        <v>6.4</v>
      </c>
      <c r="Q25">
        <v>4</v>
      </c>
      <c r="R25">
        <v>-0.6</v>
      </c>
      <c r="S25">
        <v>4</v>
      </c>
    </row>
    <row r="26" spans="1:19" x14ac:dyDescent="0.25">
      <c r="A26" t="s">
        <v>45</v>
      </c>
      <c r="D26">
        <v>1</v>
      </c>
      <c r="E26">
        <v>-2.2999999999999998</v>
      </c>
      <c r="G26">
        <v>3.4</v>
      </c>
      <c r="H26">
        <v>-1.3</v>
      </c>
      <c r="I26">
        <v>-6.3</v>
      </c>
      <c r="J26">
        <v>-1.4</v>
      </c>
      <c r="K26">
        <v>-4.7</v>
      </c>
      <c r="L26">
        <v>-1.3</v>
      </c>
      <c r="M26">
        <v>1.2</v>
      </c>
      <c r="N26">
        <v>-6.4</v>
      </c>
      <c r="O26">
        <v>-8.1</v>
      </c>
      <c r="P26">
        <v>3.4</v>
      </c>
      <c r="Q26">
        <v>-6.6</v>
      </c>
      <c r="R26">
        <v>3.4</v>
      </c>
      <c r="S26">
        <v>-8.1</v>
      </c>
    </row>
    <row r="27" spans="1:19" x14ac:dyDescent="0.25">
      <c r="A27" t="s">
        <v>46</v>
      </c>
      <c r="D27">
        <v>-2.2000000000000002</v>
      </c>
      <c r="E27">
        <v>-2.4</v>
      </c>
      <c r="F27">
        <v>-5.9</v>
      </c>
      <c r="G27">
        <v>-5.2</v>
      </c>
      <c r="H27">
        <v>-1.7</v>
      </c>
      <c r="I27">
        <v>-2.2999999999999998</v>
      </c>
      <c r="J27">
        <v>0.5</v>
      </c>
      <c r="K27">
        <v>-5.9</v>
      </c>
      <c r="L27">
        <v>-2.2000000000000002</v>
      </c>
      <c r="M27">
        <v>1.9</v>
      </c>
      <c r="N27">
        <v>1.5</v>
      </c>
      <c r="P27">
        <v>4.0999999999999996</v>
      </c>
      <c r="Q27">
        <v>-3.3</v>
      </c>
      <c r="R27">
        <v>-0.7</v>
      </c>
      <c r="S27">
        <v>-2.2999999999999998</v>
      </c>
    </row>
    <row r="28" spans="1:19" x14ac:dyDescent="0.25">
      <c r="A28" t="s">
        <v>47</v>
      </c>
      <c r="D28">
        <v>4.7</v>
      </c>
      <c r="E28">
        <v>0.1</v>
      </c>
      <c r="F28">
        <v>-2.9</v>
      </c>
      <c r="G28">
        <v>-0.1</v>
      </c>
      <c r="H28">
        <v>0</v>
      </c>
      <c r="J28">
        <v>-1.4</v>
      </c>
      <c r="K28">
        <v>0.1</v>
      </c>
      <c r="L28">
        <v>-3.6</v>
      </c>
      <c r="M28">
        <v>6.4</v>
      </c>
      <c r="N28">
        <v>-1.9</v>
      </c>
      <c r="O28">
        <v>0.6</v>
      </c>
      <c r="P28">
        <v>-1</v>
      </c>
      <c r="Q28">
        <v>-3.6</v>
      </c>
      <c r="R28">
        <v>4.2</v>
      </c>
      <c r="S28">
        <v>2.2999999999999998</v>
      </c>
    </row>
    <row r="29" spans="1:19" x14ac:dyDescent="0.25">
      <c r="A29" t="s">
        <v>48</v>
      </c>
      <c r="D29">
        <v>7.2</v>
      </c>
      <c r="E29">
        <v>-2.5</v>
      </c>
      <c r="F29">
        <v>2.9</v>
      </c>
      <c r="G29">
        <v>5.2</v>
      </c>
      <c r="H29">
        <v>-3.3</v>
      </c>
      <c r="I29">
        <v>7.6</v>
      </c>
      <c r="K29">
        <v>4.3</v>
      </c>
      <c r="L29">
        <v>-3.1</v>
      </c>
      <c r="M29">
        <v>-0.7</v>
      </c>
      <c r="N29">
        <v>3</v>
      </c>
      <c r="O29">
        <v>7.6</v>
      </c>
      <c r="P29">
        <v>3.5</v>
      </c>
      <c r="Q29">
        <v>7.1</v>
      </c>
      <c r="R29">
        <v>6.7</v>
      </c>
      <c r="S29">
        <v>7.1</v>
      </c>
    </row>
    <row r="30" spans="1:19" x14ac:dyDescent="0.25">
      <c r="A30" t="s">
        <v>49</v>
      </c>
      <c r="D30">
        <v>-7.4</v>
      </c>
      <c r="E30">
        <v>-6.4</v>
      </c>
      <c r="F30">
        <v>-6.3</v>
      </c>
      <c r="G30">
        <v>-5.4</v>
      </c>
      <c r="H30">
        <v>-5</v>
      </c>
      <c r="I30">
        <v>-7.4</v>
      </c>
      <c r="J30">
        <v>-10.7</v>
      </c>
      <c r="L30">
        <v>-6.4</v>
      </c>
      <c r="M30">
        <v>-6.4</v>
      </c>
      <c r="N30">
        <v>-6.5</v>
      </c>
      <c r="O30">
        <v>-2.6</v>
      </c>
      <c r="P30">
        <v>-4.0999999999999996</v>
      </c>
      <c r="Q30">
        <v>-11.2</v>
      </c>
      <c r="R30">
        <v>-1.7</v>
      </c>
      <c r="S30">
        <v>-6.5</v>
      </c>
    </row>
    <row r="31" spans="1:19" x14ac:dyDescent="0.25">
      <c r="A31" t="s">
        <v>50</v>
      </c>
      <c r="D31">
        <v>2.4</v>
      </c>
      <c r="E31">
        <v>2</v>
      </c>
      <c r="F31">
        <v>-2.9</v>
      </c>
      <c r="G31">
        <v>3</v>
      </c>
      <c r="H31">
        <v>0.4</v>
      </c>
      <c r="I31">
        <v>-3.4</v>
      </c>
      <c r="J31">
        <v>1.4</v>
      </c>
      <c r="K31">
        <v>-4.8</v>
      </c>
      <c r="L31">
        <v>5.2</v>
      </c>
      <c r="N31">
        <v>-1.3</v>
      </c>
      <c r="O31">
        <v>-0.5</v>
      </c>
      <c r="P31">
        <v>4.2</v>
      </c>
      <c r="Q31">
        <v>-4</v>
      </c>
      <c r="R31">
        <v>0.4</v>
      </c>
      <c r="S31">
        <v>-4</v>
      </c>
    </row>
    <row r="35" spans="1:19" x14ac:dyDescent="0.25">
      <c r="A35" t="s">
        <v>0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9</v>
      </c>
      <c r="K35" t="s">
        <v>10</v>
      </c>
      <c r="L35" t="s">
        <v>11</v>
      </c>
      <c r="M35" t="s">
        <v>12</v>
      </c>
      <c r="N35" t="s">
        <v>13</v>
      </c>
      <c r="O35" t="s">
        <v>14</v>
      </c>
      <c r="P35" t="s">
        <v>15</v>
      </c>
      <c r="Q35" t="s">
        <v>16</v>
      </c>
      <c r="R35" t="s">
        <v>17</v>
      </c>
      <c r="S35" t="s">
        <v>18</v>
      </c>
    </row>
    <row r="36" spans="1:19" x14ac:dyDescent="0.25">
      <c r="A36" t="s">
        <v>19</v>
      </c>
      <c r="B36" s="1"/>
      <c r="C36" s="1"/>
      <c r="D36" s="1" t="str">
        <f>IFERROR(IF(_xlfn.RANK.AVG(D2,$D$2:$S$31,0)&gt;125,"",_xlfn.RANK.AVG(D2,$D$2:$S$32,0)),"")</f>
        <v/>
      </c>
      <c r="E36" s="1" t="str">
        <f t="shared" ref="E36:S36" si="0">IFERROR(IF(_xlfn.RANK.AVG(E2,$B$2:$S$31,0)&gt;125,"",_xlfn.RANK.AVG(E2,$B$2:$S$31,0)),"")</f>
        <v/>
      </c>
      <c r="F36" s="1">
        <f t="shared" si="0"/>
        <v>52.5</v>
      </c>
      <c r="G36" s="1" t="str">
        <f t="shared" si="0"/>
        <v/>
      </c>
      <c r="H36" s="1" t="str">
        <f t="shared" si="0"/>
        <v/>
      </c>
      <c r="I36" s="1" t="str">
        <f t="shared" si="0"/>
        <v/>
      </c>
      <c r="J36" s="1" t="str">
        <f t="shared" si="0"/>
        <v/>
      </c>
      <c r="K36" s="1" t="str">
        <f t="shared" si="0"/>
        <v/>
      </c>
      <c r="L36" s="1" t="str">
        <f t="shared" si="0"/>
        <v/>
      </c>
      <c r="M36" s="1" t="str">
        <f t="shared" si="0"/>
        <v/>
      </c>
      <c r="N36" s="1" t="str">
        <f t="shared" si="0"/>
        <v/>
      </c>
      <c r="O36" s="1" t="str">
        <f t="shared" si="0"/>
        <v/>
      </c>
      <c r="P36" s="1" t="str">
        <f t="shared" si="0"/>
        <v/>
      </c>
      <c r="Q36" s="1" t="str">
        <f t="shared" si="0"/>
        <v/>
      </c>
      <c r="R36" s="1" t="str">
        <f t="shared" si="0"/>
        <v/>
      </c>
      <c r="S36" s="1" t="str">
        <f t="shared" si="0"/>
        <v/>
      </c>
    </row>
    <row r="37" spans="1:19" x14ac:dyDescent="0.25">
      <c r="A37" t="s">
        <v>20</v>
      </c>
      <c r="B37" s="1"/>
      <c r="C37" s="1"/>
      <c r="D37" s="1">
        <f t="shared" ref="D37:D65" si="1">IFERROR(IF(_xlfn.RANK.AVG(D3,$B$2:$S$31,0)&gt;125,"",_xlfn.RANK.AVG(D3,$B$2:$S$31,0)),"")</f>
        <v>102.5</v>
      </c>
      <c r="E37" s="1" t="str">
        <f t="shared" ref="E37:S37" si="2">IFERROR(IF(_xlfn.RANK.AVG(E3,$B$2:$S$31,0)&gt;125,"",_xlfn.RANK.AVG(E3,$B$2:$S$31,0)),"")</f>
        <v/>
      </c>
      <c r="F37" s="1" t="str">
        <f t="shared" si="2"/>
        <v/>
      </c>
      <c r="G37" s="1" t="str">
        <f t="shared" si="2"/>
        <v/>
      </c>
      <c r="H37" s="1" t="str">
        <f t="shared" si="2"/>
        <v/>
      </c>
      <c r="I37" s="1">
        <f t="shared" si="2"/>
        <v>116.5</v>
      </c>
      <c r="J37" s="1" t="str">
        <f t="shared" si="2"/>
        <v/>
      </c>
      <c r="K37" s="1" t="str">
        <f t="shared" si="2"/>
        <v/>
      </c>
      <c r="L37" s="1">
        <f t="shared" si="2"/>
        <v>102.5</v>
      </c>
      <c r="M37" s="1">
        <f t="shared" si="2"/>
        <v>91.5</v>
      </c>
      <c r="N37" s="1">
        <f t="shared" si="2"/>
        <v>101</v>
      </c>
      <c r="O37" s="1" t="str">
        <f t="shared" si="2"/>
        <v/>
      </c>
      <c r="P37" s="1" t="str">
        <f t="shared" si="2"/>
        <v/>
      </c>
      <c r="Q37" s="1" t="str">
        <f t="shared" si="2"/>
        <v/>
      </c>
      <c r="R37" s="1" t="str">
        <f t="shared" si="2"/>
        <v/>
      </c>
      <c r="S37" s="1">
        <f t="shared" si="2"/>
        <v>91.5</v>
      </c>
    </row>
    <row r="38" spans="1:19" x14ac:dyDescent="0.25">
      <c r="A38" t="s">
        <v>21</v>
      </c>
      <c r="B38" s="1"/>
      <c r="C38" s="1"/>
      <c r="D38" s="1" t="str">
        <f t="shared" si="1"/>
        <v/>
      </c>
      <c r="E38" s="1">
        <f t="shared" ref="E38:S38" si="3">IFERROR(IF(_xlfn.RANK.AVG(E4,$B$2:$S$31,0)&gt;125,"",_xlfn.RANK.AVG(E4,$B$2:$S$31,0)),"")</f>
        <v>124</v>
      </c>
      <c r="F38" s="1">
        <f t="shared" si="3"/>
        <v>25</v>
      </c>
      <c r="G38" s="1">
        <f t="shared" si="3"/>
        <v>91.5</v>
      </c>
      <c r="H38" s="1" t="str">
        <f t="shared" si="3"/>
        <v/>
      </c>
      <c r="I38" s="1">
        <f t="shared" si="3"/>
        <v>15</v>
      </c>
      <c r="J38" s="1">
        <f t="shared" si="3"/>
        <v>2.5</v>
      </c>
      <c r="K38" s="1">
        <f t="shared" si="3"/>
        <v>57</v>
      </c>
      <c r="L38" s="1">
        <f t="shared" si="3"/>
        <v>2.5</v>
      </c>
      <c r="M38" s="1">
        <f t="shared" si="3"/>
        <v>1</v>
      </c>
      <c r="N38" s="1">
        <f t="shared" si="3"/>
        <v>40.5</v>
      </c>
      <c r="O38" s="1">
        <f t="shared" si="3"/>
        <v>22</v>
      </c>
      <c r="P38" s="1">
        <f t="shared" si="3"/>
        <v>40.5</v>
      </c>
      <c r="Q38" s="1">
        <f t="shared" si="3"/>
        <v>16</v>
      </c>
      <c r="R38" s="1" t="str">
        <f t="shared" si="3"/>
        <v/>
      </c>
      <c r="S38" s="1">
        <f t="shared" si="3"/>
        <v>22</v>
      </c>
    </row>
    <row r="39" spans="1:19" x14ac:dyDescent="0.25">
      <c r="A39" t="s">
        <v>22</v>
      </c>
      <c r="B39" s="1"/>
      <c r="C39" s="1"/>
      <c r="D39" s="1">
        <f t="shared" si="1"/>
        <v>12</v>
      </c>
      <c r="E39" s="1">
        <f t="shared" ref="E39:S39" si="4">IFERROR(IF(_xlfn.RANK.AVG(E5,$B$2:$S$31,0)&gt;125,"",_xlfn.RANK.AVG(E5,$B$2:$S$31,0)),"")</f>
        <v>5.5</v>
      </c>
      <c r="F39" s="1">
        <f t="shared" si="4"/>
        <v>32.5</v>
      </c>
      <c r="G39" s="1">
        <f t="shared" si="4"/>
        <v>43.5</v>
      </c>
      <c r="H39" s="1" t="str">
        <f t="shared" si="4"/>
        <v/>
      </c>
      <c r="I39" s="1">
        <f t="shared" si="4"/>
        <v>8</v>
      </c>
      <c r="J39" s="1" t="str">
        <f t="shared" si="4"/>
        <v/>
      </c>
      <c r="K39" s="1">
        <f t="shared" si="4"/>
        <v>12</v>
      </c>
      <c r="L39" s="1">
        <f t="shared" si="4"/>
        <v>118.5</v>
      </c>
      <c r="M39" s="1">
        <f t="shared" si="4"/>
        <v>54.5</v>
      </c>
      <c r="N39" s="1">
        <f t="shared" si="4"/>
        <v>49</v>
      </c>
      <c r="O39" s="1">
        <f t="shared" si="4"/>
        <v>69</v>
      </c>
      <c r="P39" s="1">
        <f t="shared" si="4"/>
        <v>32.5</v>
      </c>
      <c r="Q39" s="1">
        <f t="shared" si="4"/>
        <v>12</v>
      </c>
      <c r="R39" s="1" t="str">
        <f t="shared" si="4"/>
        <v/>
      </c>
      <c r="S39" s="1">
        <f t="shared" si="4"/>
        <v>7</v>
      </c>
    </row>
    <row r="40" spans="1:19" x14ac:dyDescent="0.25">
      <c r="A40" t="s">
        <v>23</v>
      </c>
      <c r="B40" s="1"/>
      <c r="C40" s="1"/>
      <c r="D40" s="1" t="str">
        <f t="shared" si="1"/>
        <v/>
      </c>
      <c r="E40" s="1" t="str">
        <f t="shared" ref="E40:S40" si="5">IFERROR(IF(_xlfn.RANK.AVG(E6,$B$2:$S$31,0)&gt;125,"",_xlfn.RANK.AVG(E6,$B$2:$S$31,0)),"")</f>
        <v/>
      </c>
      <c r="F40" s="1" t="str">
        <f t="shared" si="5"/>
        <v/>
      </c>
      <c r="G40" s="1" t="str">
        <f t="shared" si="5"/>
        <v/>
      </c>
      <c r="H40" s="1" t="str">
        <f t="shared" si="5"/>
        <v/>
      </c>
      <c r="I40" s="1" t="str">
        <f t="shared" si="5"/>
        <v/>
      </c>
      <c r="J40" s="1" t="str">
        <f t="shared" si="5"/>
        <v/>
      </c>
      <c r="K40" s="1" t="str">
        <f t="shared" si="5"/>
        <v/>
      </c>
      <c r="L40" s="1" t="str">
        <f t="shared" si="5"/>
        <v/>
      </c>
      <c r="M40" s="1" t="str">
        <f t="shared" si="5"/>
        <v/>
      </c>
      <c r="N40" s="1" t="str">
        <f t="shared" si="5"/>
        <v/>
      </c>
      <c r="O40" s="1" t="str">
        <f t="shared" si="5"/>
        <v/>
      </c>
      <c r="P40" s="1" t="str">
        <f t="shared" si="5"/>
        <v/>
      </c>
      <c r="Q40" s="1" t="str">
        <f t="shared" si="5"/>
        <v/>
      </c>
      <c r="R40" s="1" t="str">
        <f t="shared" si="5"/>
        <v/>
      </c>
      <c r="S40" s="1" t="str">
        <f t="shared" si="5"/>
        <v/>
      </c>
    </row>
    <row r="41" spans="1:19" x14ac:dyDescent="0.25">
      <c r="A41" t="s">
        <v>24</v>
      </c>
      <c r="B41" s="1"/>
      <c r="C41" s="1"/>
      <c r="D41" s="1" t="str">
        <f t="shared" si="1"/>
        <v/>
      </c>
      <c r="E41" s="1" t="str">
        <f t="shared" ref="E41:S41" si="6">IFERROR(IF(_xlfn.RANK.AVG(E7,$B$2:$S$31,0)&gt;125,"",_xlfn.RANK.AVG(E7,$B$2:$S$31,0)),"")</f>
        <v/>
      </c>
      <c r="F41" s="1" t="str">
        <f t="shared" si="6"/>
        <v/>
      </c>
      <c r="G41" s="1" t="str">
        <f t="shared" si="6"/>
        <v/>
      </c>
      <c r="H41" s="1">
        <f t="shared" si="6"/>
        <v>118.5</v>
      </c>
      <c r="I41" s="1" t="str">
        <f t="shared" si="6"/>
        <v/>
      </c>
      <c r="J41" s="1" t="str">
        <f t="shared" si="6"/>
        <v/>
      </c>
      <c r="K41" s="1" t="str">
        <f t="shared" si="6"/>
        <v/>
      </c>
      <c r="L41" s="1" t="str">
        <f t="shared" si="6"/>
        <v/>
      </c>
      <c r="M41" s="1" t="str">
        <f t="shared" si="6"/>
        <v/>
      </c>
      <c r="N41" s="1" t="str">
        <f t="shared" si="6"/>
        <v/>
      </c>
      <c r="O41" s="1" t="str">
        <f t="shared" si="6"/>
        <v/>
      </c>
      <c r="P41" s="1" t="str">
        <f t="shared" si="6"/>
        <v/>
      </c>
      <c r="Q41" s="1" t="str">
        <f t="shared" si="6"/>
        <v/>
      </c>
      <c r="R41" s="1" t="str">
        <f t="shared" si="6"/>
        <v/>
      </c>
      <c r="S41" s="1" t="str">
        <f t="shared" si="6"/>
        <v/>
      </c>
    </row>
    <row r="42" spans="1:19" x14ac:dyDescent="0.25">
      <c r="A42" t="s">
        <v>25</v>
      </c>
      <c r="B42" s="1"/>
      <c r="C42" s="1"/>
      <c r="D42" s="1" t="str">
        <f t="shared" si="1"/>
        <v/>
      </c>
      <c r="E42" s="1" t="str">
        <f t="shared" ref="E42:S42" si="7">IFERROR(IF(_xlfn.RANK.AVG(E8,$B$2:$S$31,0)&gt;125,"",_xlfn.RANK.AVG(E8,$B$2:$S$31,0)),"")</f>
        <v/>
      </c>
      <c r="F42" s="1" t="str">
        <f t="shared" si="7"/>
        <v/>
      </c>
      <c r="G42" s="1" t="str">
        <f t="shared" si="7"/>
        <v/>
      </c>
      <c r="H42" s="1" t="str">
        <f t="shared" si="7"/>
        <v/>
      </c>
      <c r="I42" s="1">
        <f t="shared" si="7"/>
        <v>66</v>
      </c>
      <c r="J42" s="1" t="str">
        <f t="shared" si="7"/>
        <v/>
      </c>
      <c r="K42" s="1" t="str">
        <f t="shared" si="7"/>
        <v/>
      </c>
      <c r="L42" s="1" t="str">
        <f t="shared" si="7"/>
        <v/>
      </c>
      <c r="M42" s="1" t="str">
        <f t="shared" si="7"/>
        <v/>
      </c>
      <c r="N42" s="1" t="str">
        <f t="shared" si="7"/>
        <v/>
      </c>
      <c r="O42" s="1" t="str">
        <f t="shared" si="7"/>
        <v/>
      </c>
      <c r="P42" s="1" t="str">
        <f t="shared" si="7"/>
        <v/>
      </c>
      <c r="Q42" s="1">
        <f t="shared" si="7"/>
        <v>77.5</v>
      </c>
      <c r="R42" s="1" t="str">
        <f t="shared" si="7"/>
        <v/>
      </c>
      <c r="S42" s="1">
        <f t="shared" si="7"/>
        <v>77.5</v>
      </c>
    </row>
    <row r="43" spans="1:19" x14ac:dyDescent="0.25">
      <c r="A43" t="s">
        <v>26</v>
      </c>
      <c r="B43" s="1"/>
      <c r="C43" s="1"/>
      <c r="D43" s="1" t="str">
        <f t="shared" si="1"/>
        <v/>
      </c>
      <c r="E43" s="1" t="str">
        <f t="shared" ref="E43:S43" si="8">IFERROR(IF(_xlfn.RANK.AVG(E9,$B$2:$S$31,0)&gt;125,"",_xlfn.RANK.AVG(E9,$B$2:$S$31,0)),"")</f>
        <v/>
      </c>
      <c r="F43" s="1" t="str">
        <f t="shared" si="8"/>
        <v/>
      </c>
      <c r="G43" s="1" t="str">
        <f t="shared" si="8"/>
        <v/>
      </c>
      <c r="H43" s="1" t="str">
        <f t="shared" si="8"/>
        <v/>
      </c>
      <c r="I43" s="1" t="str">
        <f t="shared" si="8"/>
        <v/>
      </c>
      <c r="J43" s="1" t="str">
        <f t="shared" si="8"/>
        <v/>
      </c>
      <c r="K43" s="1" t="str">
        <f t="shared" si="8"/>
        <v/>
      </c>
      <c r="L43" s="1" t="str">
        <f t="shared" si="8"/>
        <v/>
      </c>
      <c r="M43" s="1" t="str">
        <f t="shared" si="8"/>
        <v/>
      </c>
      <c r="N43" s="1" t="str">
        <f t="shared" si="8"/>
        <v/>
      </c>
      <c r="O43" s="1" t="str">
        <f t="shared" si="8"/>
        <v/>
      </c>
      <c r="P43" s="1" t="str">
        <f t="shared" si="8"/>
        <v/>
      </c>
      <c r="Q43" s="1" t="str">
        <f t="shared" si="8"/>
        <v/>
      </c>
      <c r="R43" s="1" t="str">
        <f t="shared" si="8"/>
        <v/>
      </c>
      <c r="S43" s="1" t="str">
        <f t="shared" si="8"/>
        <v/>
      </c>
    </row>
    <row r="44" spans="1:19" x14ac:dyDescent="0.25">
      <c r="A44" t="s">
        <v>27</v>
      </c>
      <c r="B44" s="1"/>
      <c r="C44" s="1"/>
      <c r="D44" s="1" t="str">
        <f t="shared" si="1"/>
        <v/>
      </c>
      <c r="E44" s="1" t="str">
        <f t="shared" ref="E44:S44" si="9">IFERROR(IF(_xlfn.RANK.AVG(E10,$B$2:$S$31,0)&gt;125,"",_xlfn.RANK.AVG(E10,$B$2:$S$31,0)),"")</f>
        <v/>
      </c>
      <c r="F44" s="1">
        <f t="shared" si="9"/>
        <v>62</v>
      </c>
      <c r="G44" s="1">
        <f t="shared" si="9"/>
        <v>66</v>
      </c>
      <c r="H44" s="1" t="str">
        <f t="shared" si="9"/>
        <v/>
      </c>
      <c r="I44" s="1" t="str">
        <f t="shared" si="9"/>
        <v/>
      </c>
      <c r="J44" s="1" t="str">
        <f t="shared" si="9"/>
        <v/>
      </c>
      <c r="K44" s="1" t="str">
        <f t="shared" si="9"/>
        <v/>
      </c>
      <c r="L44" s="1" t="str">
        <f t="shared" si="9"/>
        <v/>
      </c>
      <c r="M44" s="1" t="str">
        <f t="shared" si="9"/>
        <v/>
      </c>
      <c r="N44" s="1" t="str">
        <f t="shared" si="9"/>
        <v/>
      </c>
      <c r="O44" s="1" t="str">
        <f t="shared" si="9"/>
        <v/>
      </c>
      <c r="P44" s="1" t="str">
        <f t="shared" si="9"/>
        <v/>
      </c>
      <c r="Q44" s="1" t="str">
        <f t="shared" si="9"/>
        <v/>
      </c>
      <c r="R44" s="1" t="str">
        <f t="shared" si="9"/>
        <v/>
      </c>
      <c r="S44" s="1">
        <f t="shared" si="9"/>
        <v>99</v>
      </c>
    </row>
    <row r="45" spans="1:19" x14ac:dyDescent="0.25">
      <c r="A45" t="s">
        <v>29</v>
      </c>
      <c r="B45" s="1"/>
      <c r="C45" s="1"/>
      <c r="D45" s="1" t="str">
        <f t="shared" si="1"/>
        <v/>
      </c>
      <c r="E45" s="1">
        <f t="shared" ref="E45:S45" si="10">IFERROR(IF(_xlfn.RANK.AVG(E11,$B$2:$S$31,0)&gt;125,"",_xlfn.RANK.AVG(E11,$B$2:$S$31,0)),"")</f>
        <v>10</v>
      </c>
      <c r="F45" s="1">
        <f t="shared" si="10"/>
        <v>62</v>
      </c>
      <c r="G45" s="1" t="str">
        <f t="shared" si="10"/>
        <v/>
      </c>
      <c r="H45" s="1">
        <f t="shared" si="10"/>
        <v>113</v>
      </c>
      <c r="I45" s="1" t="str">
        <f t="shared" si="10"/>
        <v/>
      </c>
      <c r="J45" s="1">
        <f t="shared" si="10"/>
        <v>84.5</v>
      </c>
      <c r="K45" s="1">
        <f t="shared" si="10"/>
        <v>73.5</v>
      </c>
      <c r="L45" s="1" t="str">
        <f t="shared" si="10"/>
        <v/>
      </c>
      <c r="M45" s="1">
        <f t="shared" si="10"/>
        <v>17</v>
      </c>
      <c r="N45" s="1" t="str">
        <f t="shared" si="10"/>
        <v/>
      </c>
      <c r="O45" s="1">
        <f t="shared" si="10"/>
        <v>66</v>
      </c>
      <c r="P45" s="1" t="str">
        <f t="shared" si="10"/>
        <v/>
      </c>
      <c r="Q45" s="1">
        <f t="shared" si="10"/>
        <v>43.5</v>
      </c>
      <c r="R45" s="1">
        <f t="shared" si="10"/>
        <v>84.5</v>
      </c>
      <c r="S45" s="1">
        <f t="shared" si="10"/>
        <v>24</v>
      </c>
    </row>
    <row r="46" spans="1:19" x14ac:dyDescent="0.25">
      <c r="A46" t="s">
        <v>30</v>
      </c>
      <c r="B46" s="1"/>
      <c r="C46" s="1"/>
      <c r="D46" s="1">
        <f t="shared" si="1"/>
        <v>14</v>
      </c>
      <c r="E46" s="1">
        <f t="shared" ref="E46:S46" si="11">IFERROR(IF(_xlfn.RANK.AVG(E12,$B$2:$S$31,0)&gt;125,"",_xlfn.RANK.AVG(E12,$B$2:$S$31,0)),"")</f>
        <v>72</v>
      </c>
      <c r="F46" s="1" t="str">
        <f t="shared" si="11"/>
        <v/>
      </c>
      <c r="G46" s="1">
        <f t="shared" si="11"/>
        <v>70.5</v>
      </c>
      <c r="H46" s="1">
        <f t="shared" si="11"/>
        <v>54.5</v>
      </c>
      <c r="I46" s="1">
        <f t="shared" si="11"/>
        <v>52.5</v>
      </c>
      <c r="J46" s="1">
        <f t="shared" si="11"/>
        <v>9</v>
      </c>
      <c r="K46" s="1" t="str">
        <f t="shared" si="11"/>
        <v/>
      </c>
      <c r="L46" s="1">
        <f t="shared" si="11"/>
        <v>18</v>
      </c>
      <c r="M46" s="1">
        <f t="shared" si="11"/>
        <v>95.5</v>
      </c>
      <c r="N46" s="1" t="str">
        <f t="shared" si="11"/>
        <v/>
      </c>
      <c r="O46" s="1">
        <f t="shared" si="11"/>
        <v>29.5</v>
      </c>
      <c r="P46" s="1">
        <f t="shared" si="11"/>
        <v>116.5</v>
      </c>
      <c r="Q46" s="1">
        <f t="shared" si="11"/>
        <v>29.5</v>
      </c>
      <c r="R46" s="1" t="str">
        <f t="shared" si="11"/>
        <v/>
      </c>
      <c r="S46" s="1">
        <f t="shared" si="11"/>
        <v>95.5</v>
      </c>
    </row>
    <row r="47" spans="1:19" x14ac:dyDescent="0.25">
      <c r="A47" t="s">
        <v>31</v>
      </c>
      <c r="B47" s="1"/>
      <c r="C47" s="1"/>
      <c r="D47" s="1" t="str">
        <f t="shared" si="1"/>
        <v/>
      </c>
      <c r="E47" s="1">
        <f t="shared" ref="E47:S47" si="12">IFERROR(IF(_xlfn.RANK.AVG(E13,$B$2:$S$31,0)&gt;125,"",_xlfn.RANK.AVG(E13,$B$2:$S$31,0)),"")</f>
        <v>49</v>
      </c>
      <c r="F47" s="1" t="str">
        <f t="shared" si="12"/>
        <v/>
      </c>
      <c r="G47" s="1" t="str">
        <f t="shared" si="12"/>
        <v/>
      </c>
      <c r="H47" s="1" t="str">
        <f t="shared" si="12"/>
        <v/>
      </c>
      <c r="I47" s="1" t="str">
        <f t="shared" si="12"/>
        <v/>
      </c>
      <c r="J47" s="1" t="str">
        <f t="shared" si="12"/>
        <v/>
      </c>
      <c r="K47" s="1" t="str">
        <f t="shared" si="12"/>
        <v/>
      </c>
      <c r="L47" s="1">
        <f t="shared" si="12"/>
        <v>49</v>
      </c>
      <c r="M47" s="1" t="str">
        <f t="shared" si="12"/>
        <v/>
      </c>
      <c r="N47" s="1" t="str">
        <f t="shared" si="12"/>
        <v/>
      </c>
      <c r="O47" s="1" t="str">
        <f t="shared" si="12"/>
        <v/>
      </c>
      <c r="P47" s="1" t="str">
        <f t="shared" si="12"/>
        <v/>
      </c>
      <c r="Q47" s="1" t="str">
        <f t="shared" si="12"/>
        <v/>
      </c>
      <c r="R47" s="1" t="str">
        <f t="shared" si="12"/>
        <v/>
      </c>
      <c r="S47" s="1" t="str">
        <f t="shared" si="12"/>
        <v/>
      </c>
    </row>
    <row r="48" spans="1:19" x14ac:dyDescent="0.25">
      <c r="A48" t="s">
        <v>32</v>
      </c>
      <c r="B48" s="1"/>
      <c r="C48" s="1"/>
      <c r="D48" s="1">
        <f t="shared" si="1"/>
        <v>32.5</v>
      </c>
      <c r="E48" s="1" t="str">
        <f t="shared" ref="E48:S48" si="13">IFERROR(IF(_xlfn.RANK.AVG(E14,$B$2:$S$31,0)&gt;125,"",_xlfn.RANK.AVG(E14,$B$2:$S$31,0)),"")</f>
        <v/>
      </c>
      <c r="F48" s="1" t="str">
        <f t="shared" si="13"/>
        <v/>
      </c>
      <c r="G48" s="1" t="str">
        <f t="shared" si="13"/>
        <v/>
      </c>
      <c r="H48" s="1" t="str">
        <f t="shared" si="13"/>
        <v/>
      </c>
      <c r="I48" s="1">
        <f t="shared" si="13"/>
        <v>32.5</v>
      </c>
      <c r="J48" s="1" t="str">
        <f t="shared" si="13"/>
        <v/>
      </c>
      <c r="K48" s="1" t="str">
        <f t="shared" si="13"/>
        <v/>
      </c>
      <c r="L48" s="1" t="str">
        <f t="shared" si="13"/>
        <v/>
      </c>
      <c r="M48" s="1" t="str">
        <f t="shared" si="13"/>
        <v/>
      </c>
      <c r="N48" s="1" t="str">
        <f t="shared" si="13"/>
        <v/>
      </c>
      <c r="O48" s="1" t="str">
        <f t="shared" si="13"/>
        <v/>
      </c>
      <c r="P48" s="1" t="str">
        <f t="shared" si="13"/>
        <v/>
      </c>
      <c r="Q48" s="1">
        <f t="shared" si="13"/>
        <v>113</v>
      </c>
      <c r="R48" s="1" t="str">
        <f t="shared" si="13"/>
        <v/>
      </c>
      <c r="S48" s="1" t="str">
        <f t="shared" si="13"/>
        <v/>
      </c>
    </row>
    <row r="49" spans="1:19" x14ac:dyDescent="0.25">
      <c r="A49" t="s">
        <v>33</v>
      </c>
      <c r="B49" s="1"/>
      <c r="C49" s="1"/>
      <c r="D49" s="1" t="str">
        <f t="shared" si="1"/>
        <v/>
      </c>
      <c r="E49" s="1" t="str">
        <f t="shared" ref="E49:S49" si="14">IFERROR(IF(_xlfn.RANK.AVG(E15,$B$2:$S$31,0)&gt;125,"",_xlfn.RANK.AVG(E15,$B$2:$S$31,0)),"")</f>
        <v/>
      </c>
      <c r="F49" s="1" t="str">
        <f t="shared" si="14"/>
        <v/>
      </c>
      <c r="G49" s="1" t="str">
        <f t="shared" si="14"/>
        <v/>
      </c>
      <c r="H49" s="1" t="str">
        <f t="shared" si="14"/>
        <v/>
      </c>
      <c r="I49" s="1" t="str">
        <f t="shared" si="14"/>
        <v/>
      </c>
      <c r="J49" s="1" t="str">
        <f t="shared" si="14"/>
        <v/>
      </c>
      <c r="K49" s="1" t="str">
        <f t="shared" si="14"/>
        <v/>
      </c>
      <c r="L49" s="1" t="str">
        <f t="shared" si="14"/>
        <v/>
      </c>
      <c r="M49" s="1" t="str">
        <f t="shared" si="14"/>
        <v/>
      </c>
      <c r="N49" s="1">
        <f t="shared" si="14"/>
        <v>45.5</v>
      </c>
      <c r="O49" s="1" t="str">
        <f t="shared" si="14"/>
        <v/>
      </c>
      <c r="P49" s="1">
        <f t="shared" si="14"/>
        <v>81.5</v>
      </c>
      <c r="Q49" s="1" t="str">
        <f t="shared" si="14"/>
        <v/>
      </c>
      <c r="R49" s="1" t="str">
        <f t="shared" si="14"/>
        <v/>
      </c>
      <c r="S49" s="1">
        <f t="shared" si="14"/>
        <v>45.5</v>
      </c>
    </row>
    <row r="50" spans="1:19" x14ac:dyDescent="0.25">
      <c r="A50" t="s">
        <v>34</v>
      </c>
      <c r="B50" s="1"/>
      <c r="C50" s="1"/>
      <c r="D50" s="1">
        <f t="shared" si="1"/>
        <v>27</v>
      </c>
      <c r="E50" s="1" t="str">
        <f t="shared" ref="E50:S50" si="15">IFERROR(IF(_xlfn.RANK.AVG(E16,$B$2:$S$31,0)&gt;125,"",_xlfn.RANK.AVG(E16,$B$2:$S$31,0)),"")</f>
        <v/>
      </c>
      <c r="F50" s="1">
        <f t="shared" si="15"/>
        <v>77.5</v>
      </c>
      <c r="G50" s="1" t="str">
        <f t="shared" si="15"/>
        <v/>
      </c>
      <c r="H50" s="1">
        <f t="shared" si="15"/>
        <v>57</v>
      </c>
      <c r="I50" s="1">
        <f t="shared" si="15"/>
        <v>108.5</v>
      </c>
      <c r="J50" s="1" t="str">
        <f t="shared" si="15"/>
        <v/>
      </c>
      <c r="K50" s="1" t="str">
        <f t="shared" si="15"/>
        <v/>
      </c>
      <c r="L50" s="1" t="str">
        <f t="shared" si="15"/>
        <v/>
      </c>
      <c r="M50" s="1">
        <f t="shared" si="15"/>
        <v>99</v>
      </c>
      <c r="N50" s="1">
        <f t="shared" si="15"/>
        <v>99</v>
      </c>
      <c r="O50" s="1">
        <f t="shared" si="15"/>
        <v>73.5</v>
      </c>
      <c r="P50" s="1" t="str">
        <f t="shared" si="15"/>
        <v/>
      </c>
      <c r="Q50" s="1">
        <f t="shared" si="15"/>
        <v>4</v>
      </c>
      <c r="R50" s="1" t="str">
        <f t="shared" si="15"/>
        <v/>
      </c>
      <c r="S50" s="1">
        <f t="shared" si="15"/>
        <v>57</v>
      </c>
    </row>
    <row r="51" spans="1:19" x14ac:dyDescent="0.25">
      <c r="A51" t="s">
        <v>35</v>
      </c>
      <c r="B51" s="1"/>
      <c r="C51" s="1"/>
      <c r="D51" s="1" t="str">
        <f t="shared" si="1"/>
        <v/>
      </c>
      <c r="E51" s="1" t="str">
        <f t="shared" ref="E51:S51" si="16">IFERROR(IF(_xlfn.RANK.AVG(E17,$B$2:$S$31,0)&gt;125,"",_xlfn.RANK.AVG(E17,$B$2:$S$31,0)),"")</f>
        <v/>
      </c>
      <c r="F51" s="1" t="str">
        <f t="shared" si="16"/>
        <v/>
      </c>
      <c r="G51" s="1">
        <f t="shared" si="16"/>
        <v>60</v>
      </c>
      <c r="H51" s="1" t="str">
        <f t="shared" si="16"/>
        <v/>
      </c>
      <c r="I51" s="1" t="str">
        <f t="shared" si="16"/>
        <v/>
      </c>
      <c r="J51" s="1" t="str">
        <f t="shared" si="16"/>
        <v/>
      </c>
      <c r="K51" s="1" t="str">
        <f t="shared" si="16"/>
        <v/>
      </c>
      <c r="L51" s="1" t="str">
        <f t="shared" si="16"/>
        <v/>
      </c>
      <c r="M51" s="1" t="str">
        <f t="shared" si="16"/>
        <v/>
      </c>
      <c r="N51" s="1" t="str">
        <f t="shared" si="16"/>
        <v/>
      </c>
      <c r="O51" s="1" t="str">
        <f t="shared" si="16"/>
        <v/>
      </c>
      <c r="P51" s="1" t="str">
        <f t="shared" si="16"/>
        <v/>
      </c>
      <c r="Q51" s="1" t="str">
        <f t="shared" si="16"/>
        <v/>
      </c>
      <c r="R51" s="1" t="str">
        <f t="shared" si="16"/>
        <v/>
      </c>
      <c r="S51" s="1" t="str">
        <f t="shared" si="16"/>
        <v/>
      </c>
    </row>
    <row r="52" spans="1:19" x14ac:dyDescent="0.25">
      <c r="A52" t="s">
        <v>36</v>
      </c>
      <c r="B52" s="1"/>
      <c r="C52" s="1"/>
      <c r="D52" s="1" t="str">
        <f t="shared" si="1"/>
        <v/>
      </c>
      <c r="E52" s="1">
        <f t="shared" ref="E52:S52" si="17">IFERROR(IF(_xlfn.RANK.AVG(E18,$B$2:$S$31,0)&gt;125,"",_xlfn.RANK.AVG(E18,$B$2:$S$31,0)),"")</f>
        <v>37</v>
      </c>
      <c r="F52" s="1">
        <f t="shared" si="17"/>
        <v>124</v>
      </c>
      <c r="G52" s="1">
        <f t="shared" si="17"/>
        <v>22</v>
      </c>
      <c r="H52" s="1">
        <f t="shared" si="17"/>
        <v>113</v>
      </c>
      <c r="I52" s="1" t="str">
        <f t="shared" si="17"/>
        <v/>
      </c>
      <c r="J52" s="1">
        <f t="shared" si="17"/>
        <v>5.5</v>
      </c>
      <c r="K52" s="1">
        <f t="shared" si="17"/>
        <v>77.5</v>
      </c>
      <c r="L52" s="1">
        <f t="shared" si="17"/>
        <v>88</v>
      </c>
      <c r="M52" s="1" t="str">
        <f t="shared" si="17"/>
        <v/>
      </c>
      <c r="N52" s="1">
        <f t="shared" si="17"/>
        <v>62</v>
      </c>
      <c r="O52" s="1" t="str">
        <f t="shared" si="17"/>
        <v/>
      </c>
      <c r="P52" s="1" t="str">
        <f t="shared" si="17"/>
        <v/>
      </c>
      <c r="Q52" s="1">
        <f t="shared" si="17"/>
        <v>113</v>
      </c>
      <c r="R52" s="1">
        <f t="shared" si="17"/>
        <v>84.5</v>
      </c>
      <c r="S52" s="1" t="str">
        <f t="shared" si="17"/>
        <v/>
      </c>
    </row>
    <row r="53" spans="1:19" x14ac:dyDescent="0.25">
      <c r="A53" t="s">
        <v>38</v>
      </c>
      <c r="B53" s="1"/>
      <c r="C53" s="1"/>
      <c r="D53" s="1" t="str">
        <f t="shared" si="1"/>
        <v/>
      </c>
      <c r="E53" s="1" t="str">
        <f t="shared" ref="E53:S53" si="18">IFERROR(IF(_xlfn.RANK.AVG(E19,$B$2:$S$31,0)&gt;125,"",_xlfn.RANK.AVG(E19,$B$2:$S$31,0)),"")</f>
        <v/>
      </c>
      <c r="F53" s="1" t="str">
        <f t="shared" si="18"/>
        <v/>
      </c>
      <c r="G53" s="1" t="str">
        <f t="shared" si="18"/>
        <v/>
      </c>
      <c r="H53" s="1" t="str">
        <f t="shared" si="18"/>
        <v/>
      </c>
      <c r="I53" s="1" t="str">
        <f t="shared" si="18"/>
        <v/>
      </c>
      <c r="J53" s="1" t="str">
        <f t="shared" si="18"/>
        <v/>
      </c>
      <c r="K53" s="1" t="str">
        <f t="shared" si="18"/>
        <v/>
      </c>
      <c r="L53" s="1" t="str">
        <f t="shared" si="18"/>
        <v/>
      </c>
      <c r="M53" s="1" t="str">
        <f t="shared" si="18"/>
        <v/>
      </c>
      <c r="N53" s="1" t="str">
        <f t="shared" si="18"/>
        <v/>
      </c>
      <c r="O53" s="1" t="str">
        <f t="shared" si="18"/>
        <v/>
      </c>
      <c r="P53" s="1" t="str">
        <f t="shared" si="18"/>
        <v/>
      </c>
      <c r="Q53" s="1" t="str">
        <f t="shared" si="18"/>
        <v/>
      </c>
      <c r="R53" s="1" t="str">
        <f t="shared" si="18"/>
        <v/>
      </c>
      <c r="S53" s="1" t="str">
        <f t="shared" si="18"/>
        <v/>
      </c>
    </row>
    <row r="54" spans="1:19" x14ac:dyDescent="0.25">
      <c r="A54" t="s">
        <v>39</v>
      </c>
      <c r="B54" s="1"/>
      <c r="C54" s="1"/>
      <c r="D54" s="1" t="str">
        <f t="shared" si="1"/>
        <v/>
      </c>
      <c r="E54" s="1" t="str">
        <f t="shared" ref="E54:S54" si="19">IFERROR(IF(_xlfn.RANK.AVG(E20,$B$2:$S$31,0)&gt;125,"",_xlfn.RANK.AVG(E20,$B$2:$S$31,0)),"")</f>
        <v/>
      </c>
      <c r="F54" s="1">
        <f t="shared" si="19"/>
        <v>59</v>
      </c>
      <c r="G54" s="1" t="str">
        <f t="shared" si="19"/>
        <v/>
      </c>
      <c r="H54" s="1" t="str">
        <f t="shared" si="19"/>
        <v/>
      </c>
      <c r="I54" s="1" t="str">
        <f t="shared" si="19"/>
        <v/>
      </c>
      <c r="J54" s="1" t="str">
        <f t="shared" si="19"/>
        <v/>
      </c>
      <c r="K54" s="1" t="str">
        <f t="shared" si="19"/>
        <v/>
      </c>
      <c r="L54" s="1">
        <f t="shared" si="19"/>
        <v>105</v>
      </c>
      <c r="M54" s="1" t="str">
        <f t="shared" si="19"/>
        <v/>
      </c>
      <c r="N54" s="1" t="str">
        <f t="shared" si="19"/>
        <v/>
      </c>
      <c r="O54" s="1" t="str">
        <f t="shared" si="19"/>
        <v/>
      </c>
      <c r="P54" s="1" t="str">
        <f t="shared" si="19"/>
        <v/>
      </c>
      <c r="Q54" s="1">
        <f t="shared" si="19"/>
        <v>77.5</v>
      </c>
      <c r="R54" s="1" t="str">
        <f t="shared" si="19"/>
        <v/>
      </c>
      <c r="S54" s="1" t="str">
        <f t="shared" si="19"/>
        <v/>
      </c>
    </row>
    <row r="55" spans="1:19" x14ac:dyDescent="0.25">
      <c r="A55" t="s">
        <v>40</v>
      </c>
      <c r="B55" s="1"/>
      <c r="C55" s="1"/>
      <c r="D55" s="1" t="str">
        <f t="shared" si="1"/>
        <v/>
      </c>
      <c r="E55" s="1" t="str">
        <f t="shared" ref="E55:S55" si="20">IFERROR(IF(_xlfn.RANK.AVG(E21,$B$2:$S$31,0)&gt;125,"",_xlfn.RANK.AVG(E21,$B$2:$S$31,0)),"")</f>
        <v/>
      </c>
      <c r="F55" s="1" t="str">
        <f t="shared" si="20"/>
        <v/>
      </c>
      <c r="G55" s="1">
        <f t="shared" si="20"/>
        <v>113</v>
      </c>
      <c r="H55" s="1">
        <f t="shared" si="20"/>
        <v>70.5</v>
      </c>
      <c r="I55" s="1" t="str">
        <f t="shared" si="20"/>
        <v/>
      </c>
      <c r="J55" s="1" t="str">
        <f t="shared" si="20"/>
        <v/>
      </c>
      <c r="K55" s="1" t="str">
        <f t="shared" si="20"/>
        <v/>
      </c>
      <c r="L55" s="1">
        <f t="shared" si="20"/>
        <v>124</v>
      </c>
      <c r="M55" s="1" t="str">
        <f t="shared" si="20"/>
        <v/>
      </c>
      <c r="N55" s="1" t="str">
        <f t="shared" si="20"/>
        <v/>
      </c>
      <c r="O55" s="1" t="str">
        <f t="shared" si="20"/>
        <v/>
      </c>
      <c r="P55" s="1" t="str">
        <f t="shared" si="20"/>
        <v/>
      </c>
      <c r="Q55" s="1" t="str">
        <f t="shared" si="20"/>
        <v/>
      </c>
      <c r="R55" s="1">
        <f t="shared" si="20"/>
        <v>124</v>
      </c>
      <c r="S55" s="1" t="str">
        <f t="shared" si="20"/>
        <v/>
      </c>
    </row>
    <row r="56" spans="1:19" x14ac:dyDescent="0.25">
      <c r="A56" t="s">
        <v>41</v>
      </c>
      <c r="B56" s="1"/>
      <c r="C56" s="1"/>
      <c r="D56" s="1" t="str">
        <f t="shared" si="1"/>
        <v/>
      </c>
      <c r="E56" s="1" t="str">
        <f t="shared" ref="E56:S56" si="21">IFERROR(IF(_xlfn.RANK.AVG(E22,$B$2:$S$31,0)&gt;125,"",_xlfn.RANK.AVG(E22,$B$2:$S$31,0)),"")</f>
        <v/>
      </c>
      <c r="F56" s="1" t="str">
        <f t="shared" si="21"/>
        <v/>
      </c>
      <c r="G56" s="1" t="str">
        <f t="shared" si="21"/>
        <v/>
      </c>
      <c r="H56" s="1" t="str">
        <f t="shared" si="21"/>
        <v/>
      </c>
      <c r="I56" s="1" t="str">
        <f t="shared" si="21"/>
        <v/>
      </c>
      <c r="J56" s="1" t="str">
        <f t="shared" si="21"/>
        <v/>
      </c>
      <c r="K56" s="1" t="str">
        <f t="shared" si="21"/>
        <v/>
      </c>
      <c r="L56" s="1" t="str">
        <f t="shared" si="21"/>
        <v/>
      </c>
      <c r="M56" s="1" t="str">
        <f t="shared" si="21"/>
        <v/>
      </c>
      <c r="N56" s="1" t="str">
        <f t="shared" si="21"/>
        <v/>
      </c>
      <c r="O56" s="1" t="str">
        <f t="shared" si="21"/>
        <v/>
      </c>
      <c r="P56" s="1" t="str">
        <f t="shared" si="21"/>
        <v/>
      </c>
      <c r="Q56" s="1" t="str">
        <f t="shared" si="21"/>
        <v/>
      </c>
      <c r="R56" s="1" t="str">
        <f t="shared" si="21"/>
        <v/>
      </c>
      <c r="S56" s="1" t="str">
        <f t="shared" si="21"/>
        <v/>
      </c>
    </row>
    <row r="57" spans="1:19" x14ac:dyDescent="0.25">
      <c r="A57" t="s">
        <v>42</v>
      </c>
      <c r="B57" s="1"/>
      <c r="C57" s="1"/>
      <c r="D57" s="1" t="str">
        <f t="shared" si="1"/>
        <v/>
      </c>
      <c r="E57" s="1" t="str">
        <f t="shared" ref="E57:S57" si="22">IFERROR(IF(_xlfn.RANK.AVG(E23,$B$2:$S$31,0)&gt;125,"",_xlfn.RANK.AVG(E23,$B$2:$S$31,0)),"")</f>
        <v/>
      </c>
      <c r="F57" s="1" t="str">
        <f t="shared" si="22"/>
        <v/>
      </c>
      <c r="G57" s="1" t="str">
        <f t="shared" si="22"/>
        <v/>
      </c>
      <c r="H57" s="1" t="str">
        <f t="shared" si="22"/>
        <v/>
      </c>
      <c r="I57" s="1" t="str">
        <f t="shared" si="22"/>
        <v/>
      </c>
      <c r="J57" s="1" t="str">
        <f t="shared" si="22"/>
        <v/>
      </c>
      <c r="K57" s="1" t="str">
        <f t="shared" si="22"/>
        <v/>
      </c>
      <c r="L57" s="1" t="str">
        <f t="shared" si="22"/>
        <v/>
      </c>
      <c r="M57" s="1" t="str">
        <f t="shared" si="22"/>
        <v/>
      </c>
      <c r="N57" s="1" t="str">
        <f t="shared" si="22"/>
        <v/>
      </c>
      <c r="O57" s="1" t="str">
        <f t="shared" si="22"/>
        <v/>
      </c>
      <c r="P57" s="1" t="str">
        <f t="shared" si="22"/>
        <v/>
      </c>
      <c r="Q57" s="1" t="str">
        <f t="shared" si="22"/>
        <v/>
      </c>
      <c r="R57" s="1" t="str">
        <f t="shared" si="22"/>
        <v/>
      </c>
      <c r="S57" s="1" t="str">
        <f t="shared" si="22"/>
        <v/>
      </c>
    </row>
    <row r="58" spans="1:19" x14ac:dyDescent="0.25">
      <c r="A58" t="s">
        <v>43</v>
      </c>
      <c r="B58" s="1"/>
      <c r="C58" s="1"/>
      <c r="D58" s="1" t="str">
        <f t="shared" si="1"/>
        <v/>
      </c>
      <c r="E58" s="1" t="str">
        <f t="shared" ref="E58:S58" si="23">IFERROR(IF(_xlfn.RANK.AVG(E24,$B$2:$S$31,0)&gt;125,"",_xlfn.RANK.AVG(E24,$B$2:$S$31,0)),"")</f>
        <v/>
      </c>
      <c r="F58" s="1" t="str">
        <f t="shared" si="23"/>
        <v/>
      </c>
      <c r="G58" s="1" t="str">
        <f t="shared" si="23"/>
        <v/>
      </c>
      <c r="H58" s="1" t="str">
        <f t="shared" si="23"/>
        <v/>
      </c>
      <c r="I58" s="1" t="str">
        <f t="shared" si="23"/>
        <v/>
      </c>
      <c r="J58" s="1" t="str">
        <f t="shared" si="23"/>
        <v/>
      </c>
      <c r="K58" s="1" t="str">
        <f t="shared" si="23"/>
        <v/>
      </c>
      <c r="L58" s="1" t="str">
        <f t="shared" si="23"/>
        <v/>
      </c>
      <c r="M58" s="1" t="str">
        <f t="shared" si="23"/>
        <v/>
      </c>
      <c r="N58" s="1" t="str">
        <f t="shared" si="23"/>
        <v/>
      </c>
      <c r="O58" s="1" t="str">
        <f t="shared" si="23"/>
        <v/>
      </c>
      <c r="P58" s="1" t="str">
        <f t="shared" si="23"/>
        <v/>
      </c>
      <c r="Q58" s="1" t="str">
        <f t="shared" si="23"/>
        <v/>
      </c>
      <c r="R58" s="1" t="str">
        <f t="shared" si="23"/>
        <v/>
      </c>
      <c r="S58" s="1" t="str">
        <f t="shared" si="23"/>
        <v/>
      </c>
    </row>
    <row r="59" spans="1:19" x14ac:dyDescent="0.25">
      <c r="A59" t="s">
        <v>44</v>
      </c>
      <c r="B59" s="1"/>
      <c r="C59" s="1"/>
      <c r="D59" s="1" t="str">
        <f t="shared" si="1"/>
        <v/>
      </c>
      <c r="E59" s="1" t="str">
        <f t="shared" ref="E59:S59" si="24">IFERROR(IF(_xlfn.RANK.AVG(E25,$B$2:$S$31,0)&gt;125,"",_xlfn.RANK.AVG(E25,$B$2:$S$31,0)),"")</f>
        <v/>
      </c>
      <c r="F59" s="1" t="str">
        <f t="shared" si="24"/>
        <v/>
      </c>
      <c r="G59" s="1">
        <f t="shared" si="24"/>
        <v>19.5</v>
      </c>
      <c r="H59" s="1">
        <f t="shared" si="24"/>
        <v>105</v>
      </c>
      <c r="I59" s="1">
        <f t="shared" si="24"/>
        <v>19.5</v>
      </c>
      <c r="J59" s="1" t="str">
        <f t="shared" si="24"/>
        <v/>
      </c>
      <c r="K59" s="1" t="str">
        <f t="shared" si="24"/>
        <v/>
      </c>
      <c r="L59" s="1" t="str">
        <f t="shared" si="24"/>
        <v/>
      </c>
      <c r="M59" s="1">
        <f t="shared" si="24"/>
        <v>81.5</v>
      </c>
      <c r="N59" s="1">
        <f t="shared" si="24"/>
        <v>39</v>
      </c>
      <c r="O59" s="1" t="str">
        <f t="shared" si="24"/>
        <v/>
      </c>
      <c r="P59" s="1">
        <f t="shared" si="24"/>
        <v>49</v>
      </c>
      <c r="Q59" s="1">
        <f t="shared" si="24"/>
        <v>95.5</v>
      </c>
      <c r="R59" s="1" t="str">
        <f t="shared" si="24"/>
        <v/>
      </c>
      <c r="S59" s="1">
        <f t="shared" si="24"/>
        <v>95.5</v>
      </c>
    </row>
    <row r="60" spans="1:19" x14ac:dyDescent="0.25">
      <c r="A60" t="s">
        <v>45</v>
      </c>
      <c r="B60" s="1"/>
      <c r="C60" s="1"/>
      <c r="D60" s="1" t="str">
        <f t="shared" si="1"/>
        <v/>
      </c>
      <c r="E60" s="1" t="str">
        <f t="shared" ref="E60:S60" si="25">IFERROR(IF(_xlfn.RANK.AVG(E26,$B$2:$S$31,0)&gt;125,"",_xlfn.RANK.AVG(E26,$B$2:$S$31,0)),"")</f>
        <v/>
      </c>
      <c r="F60" s="1" t="str">
        <f t="shared" si="25"/>
        <v/>
      </c>
      <c r="G60" s="1">
        <f t="shared" si="25"/>
        <v>108.5</v>
      </c>
      <c r="H60" s="1" t="str">
        <f t="shared" si="25"/>
        <v/>
      </c>
      <c r="I60" s="1" t="str">
        <f t="shared" si="25"/>
        <v/>
      </c>
      <c r="J60" s="1" t="str">
        <f t="shared" si="25"/>
        <v/>
      </c>
      <c r="K60" s="1" t="str">
        <f t="shared" si="25"/>
        <v/>
      </c>
      <c r="L60" s="1" t="str">
        <f t="shared" si="25"/>
        <v/>
      </c>
      <c r="M60" s="1" t="str">
        <f t="shared" si="25"/>
        <v/>
      </c>
      <c r="N60" s="1" t="str">
        <f t="shared" si="25"/>
        <v/>
      </c>
      <c r="O60" s="1" t="str">
        <f t="shared" si="25"/>
        <v/>
      </c>
      <c r="P60" s="1">
        <f t="shared" si="25"/>
        <v>108.5</v>
      </c>
      <c r="Q60" s="1" t="str">
        <f t="shared" si="25"/>
        <v/>
      </c>
      <c r="R60" s="1">
        <f t="shared" si="25"/>
        <v>108.5</v>
      </c>
      <c r="S60" s="1" t="str">
        <f t="shared" si="25"/>
        <v/>
      </c>
    </row>
    <row r="61" spans="1:19" x14ac:dyDescent="0.25">
      <c r="A61" t="s">
        <v>46</v>
      </c>
      <c r="B61" s="1"/>
      <c r="C61" s="1"/>
      <c r="D61" s="1" t="str">
        <f t="shared" si="1"/>
        <v/>
      </c>
      <c r="E61" s="1" t="str">
        <f t="shared" ref="E61:S61" si="26">IFERROR(IF(_xlfn.RANK.AVG(E27,$B$2:$S$31,0)&gt;125,"",_xlfn.RANK.AVG(E27,$B$2:$S$31,0)),"")</f>
        <v/>
      </c>
      <c r="F61" s="1" t="str">
        <f t="shared" si="26"/>
        <v/>
      </c>
      <c r="G61" s="1" t="str">
        <f t="shared" si="26"/>
        <v/>
      </c>
      <c r="H61" s="1" t="str">
        <f t="shared" si="26"/>
        <v/>
      </c>
      <c r="I61" s="1" t="str">
        <f t="shared" si="26"/>
        <v/>
      </c>
      <c r="J61" s="1" t="str">
        <f t="shared" si="26"/>
        <v/>
      </c>
      <c r="K61" s="1" t="str">
        <f t="shared" si="26"/>
        <v/>
      </c>
      <c r="L61" s="1" t="str">
        <f t="shared" si="26"/>
        <v/>
      </c>
      <c r="M61" s="1" t="str">
        <f t="shared" si="26"/>
        <v/>
      </c>
      <c r="N61" s="1" t="str">
        <f t="shared" si="26"/>
        <v/>
      </c>
      <c r="O61" s="1" t="str">
        <f t="shared" si="26"/>
        <v/>
      </c>
      <c r="P61" s="1">
        <f t="shared" si="26"/>
        <v>91.5</v>
      </c>
      <c r="Q61" s="1" t="str">
        <f t="shared" si="26"/>
        <v/>
      </c>
      <c r="R61" s="1" t="str">
        <f t="shared" si="26"/>
        <v/>
      </c>
      <c r="S61" s="1" t="str">
        <f t="shared" si="26"/>
        <v/>
      </c>
    </row>
    <row r="62" spans="1:19" x14ac:dyDescent="0.25">
      <c r="A62" t="s">
        <v>47</v>
      </c>
      <c r="B62" s="1"/>
      <c r="C62" s="1"/>
      <c r="D62" s="1">
        <f t="shared" si="1"/>
        <v>77.5</v>
      </c>
      <c r="E62" s="1" t="str">
        <f t="shared" ref="E62:S62" si="27">IFERROR(IF(_xlfn.RANK.AVG(E28,$B$2:$S$31,0)&gt;125,"",_xlfn.RANK.AVG(E28,$B$2:$S$31,0)),"")</f>
        <v/>
      </c>
      <c r="F62" s="1" t="str">
        <f t="shared" si="27"/>
        <v/>
      </c>
      <c r="G62" s="1" t="str">
        <f t="shared" si="27"/>
        <v/>
      </c>
      <c r="H62" s="1" t="str">
        <f t="shared" si="27"/>
        <v/>
      </c>
      <c r="I62" s="1" t="str">
        <f t="shared" si="27"/>
        <v/>
      </c>
      <c r="J62" s="1" t="str">
        <f t="shared" si="27"/>
        <v/>
      </c>
      <c r="K62" s="1" t="str">
        <f t="shared" si="27"/>
        <v/>
      </c>
      <c r="L62" s="1" t="str">
        <f t="shared" si="27"/>
        <v/>
      </c>
      <c r="M62" s="1">
        <f t="shared" si="27"/>
        <v>49</v>
      </c>
      <c r="N62" s="1" t="str">
        <f t="shared" si="27"/>
        <v/>
      </c>
      <c r="O62" s="1" t="str">
        <f t="shared" si="27"/>
        <v/>
      </c>
      <c r="P62" s="1" t="str">
        <f t="shared" si="27"/>
        <v/>
      </c>
      <c r="Q62" s="1" t="str">
        <f t="shared" si="27"/>
        <v/>
      </c>
      <c r="R62" s="1">
        <f t="shared" si="27"/>
        <v>88</v>
      </c>
      <c r="S62" s="1" t="str">
        <f t="shared" si="27"/>
        <v/>
      </c>
    </row>
    <row r="63" spans="1:19" x14ac:dyDescent="0.25">
      <c r="A63" t="s">
        <v>48</v>
      </c>
      <c r="B63" s="1"/>
      <c r="C63" s="1"/>
      <c r="D63" s="1">
        <f t="shared" si="1"/>
        <v>35</v>
      </c>
      <c r="E63" s="1" t="str">
        <f t="shared" ref="E63:S63" si="28">IFERROR(IF(_xlfn.RANK.AVG(E29,$B$2:$S$31,0)&gt;125,"",_xlfn.RANK.AVG(E29,$B$2:$S$31,0)),"")</f>
        <v/>
      </c>
      <c r="F63" s="1">
        <f t="shared" si="28"/>
        <v>124</v>
      </c>
      <c r="G63" s="1">
        <f t="shared" si="28"/>
        <v>66</v>
      </c>
      <c r="H63" s="1" t="str">
        <f t="shared" si="28"/>
        <v/>
      </c>
      <c r="I63" s="1">
        <f t="shared" si="28"/>
        <v>27</v>
      </c>
      <c r="J63" s="1" t="str">
        <f t="shared" si="28"/>
        <v/>
      </c>
      <c r="K63" s="1">
        <f t="shared" si="28"/>
        <v>84.5</v>
      </c>
      <c r="L63" s="1" t="str">
        <f t="shared" si="28"/>
        <v/>
      </c>
      <c r="M63" s="1" t="str">
        <f t="shared" si="28"/>
        <v/>
      </c>
      <c r="N63" s="1">
        <f t="shared" si="28"/>
        <v>120.5</v>
      </c>
      <c r="O63" s="1">
        <f t="shared" si="28"/>
        <v>27</v>
      </c>
      <c r="P63" s="1">
        <f t="shared" si="28"/>
        <v>105</v>
      </c>
      <c r="Q63" s="1">
        <f t="shared" si="28"/>
        <v>37</v>
      </c>
      <c r="R63" s="1">
        <f t="shared" si="28"/>
        <v>42</v>
      </c>
      <c r="S63" s="1">
        <f t="shared" si="28"/>
        <v>37</v>
      </c>
    </row>
    <row r="64" spans="1:19" x14ac:dyDescent="0.25">
      <c r="A64" t="s">
        <v>49</v>
      </c>
      <c r="B64" s="1"/>
      <c r="C64" s="1"/>
      <c r="D64" s="1" t="str">
        <f t="shared" si="1"/>
        <v/>
      </c>
      <c r="E64" s="1" t="str">
        <f t="shared" ref="E64:S64" si="29">IFERROR(IF(_xlfn.RANK.AVG(E30,$B$2:$S$31,0)&gt;125,"",_xlfn.RANK.AVG(E30,$B$2:$S$31,0)),"")</f>
        <v/>
      </c>
      <c r="F64" s="1" t="str">
        <f t="shared" si="29"/>
        <v/>
      </c>
      <c r="G64" s="1" t="str">
        <f t="shared" si="29"/>
        <v/>
      </c>
      <c r="H64" s="1" t="str">
        <f t="shared" si="29"/>
        <v/>
      </c>
      <c r="I64" s="1" t="str">
        <f t="shared" si="29"/>
        <v/>
      </c>
      <c r="J64" s="1" t="str">
        <f t="shared" si="29"/>
        <v/>
      </c>
      <c r="K64" s="1" t="str">
        <f t="shared" si="29"/>
        <v/>
      </c>
      <c r="L64" s="1" t="str">
        <f t="shared" si="29"/>
        <v/>
      </c>
      <c r="M64" s="1" t="str">
        <f t="shared" si="29"/>
        <v/>
      </c>
      <c r="N64" s="1" t="str">
        <f t="shared" si="29"/>
        <v/>
      </c>
      <c r="O64" s="1" t="str">
        <f t="shared" si="29"/>
        <v/>
      </c>
      <c r="P64" s="1" t="str">
        <f t="shared" si="29"/>
        <v/>
      </c>
      <c r="Q64" s="1" t="str">
        <f t="shared" si="29"/>
        <v/>
      </c>
      <c r="R64" s="1" t="str">
        <f t="shared" si="29"/>
        <v/>
      </c>
      <c r="S64" s="1" t="str">
        <f t="shared" si="29"/>
        <v/>
      </c>
    </row>
    <row r="65" spans="1:23" x14ac:dyDescent="0.25">
      <c r="A65" t="s">
        <v>50</v>
      </c>
      <c r="B65" s="1"/>
      <c r="C65" s="1"/>
      <c r="D65" s="1" t="str">
        <f t="shared" si="1"/>
        <v/>
      </c>
      <c r="E65" s="1" t="str">
        <f t="shared" ref="E65:S65" si="30">IFERROR(IF(_xlfn.RANK.AVG(E31,$B$2:$S$31,0)&gt;125,"",_xlfn.RANK.AVG(E31,$B$2:$S$31,0)),"")</f>
        <v/>
      </c>
      <c r="F65" s="1" t="str">
        <f t="shared" si="30"/>
        <v/>
      </c>
      <c r="G65" s="1">
        <f t="shared" si="30"/>
        <v>120.5</v>
      </c>
      <c r="H65" s="1" t="str">
        <f t="shared" si="30"/>
        <v/>
      </c>
      <c r="I65" s="1" t="str">
        <f t="shared" si="30"/>
        <v/>
      </c>
      <c r="J65" s="1" t="str">
        <f t="shared" si="30"/>
        <v/>
      </c>
      <c r="K65" s="1" t="str">
        <f t="shared" si="30"/>
        <v/>
      </c>
      <c r="L65" s="1">
        <f t="shared" si="30"/>
        <v>66</v>
      </c>
      <c r="M65" s="1" t="str">
        <f t="shared" si="30"/>
        <v/>
      </c>
      <c r="N65" s="1" t="str">
        <f t="shared" si="30"/>
        <v/>
      </c>
      <c r="O65" s="1" t="str">
        <f t="shared" si="30"/>
        <v/>
      </c>
      <c r="P65" s="1">
        <f t="shared" si="30"/>
        <v>88</v>
      </c>
      <c r="Q65" s="1" t="str">
        <f t="shared" si="30"/>
        <v/>
      </c>
      <c r="R65" s="1" t="str">
        <f t="shared" si="30"/>
        <v/>
      </c>
      <c r="S65" s="1" t="str">
        <f t="shared" si="30"/>
        <v/>
      </c>
    </row>
    <row r="68" spans="1:23" x14ac:dyDescent="0.25">
      <c r="D68" s="10">
        <f>MIN(D70:D99)</f>
        <v>12</v>
      </c>
      <c r="E68" s="10">
        <f t="shared" ref="E68:S68" si="31">MIN(E70:E99)</f>
        <v>5.5</v>
      </c>
      <c r="F68" s="10">
        <f t="shared" si="31"/>
        <v>25</v>
      </c>
      <c r="G68" s="10">
        <f t="shared" si="31"/>
        <v>19.5</v>
      </c>
      <c r="H68" s="10">
        <f t="shared" si="31"/>
        <v>54.5</v>
      </c>
      <c r="I68" s="10">
        <f t="shared" si="31"/>
        <v>8</v>
      </c>
      <c r="J68" s="10">
        <f t="shared" si="31"/>
        <v>2.5</v>
      </c>
      <c r="K68" s="10">
        <f t="shared" si="31"/>
        <v>12</v>
      </c>
      <c r="L68" s="10">
        <f t="shared" si="31"/>
        <v>2.5</v>
      </c>
      <c r="M68" s="10">
        <f t="shared" si="31"/>
        <v>1</v>
      </c>
      <c r="N68" s="10">
        <f t="shared" si="31"/>
        <v>39</v>
      </c>
      <c r="O68" s="10">
        <f t="shared" si="31"/>
        <v>22</v>
      </c>
      <c r="P68" s="10">
        <f t="shared" si="31"/>
        <v>32.5</v>
      </c>
      <c r="Q68" s="10">
        <f t="shared" si="31"/>
        <v>4</v>
      </c>
      <c r="R68" s="10">
        <f t="shared" si="31"/>
        <v>42</v>
      </c>
      <c r="S68" s="10">
        <f t="shared" si="31"/>
        <v>7</v>
      </c>
    </row>
    <row r="69" spans="1:23" x14ac:dyDescent="0.25">
      <c r="A69" t="s">
        <v>0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9</v>
      </c>
      <c r="K69" t="s">
        <v>10</v>
      </c>
      <c r="L69" t="s">
        <v>11</v>
      </c>
      <c r="M69" t="s">
        <v>12</v>
      </c>
      <c r="N69" t="s">
        <v>13</v>
      </c>
      <c r="O69" t="s">
        <v>14</v>
      </c>
      <c r="P69" t="s">
        <v>15</v>
      </c>
      <c r="Q69" t="s">
        <v>16</v>
      </c>
      <c r="R69" t="s">
        <v>17</v>
      </c>
      <c r="S69" t="s">
        <v>18</v>
      </c>
      <c r="T69" t="s">
        <v>53</v>
      </c>
      <c r="U69" t="s">
        <v>54</v>
      </c>
    </row>
    <row r="70" spans="1:23" x14ac:dyDescent="0.25">
      <c r="A70" t="s">
        <v>26</v>
      </c>
      <c r="B70" s="6"/>
      <c r="C70" s="6"/>
      <c r="D70" s="1" t="str">
        <f t="shared" ref="D70:D93" si="32">VLOOKUP($A70,$A$36:$S$65,4,FALSE)</f>
        <v/>
      </c>
      <c r="E70" s="1" t="str">
        <f t="shared" ref="E70:E93" si="33">VLOOKUP($A70,$A$36:$S$65,5,FALSE)</f>
        <v/>
      </c>
      <c r="F70" s="1" t="str">
        <f t="shared" ref="F70:F93" si="34">VLOOKUP($A70,$A$36:$S$65,6,FALSE)</f>
        <v/>
      </c>
      <c r="G70" s="1" t="str">
        <f t="shared" ref="G70:G77" si="35">VLOOKUP($A70,$A$36:$S$65,7,FALSE)</f>
        <v/>
      </c>
      <c r="H70" s="1" t="str">
        <f t="shared" ref="H70:H93" si="36">VLOOKUP($A70,$A$36:$S$65,8,FALSE)</f>
        <v/>
      </c>
      <c r="I70" s="1" t="str">
        <f t="shared" ref="I70:I93" si="37">VLOOKUP($A70,$A$36:$S$65,9,FALSE)</f>
        <v/>
      </c>
      <c r="J70" s="1" t="str">
        <f t="shared" ref="J70:J93" si="38">VLOOKUP($A70,$A$36:$S$65,10,FALSE)</f>
        <v/>
      </c>
      <c r="K70" s="1" t="str">
        <f t="shared" ref="K70:K93" si="39">VLOOKUP($A70,$A$36:$S$65,11,FALSE)</f>
        <v/>
      </c>
      <c r="L70" s="1" t="str">
        <f t="shared" ref="L70:L93" si="40">VLOOKUP($A70,$A$36:$S$65,12,FALSE)</f>
        <v/>
      </c>
      <c r="M70" s="1" t="str">
        <f t="shared" ref="M70:M93" si="41">VLOOKUP($A70,$A$36:$S$65,13,FALSE)</f>
        <v/>
      </c>
      <c r="N70" s="1" t="str">
        <f t="shared" ref="N70:N93" si="42">VLOOKUP($A70,$A$36:$S$65,14,FALSE)</f>
        <v/>
      </c>
      <c r="O70" s="1" t="str">
        <f t="shared" ref="O70:O93" si="43">VLOOKUP($A70,$A$36:$S$65,15,FALSE)</f>
        <v/>
      </c>
      <c r="P70" s="1" t="str">
        <f t="shared" ref="P70:P93" si="44">VLOOKUP($A70,$A$36:$S$65,16,FALSE)</f>
        <v/>
      </c>
      <c r="Q70" s="1" t="str">
        <f t="shared" ref="Q70:Q93" si="45">VLOOKUP($A70,$A$36:$S$65,17,FALSE)</f>
        <v/>
      </c>
      <c r="R70" s="1" t="str">
        <f t="shared" ref="R70:R93" si="46">VLOOKUP($A70,$A$36:$S$65,18,FALSE)</f>
        <v/>
      </c>
      <c r="S70" s="1" t="str">
        <f t="shared" ref="S70:S93" si="47">VLOOKUP($A70,$A$36:$S$65,19,FALSE)</f>
        <v/>
      </c>
      <c r="T70">
        <f t="shared" ref="T70:T99" si="48">COUNT(B70:S70)</f>
        <v>0</v>
      </c>
      <c r="U70" s="10">
        <f t="shared" ref="U70:U99" si="49">MIN(B70:S70)</f>
        <v>0</v>
      </c>
    </row>
    <row r="71" spans="1:23" x14ac:dyDescent="0.25">
      <c r="A71" t="s">
        <v>24</v>
      </c>
      <c r="B71" s="6"/>
      <c r="C71" s="6"/>
      <c r="D71" s="1" t="str">
        <f t="shared" si="32"/>
        <v/>
      </c>
      <c r="E71" s="1" t="str">
        <f t="shared" si="33"/>
        <v/>
      </c>
      <c r="F71" s="1" t="str">
        <f t="shared" si="34"/>
        <v/>
      </c>
      <c r="G71" s="1" t="str">
        <f t="shared" si="35"/>
        <v/>
      </c>
      <c r="H71" s="1">
        <f t="shared" si="36"/>
        <v>118.5</v>
      </c>
      <c r="I71" s="1" t="str">
        <f t="shared" si="37"/>
        <v/>
      </c>
      <c r="J71" s="1" t="str">
        <f t="shared" si="38"/>
        <v/>
      </c>
      <c r="K71" s="1" t="str">
        <f t="shared" si="39"/>
        <v/>
      </c>
      <c r="L71" s="1" t="str">
        <f t="shared" si="40"/>
        <v/>
      </c>
      <c r="M71" s="1" t="str">
        <f t="shared" si="41"/>
        <v/>
      </c>
      <c r="N71" s="1" t="str">
        <f t="shared" si="42"/>
        <v/>
      </c>
      <c r="O71" s="1" t="str">
        <f t="shared" si="43"/>
        <v/>
      </c>
      <c r="P71" s="1" t="str">
        <f t="shared" si="44"/>
        <v/>
      </c>
      <c r="Q71" s="1" t="str">
        <f t="shared" si="45"/>
        <v/>
      </c>
      <c r="R71" s="1" t="str">
        <f t="shared" si="46"/>
        <v/>
      </c>
      <c r="S71" s="1" t="str">
        <f t="shared" si="47"/>
        <v/>
      </c>
      <c r="T71" s="2">
        <f t="shared" si="48"/>
        <v>1</v>
      </c>
      <c r="U71" s="10">
        <f t="shared" si="49"/>
        <v>118.5</v>
      </c>
    </row>
    <row r="72" spans="1:23" s="2" customFormat="1" x14ac:dyDescent="0.25">
      <c r="A72" t="s">
        <v>45</v>
      </c>
      <c r="B72" s="6"/>
      <c r="C72" s="6"/>
      <c r="D72" s="1" t="str">
        <f t="shared" si="32"/>
        <v/>
      </c>
      <c r="E72" s="1" t="str">
        <f t="shared" si="33"/>
        <v/>
      </c>
      <c r="F72" s="1" t="str">
        <f t="shared" si="34"/>
        <v/>
      </c>
      <c r="G72" s="1">
        <f t="shared" si="35"/>
        <v>108.5</v>
      </c>
      <c r="H72" s="1" t="str">
        <f t="shared" si="36"/>
        <v/>
      </c>
      <c r="I72" s="1" t="str">
        <f t="shared" si="37"/>
        <v/>
      </c>
      <c r="J72" s="1" t="str">
        <f t="shared" si="38"/>
        <v/>
      </c>
      <c r="K72" s="1" t="str">
        <f t="shared" si="39"/>
        <v/>
      </c>
      <c r="L72" s="1" t="str">
        <f t="shared" si="40"/>
        <v/>
      </c>
      <c r="M72" s="1" t="str">
        <f t="shared" si="41"/>
        <v/>
      </c>
      <c r="N72" s="1" t="str">
        <f t="shared" si="42"/>
        <v/>
      </c>
      <c r="O72" s="1" t="str">
        <f t="shared" si="43"/>
        <v/>
      </c>
      <c r="P72" s="1">
        <f t="shared" si="44"/>
        <v>108.5</v>
      </c>
      <c r="Q72" s="1" t="str">
        <f t="shared" si="45"/>
        <v/>
      </c>
      <c r="R72" s="1">
        <f t="shared" si="46"/>
        <v>108.5</v>
      </c>
      <c r="S72" s="1" t="str">
        <f t="shared" si="47"/>
        <v/>
      </c>
      <c r="T72" s="2">
        <f t="shared" si="48"/>
        <v>3</v>
      </c>
      <c r="U72" s="10">
        <f t="shared" si="49"/>
        <v>108.5</v>
      </c>
    </row>
    <row r="73" spans="1:23" s="2" customFormat="1" x14ac:dyDescent="0.25">
      <c r="A73" t="s">
        <v>46</v>
      </c>
      <c r="B73" s="6"/>
      <c r="C73" s="6"/>
      <c r="D73" s="1" t="str">
        <f t="shared" si="32"/>
        <v/>
      </c>
      <c r="E73" s="1" t="str">
        <f t="shared" si="33"/>
        <v/>
      </c>
      <c r="F73" s="1" t="str">
        <f t="shared" si="34"/>
        <v/>
      </c>
      <c r="G73" s="1" t="str">
        <f t="shared" si="35"/>
        <v/>
      </c>
      <c r="H73" s="1" t="str">
        <f t="shared" si="36"/>
        <v/>
      </c>
      <c r="I73" s="1" t="str">
        <f t="shared" si="37"/>
        <v/>
      </c>
      <c r="J73" s="1" t="str">
        <f t="shared" si="38"/>
        <v/>
      </c>
      <c r="K73" s="1" t="str">
        <f t="shared" si="39"/>
        <v/>
      </c>
      <c r="L73" s="1" t="str">
        <f t="shared" si="40"/>
        <v/>
      </c>
      <c r="M73" s="1" t="str">
        <f t="shared" si="41"/>
        <v/>
      </c>
      <c r="N73" s="1" t="str">
        <f t="shared" si="42"/>
        <v/>
      </c>
      <c r="O73" s="1" t="str">
        <f t="shared" si="43"/>
        <v/>
      </c>
      <c r="P73" s="1">
        <f t="shared" si="44"/>
        <v>91.5</v>
      </c>
      <c r="Q73" s="1" t="str">
        <f t="shared" si="45"/>
        <v/>
      </c>
      <c r="R73" s="1" t="str">
        <f t="shared" si="46"/>
        <v/>
      </c>
      <c r="S73" s="1" t="str">
        <f t="shared" si="47"/>
        <v/>
      </c>
      <c r="T73">
        <f t="shared" si="48"/>
        <v>1</v>
      </c>
      <c r="U73" s="10">
        <f t="shared" si="49"/>
        <v>91.5</v>
      </c>
    </row>
    <row r="74" spans="1:23" x14ac:dyDescent="0.25">
      <c r="A74" t="s">
        <v>20</v>
      </c>
      <c r="B74" s="6"/>
      <c r="C74" s="6"/>
      <c r="D74" s="1">
        <f t="shared" si="32"/>
        <v>102.5</v>
      </c>
      <c r="E74" s="1" t="str">
        <f t="shared" si="33"/>
        <v/>
      </c>
      <c r="F74" s="1" t="str">
        <f t="shared" si="34"/>
        <v/>
      </c>
      <c r="G74" s="1" t="str">
        <f t="shared" si="35"/>
        <v/>
      </c>
      <c r="H74" s="1" t="str">
        <f t="shared" si="36"/>
        <v/>
      </c>
      <c r="I74" s="1">
        <f t="shared" si="37"/>
        <v>116.5</v>
      </c>
      <c r="J74" s="1" t="str">
        <f t="shared" si="38"/>
        <v/>
      </c>
      <c r="K74" s="1" t="str">
        <f t="shared" si="39"/>
        <v/>
      </c>
      <c r="L74" s="1">
        <f t="shared" si="40"/>
        <v>102.5</v>
      </c>
      <c r="M74" s="1">
        <f t="shared" si="41"/>
        <v>91.5</v>
      </c>
      <c r="N74" s="1">
        <f t="shared" si="42"/>
        <v>101</v>
      </c>
      <c r="O74" s="1" t="str">
        <f t="shared" si="43"/>
        <v/>
      </c>
      <c r="P74" s="1" t="str">
        <f t="shared" si="44"/>
        <v/>
      </c>
      <c r="Q74" s="1" t="str">
        <f t="shared" si="45"/>
        <v/>
      </c>
      <c r="R74" s="1" t="str">
        <f t="shared" si="46"/>
        <v/>
      </c>
      <c r="S74" s="1">
        <f t="shared" si="47"/>
        <v>91.5</v>
      </c>
      <c r="T74">
        <f t="shared" si="48"/>
        <v>6</v>
      </c>
      <c r="U74" s="10">
        <f t="shared" si="49"/>
        <v>91.5</v>
      </c>
    </row>
    <row r="75" spans="1:23" s="2" customFormat="1" x14ac:dyDescent="0.25">
      <c r="A75" t="s">
        <v>40</v>
      </c>
      <c r="B75" s="6"/>
      <c r="C75" s="6"/>
      <c r="D75" s="1" t="str">
        <f t="shared" si="32"/>
        <v/>
      </c>
      <c r="E75" s="1" t="str">
        <f t="shared" si="33"/>
        <v/>
      </c>
      <c r="F75" s="1" t="str">
        <f t="shared" si="34"/>
        <v/>
      </c>
      <c r="G75" s="1">
        <f t="shared" si="35"/>
        <v>113</v>
      </c>
      <c r="H75" s="1">
        <f t="shared" si="36"/>
        <v>70.5</v>
      </c>
      <c r="I75" s="1" t="str">
        <f t="shared" si="37"/>
        <v/>
      </c>
      <c r="J75" s="1" t="str">
        <f t="shared" si="38"/>
        <v/>
      </c>
      <c r="K75" s="1" t="str">
        <f t="shared" si="39"/>
        <v/>
      </c>
      <c r="L75" s="1">
        <f t="shared" si="40"/>
        <v>124</v>
      </c>
      <c r="M75" s="1" t="str">
        <f t="shared" si="41"/>
        <v/>
      </c>
      <c r="N75" s="1" t="str">
        <f t="shared" si="42"/>
        <v/>
      </c>
      <c r="O75" s="1" t="str">
        <f t="shared" si="43"/>
        <v/>
      </c>
      <c r="P75" s="1" t="str">
        <f t="shared" si="44"/>
        <v/>
      </c>
      <c r="Q75" s="1" t="str">
        <f t="shared" si="45"/>
        <v/>
      </c>
      <c r="R75" s="1">
        <f t="shared" si="46"/>
        <v>124</v>
      </c>
      <c r="S75" s="1" t="str">
        <f t="shared" si="47"/>
        <v/>
      </c>
      <c r="T75">
        <f t="shared" si="48"/>
        <v>4</v>
      </c>
      <c r="U75" s="10">
        <f t="shared" si="49"/>
        <v>70.5</v>
      </c>
    </row>
    <row r="76" spans="1:23" x14ac:dyDescent="0.25">
      <c r="A76" t="s">
        <v>25</v>
      </c>
      <c r="B76" s="6"/>
      <c r="C76" s="6"/>
      <c r="D76" s="1" t="str">
        <f t="shared" si="32"/>
        <v/>
      </c>
      <c r="E76" s="1" t="str">
        <f t="shared" si="33"/>
        <v/>
      </c>
      <c r="F76" s="1" t="str">
        <f t="shared" si="34"/>
        <v/>
      </c>
      <c r="G76" s="1" t="str">
        <f t="shared" si="35"/>
        <v/>
      </c>
      <c r="H76" s="1" t="str">
        <f t="shared" si="36"/>
        <v/>
      </c>
      <c r="I76" s="1">
        <f t="shared" si="37"/>
        <v>66</v>
      </c>
      <c r="J76" s="1" t="str">
        <f t="shared" si="38"/>
        <v/>
      </c>
      <c r="K76" s="1" t="str">
        <f t="shared" si="39"/>
        <v/>
      </c>
      <c r="L76" s="1" t="str">
        <f t="shared" si="40"/>
        <v/>
      </c>
      <c r="M76" s="1" t="str">
        <f t="shared" si="41"/>
        <v/>
      </c>
      <c r="N76" s="1" t="str">
        <f t="shared" si="42"/>
        <v/>
      </c>
      <c r="O76" s="1" t="str">
        <f t="shared" si="43"/>
        <v/>
      </c>
      <c r="P76" s="1" t="str">
        <f t="shared" si="44"/>
        <v/>
      </c>
      <c r="Q76" s="1">
        <f t="shared" si="45"/>
        <v>77.5</v>
      </c>
      <c r="R76" s="1" t="str">
        <f t="shared" si="46"/>
        <v/>
      </c>
      <c r="S76" s="1">
        <f t="shared" si="47"/>
        <v>77.5</v>
      </c>
      <c r="T76">
        <f t="shared" si="48"/>
        <v>3</v>
      </c>
      <c r="U76" s="10">
        <f t="shared" si="49"/>
        <v>66</v>
      </c>
      <c r="V76" t="s">
        <v>55</v>
      </c>
    </row>
    <row r="77" spans="1:23" x14ac:dyDescent="0.25">
      <c r="A77" t="s">
        <v>50</v>
      </c>
      <c r="B77" s="6"/>
      <c r="C77" s="6"/>
      <c r="D77" s="1" t="str">
        <f t="shared" si="32"/>
        <v/>
      </c>
      <c r="E77" s="1" t="str">
        <f t="shared" si="33"/>
        <v/>
      </c>
      <c r="F77" s="1" t="str">
        <f t="shared" si="34"/>
        <v/>
      </c>
      <c r="G77" s="1">
        <f t="shared" si="35"/>
        <v>120.5</v>
      </c>
      <c r="H77" s="1" t="str">
        <f t="shared" si="36"/>
        <v/>
      </c>
      <c r="I77" s="1" t="str">
        <f t="shared" si="37"/>
        <v/>
      </c>
      <c r="J77" s="1" t="str">
        <f t="shared" si="38"/>
        <v/>
      </c>
      <c r="K77" s="1" t="str">
        <f t="shared" si="39"/>
        <v/>
      </c>
      <c r="L77" s="1">
        <f t="shared" si="40"/>
        <v>66</v>
      </c>
      <c r="M77" s="1" t="str">
        <f t="shared" si="41"/>
        <v/>
      </c>
      <c r="N77" s="1" t="str">
        <f t="shared" si="42"/>
        <v/>
      </c>
      <c r="O77" s="1" t="str">
        <f t="shared" si="43"/>
        <v/>
      </c>
      <c r="P77" s="1">
        <f t="shared" si="44"/>
        <v>88</v>
      </c>
      <c r="Q77" s="1" t="str">
        <f t="shared" si="45"/>
        <v/>
      </c>
      <c r="R77" s="1" t="str">
        <f t="shared" si="46"/>
        <v/>
      </c>
      <c r="S77" s="1" t="str">
        <f t="shared" si="47"/>
        <v/>
      </c>
      <c r="T77">
        <f t="shared" si="48"/>
        <v>3</v>
      </c>
      <c r="U77" s="10">
        <f t="shared" si="49"/>
        <v>66</v>
      </c>
      <c r="V77">
        <v>11</v>
      </c>
      <c r="W77">
        <f t="shared" ref="W77:W86" si="50">COUNTIF($T$70:$T$99,V77)</f>
        <v>1</v>
      </c>
    </row>
    <row r="78" spans="1:23" ht="18.75" x14ac:dyDescent="0.3">
      <c r="A78" t="s">
        <v>27</v>
      </c>
      <c r="B78" s="6"/>
      <c r="C78" s="6"/>
      <c r="D78" s="1" t="str">
        <f t="shared" si="32"/>
        <v/>
      </c>
      <c r="E78" s="1" t="str">
        <f t="shared" si="33"/>
        <v/>
      </c>
      <c r="F78" s="7">
        <f t="shared" si="34"/>
        <v>62</v>
      </c>
      <c r="G78" s="1">
        <f>VLOOKUP($A78,$A$36:$S$65,6,FALSE)</f>
        <v>62</v>
      </c>
      <c r="H78" s="1" t="str">
        <f t="shared" si="36"/>
        <v/>
      </c>
      <c r="I78" s="1" t="str">
        <f t="shared" si="37"/>
        <v/>
      </c>
      <c r="J78" s="1" t="str">
        <f t="shared" si="38"/>
        <v/>
      </c>
      <c r="K78" s="1" t="str">
        <f t="shared" si="39"/>
        <v/>
      </c>
      <c r="L78" s="1" t="str">
        <f t="shared" si="40"/>
        <v/>
      </c>
      <c r="M78" s="1" t="str">
        <f t="shared" si="41"/>
        <v/>
      </c>
      <c r="N78" s="1" t="str">
        <f t="shared" si="42"/>
        <v/>
      </c>
      <c r="O78" s="1" t="str">
        <f t="shared" si="43"/>
        <v/>
      </c>
      <c r="P78" s="1" t="str">
        <f t="shared" si="44"/>
        <v/>
      </c>
      <c r="Q78" s="1" t="str">
        <f t="shared" si="45"/>
        <v/>
      </c>
      <c r="R78" s="1" t="str">
        <f t="shared" si="46"/>
        <v/>
      </c>
      <c r="S78" s="1">
        <f t="shared" si="47"/>
        <v>99</v>
      </c>
      <c r="T78">
        <f t="shared" si="48"/>
        <v>3</v>
      </c>
      <c r="U78" s="10">
        <f t="shared" si="49"/>
        <v>62</v>
      </c>
      <c r="V78">
        <v>10</v>
      </c>
      <c r="W78">
        <f t="shared" si="50"/>
        <v>2</v>
      </c>
    </row>
    <row r="79" spans="1:23" ht="18.75" x14ac:dyDescent="0.3">
      <c r="A79" t="s">
        <v>35</v>
      </c>
      <c r="B79" s="6"/>
      <c r="C79" s="6"/>
      <c r="D79" s="1" t="str">
        <f t="shared" si="32"/>
        <v/>
      </c>
      <c r="E79" s="1" t="str">
        <f t="shared" si="33"/>
        <v/>
      </c>
      <c r="F79" s="1" t="str">
        <f t="shared" si="34"/>
        <v/>
      </c>
      <c r="G79" s="7">
        <f t="shared" ref="G79:G93" si="51">VLOOKUP($A79,$A$36:$S$65,7,FALSE)</f>
        <v>60</v>
      </c>
      <c r="H79" s="1" t="str">
        <f t="shared" si="36"/>
        <v/>
      </c>
      <c r="I79" s="1" t="str">
        <f t="shared" si="37"/>
        <v/>
      </c>
      <c r="J79" s="1" t="str">
        <f t="shared" si="38"/>
        <v/>
      </c>
      <c r="K79" s="1" t="str">
        <f t="shared" si="39"/>
        <v/>
      </c>
      <c r="L79" s="1" t="str">
        <f t="shared" si="40"/>
        <v/>
      </c>
      <c r="M79" s="1" t="str">
        <f t="shared" si="41"/>
        <v/>
      </c>
      <c r="N79" s="1" t="str">
        <f t="shared" si="42"/>
        <v/>
      </c>
      <c r="O79" s="1" t="str">
        <f t="shared" si="43"/>
        <v/>
      </c>
      <c r="P79" s="1" t="str">
        <f t="shared" si="44"/>
        <v/>
      </c>
      <c r="Q79" s="1" t="str">
        <f t="shared" si="45"/>
        <v/>
      </c>
      <c r="R79" s="1" t="str">
        <f t="shared" si="46"/>
        <v/>
      </c>
      <c r="S79" s="1" t="str">
        <f t="shared" si="47"/>
        <v/>
      </c>
      <c r="T79">
        <f t="shared" si="48"/>
        <v>1</v>
      </c>
      <c r="U79" s="10">
        <f t="shared" si="49"/>
        <v>60</v>
      </c>
      <c r="V79">
        <v>8</v>
      </c>
      <c r="W79">
        <f t="shared" si="50"/>
        <v>1</v>
      </c>
    </row>
    <row r="80" spans="1:23" x14ac:dyDescent="0.25">
      <c r="A80" t="s">
        <v>39</v>
      </c>
      <c r="B80" s="6"/>
      <c r="C80" s="6"/>
      <c r="D80" s="1" t="str">
        <f t="shared" si="32"/>
        <v/>
      </c>
      <c r="E80" s="1" t="str">
        <f t="shared" si="33"/>
        <v/>
      </c>
      <c r="F80" s="1">
        <f t="shared" si="34"/>
        <v>59</v>
      </c>
      <c r="G80" s="1" t="str">
        <f t="shared" si="51"/>
        <v/>
      </c>
      <c r="H80" s="1" t="str">
        <f t="shared" si="36"/>
        <v/>
      </c>
      <c r="I80" s="1" t="str">
        <f t="shared" si="37"/>
        <v/>
      </c>
      <c r="J80" s="1" t="str">
        <f t="shared" si="38"/>
        <v/>
      </c>
      <c r="K80" s="1" t="str">
        <f t="shared" si="39"/>
        <v/>
      </c>
      <c r="L80" s="1">
        <f t="shared" si="40"/>
        <v>105</v>
      </c>
      <c r="M80" s="1" t="str">
        <f t="shared" si="41"/>
        <v/>
      </c>
      <c r="N80" s="1" t="str">
        <f t="shared" si="42"/>
        <v/>
      </c>
      <c r="O80" s="1" t="str">
        <f t="shared" si="43"/>
        <v/>
      </c>
      <c r="P80" s="1" t="str">
        <f t="shared" si="44"/>
        <v/>
      </c>
      <c r="Q80" s="1">
        <f t="shared" si="45"/>
        <v>77.5</v>
      </c>
      <c r="R80" s="1" t="str">
        <f t="shared" si="46"/>
        <v/>
      </c>
      <c r="S80" s="1" t="str">
        <f t="shared" si="47"/>
        <v/>
      </c>
      <c r="T80">
        <f t="shared" si="48"/>
        <v>3</v>
      </c>
      <c r="U80" s="10">
        <f t="shared" si="49"/>
        <v>59</v>
      </c>
      <c r="V80">
        <v>7</v>
      </c>
      <c r="W80">
        <f t="shared" si="50"/>
        <v>0</v>
      </c>
    </row>
    <row r="81" spans="1:23" x14ac:dyDescent="0.25">
      <c r="A81" t="s">
        <v>19</v>
      </c>
      <c r="B81" s="6"/>
      <c r="C81" s="6"/>
      <c r="D81" s="1" t="str">
        <f t="shared" si="32"/>
        <v/>
      </c>
      <c r="E81" s="1" t="str">
        <f t="shared" si="33"/>
        <v/>
      </c>
      <c r="F81" s="1">
        <f t="shared" si="34"/>
        <v>52.5</v>
      </c>
      <c r="G81" s="1" t="str">
        <f t="shared" si="51"/>
        <v/>
      </c>
      <c r="H81" s="1" t="str">
        <f t="shared" si="36"/>
        <v/>
      </c>
      <c r="I81" s="1" t="str">
        <f t="shared" si="37"/>
        <v/>
      </c>
      <c r="J81" s="1" t="str">
        <f t="shared" si="38"/>
        <v/>
      </c>
      <c r="K81" s="1" t="str">
        <f t="shared" si="39"/>
        <v/>
      </c>
      <c r="L81" s="1" t="str">
        <f t="shared" si="40"/>
        <v/>
      </c>
      <c r="M81" s="1" t="str">
        <f t="shared" si="41"/>
        <v/>
      </c>
      <c r="N81" s="1" t="str">
        <f t="shared" si="42"/>
        <v/>
      </c>
      <c r="O81" s="1" t="str">
        <f t="shared" si="43"/>
        <v/>
      </c>
      <c r="P81" s="1" t="str">
        <f t="shared" si="44"/>
        <v/>
      </c>
      <c r="Q81" s="1" t="str">
        <f t="shared" si="45"/>
        <v/>
      </c>
      <c r="R81" s="1" t="str">
        <f t="shared" si="46"/>
        <v/>
      </c>
      <c r="S81" s="1" t="str">
        <f t="shared" si="47"/>
        <v/>
      </c>
      <c r="T81">
        <f t="shared" si="48"/>
        <v>1</v>
      </c>
      <c r="U81" s="10">
        <f t="shared" si="49"/>
        <v>52.5</v>
      </c>
      <c r="V81">
        <v>6</v>
      </c>
      <c r="W81">
        <f t="shared" si="50"/>
        <v>1</v>
      </c>
    </row>
    <row r="82" spans="1:23" x14ac:dyDescent="0.25">
      <c r="A82" t="s">
        <v>31</v>
      </c>
      <c r="B82" s="6"/>
      <c r="C82" s="6"/>
      <c r="D82" s="1" t="str">
        <f t="shared" si="32"/>
        <v/>
      </c>
      <c r="E82" s="1">
        <f t="shared" si="33"/>
        <v>49</v>
      </c>
      <c r="F82" s="1" t="str">
        <f t="shared" si="34"/>
        <v/>
      </c>
      <c r="G82" s="1" t="str">
        <f t="shared" si="51"/>
        <v/>
      </c>
      <c r="H82" s="1" t="str">
        <f t="shared" si="36"/>
        <v/>
      </c>
      <c r="I82" s="1" t="str">
        <f t="shared" si="37"/>
        <v/>
      </c>
      <c r="J82" s="1" t="str">
        <f t="shared" si="38"/>
        <v/>
      </c>
      <c r="K82" s="1" t="str">
        <f t="shared" si="39"/>
        <v/>
      </c>
      <c r="L82" s="1">
        <f t="shared" si="40"/>
        <v>49</v>
      </c>
      <c r="M82" s="1" t="str">
        <f t="shared" si="41"/>
        <v/>
      </c>
      <c r="N82" s="1" t="str">
        <f t="shared" si="42"/>
        <v/>
      </c>
      <c r="O82" s="1" t="str">
        <f t="shared" si="43"/>
        <v/>
      </c>
      <c r="P82" s="1" t="str">
        <f t="shared" si="44"/>
        <v/>
      </c>
      <c r="Q82" s="1" t="str">
        <f t="shared" si="45"/>
        <v/>
      </c>
      <c r="R82" s="1" t="str">
        <f t="shared" si="46"/>
        <v/>
      </c>
      <c r="S82" s="1" t="str">
        <f t="shared" si="47"/>
        <v/>
      </c>
      <c r="T82">
        <f t="shared" si="48"/>
        <v>2</v>
      </c>
      <c r="U82" s="10">
        <f t="shared" si="49"/>
        <v>49</v>
      </c>
      <c r="V82">
        <v>5</v>
      </c>
      <c r="W82">
        <f t="shared" si="50"/>
        <v>0</v>
      </c>
    </row>
    <row r="83" spans="1:23" x14ac:dyDescent="0.25">
      <c r="A83" t="s">
        <v>47</v>
      </c>
      <c r="B83" s="6"/>
      <c r="C83" s="6"/>
      <c r="D83" s="1">
        <f t="shared" si="32"/>
        <v>77.5</v>
      </c>
      <c r="E83" s="1" t="str">
        <f t="shared" si="33"/>
        <v/>
      </c>
      <c r="F83" s="1" t="str">
        <f t="shared" si="34"/>
        <v/>
      </c>
      <c r="G83" s="1" t="str">
        <f t="shared" si="51"/>
        <v/>
      </c>
      <c r="H83" s="1" t="str">
        <f t="shared" si="36"/>
        <v/>
      </c>
      <c r="I83" s="1" t="str">
        <f t="shared" si="37"/>
        <v/>
      </c>
      <c r="J83" s="1" t="str">
        <f t="shared" si="38"/>
        <v/>
      </c>
      <c r="K83" s="1" t="str">
        <f t="shared" si="39"/>
        <v/>
      </c>
      <c r="L83" s="1" t="str">
        <f t="shared" si="40"/>
        <v/>
      </c>
      <c r="M83" s="1">
        <f t="shared" si="41"/>
        <v>49</v>
      </c>
      <c r="N83" s="1" t="str">
        <f t="shared" si="42"/>
        <v/>
      </c>
      <c r="O83" s="1" t="str">
        <f t="shared" si="43"/>
        <v/>
      </c>
      <c r="P83" s="1" t="str">
        <f t="shared" si="44"/>
        <v/>
      </c>
      <c r="Q83" s="1" t="str">
        <f t="shared" si="45"/>
        <v/>
      </c>
      <c r="R83" s="1">
        <f t="shared" si="46"/>
        <v>88</v>
      </c>
      <c r="S83" s="1" t="str">
        <f t="shared" si="47"/>
        <v/>
      </c>
      <c r="T83">
        <f t="shared" si="48"/>
        <v>3</v>
      </c>
      <c r="U83" s="10">
        <f t="shared" si="49"/>
        <v>49</v>
      </c>
      <c r="V83">
        <v>4</v>
      </c>
      <c r="W83">
        <f t="shared" si="50"/>
        <v>1</v>
      </c>
    </row>
    <row r="84" spans="1:23" s="2" customFormat="1" x14ac:dyDescent="0.25">
      <c r="A84" t="s">
        <v>33</v>
      </c>
      <c r="B84" s="6"/>
      <c r="C84" s="6"/>
      <c r="D84" s="1" t="str">
        <f t="shared" si="32"/>
        <v/>
      </c>
      <c r="E84" s="1" t="str">
        <f t="shared" si="33"/>
        <v/>
      </c>
      <c r="F84" s="1" t="str">
        <f t="shared" si="34"/>
        <v/>
      </c>
      <c r="G84" s="1" t="str">
        <f t="shared" si="51"/>
        <v/>
      </c>
      <c r="H84" s="1" t="str">
        <f t="shared" si="36"/>
        <v/>
      </c>
      <c r="I84" s="1" t="str">
        <f t="shared" si="37"/>
        <v/>
      </c>
      <c r="J84" s="1" t="str">
        <f t="shared" si="38"/>
        <v/>
      </c>
      <c r="K84" s="1" t="str">
        <f t="shared" si="39"/>
        <v/>
      </c>
      <c r="L84" s="1" t="str">
        <f t="shared" si="40"/>
        <v/>
      </c>
      <c r="M84" s="1" t="str">
        <f t="shared" si="41"/>
        <v/>
      </c>
      <c r="N84" s="1">
        <f t="shared" si="42"/>
        <v>45.5</v>
      </c>
      <c r="O84" s="1" t="str">
        <f t="shared" si="43"/>
        <v/>
      </c>
      <c r="P84" s="1">
        <f t="shared" si="44"/>
        <v>81.5</v>
      </c>
      <c r="Q84" s="1" t="str">
        <f t="shared" si="45"/>
        <v/>
      </c>
      <c r="R84" s="1" t="str">
        <f t="shared" si="46"/>
        <v/>
      </c>
      <c r="S84" s="1">
        <f t="shared" si="47"/>
        <v>45.5</v>
      </c>
      <c r="T84">
        <f t="shared" si="48"/>
        <v>3</v>
      </c>
      <c r="U84" s="10">
        <f t="shared" si="49"/>
        <v>45.5</v>
      </c>
      <c r="V84">
        <v>3</v>
      </c>
      <c r="W84">
        <f t="shared" si="50"/>
        <v>8</v>
      </c>
    </row>
    <row r="85" spans="1:23" s="2" customFormat="1" x14ac:dyDescent="0.25">
      <c r="A85" t="s">
        <v>32</v>
      </c>
      <c r="B85" s="6"/>
      <c r="C85" s="6"/>
      <c r="D85" s="1">
        <f t="shared" si="32"/>
        <v>32.5</v>
      </c>
      <c r="E85" s="1" t="str">
        <f t="shared" si="33"/>
        <v/>
      </c>
      <c r="F85" s="1" t="str">
        <f t="shared" si="34"/>
        <v/>
      </c>
      <c r="G85" s="1" t="str">
        <f t="shared" si="51"/>
        <v/>
      </c>
      <c r="H85" s="1" t="str">
        <f t="shared" si="36"/>
        <v/>
      </c>
      <c r="I85" s="1">
        <f t="shared" si="37"/>
        <v>32.5</v>
      </c>
      <c r="J85" s="1" t="str">
        <f t="shared" si="38"/>
        <v/>
      </c>
      <c r="K85" s="1" t="str">
        <f t="shared" si="39"/>
        <v/>
      </c>
      <c r="L85" s="1" t="str">
        <f t="shared" si="40"/>
        <v/>
      </c>
      <c r="M85" s="1" t="str">
        <f t="shared" si="41"/>
        <v/>
      </c>
      <c r="N85" s="1" t="str">
        <f t="shared" si="42"/>
        <v/>
      </c>
      <c r="O85" s="1" t="str">
        <f t="shared" si="43"/>
        <v/>
      </c>
      <c r="P85" s="1" t="str">
        <f t="shared" si="44"/>
        <v/>
      </c>
      <c r="Q85" s="1">
        <f t="shared" si="45"/>
        <v>113</v>
      </c>
      <c r="R85" s="1" t="str">
        <f t="shared" si="46"/>
        <v/>
      </c>
      <c r="S85" s="1" t="str">
        <f t="shared" si="47"/>
        <v/>
      </c>
      <c r="T85">
        <f t="shared" si="48"/>
        <v>3</v>
      </c>
      <c r="U85" s="10">
        <f t="shared" si="49"/>
        <v>32.5</v>
      </c>
      <c r="V85">
        <v>2</v>
      </c>
      <c r="W85">
        <f t="shared" si="50"/>
        <v>1</v>
      </c>
    </row>
    <row r="86" spans="1:23" s="2" customFormat="1" x14ac:dyDescent="0.25">
      <c r="A86" t="s">
        <v>48</v>
      </c>
      <c r="B86" s="6"/>
      <c r="C86" s="6"/>
      <c r="D86" s="1">
        <f t="shared" si="32"/>
        <v>35</v>
      </c>
      <c r="E86" s="1" t="str">
        <f t="shared" si="33"/>
        <v/>
      </c>
      <c r="F86" s="1">
        <f t="shared" si="34"/>
        <v>124</v>
      </c>
      <c r="G86" s="1">
        <f t="shared" si="51"/>
        <v>66</v>
      </c>
      <c r="H86" s="1" t="str">
        <f t="shared" si="36"/>
        <v/>
      </c>
      <c r="I86" s="1">
        <f t="shared" si="37"/>
        <v>27</v>
      </c>
      <c r="J86" s="1" t="str">
        <f t="shared" si="38"/>
        <v/>
      </c>
      <c r="K86" s="1">
        <f t="shared" si="39"/>
        <v>84.5</v>
      </c>
      <c r="L86" s="1" t="str">
        <f t="shared" si="40"/>
        <v/>
      </c>
      <c r="M86" s="1" t="str">
        <f t="shared" si="41"/>
        <v/>
      </c>
      <c r="N86" s="1">
        <f t="shared" si="42"/>
        <v>120.5</v>
      </c>
      <c r="O86" s="1">
        <f t="shared" si="43"/>
        <v>27</v>
      </c>
      <c r="P86" s="1">
        <f t="shared" si="44"/>
        <v>105</v>
      </c>
      <c r="Q86" s="1">
        <f t="shared" si="45"/>
        <v>37</v>
      </c>
      <c r="R86" s="1">
        <f t="shared" si="46"/>
        <v>42</v>
      </c>
      <c r="S86" s="1">
        <f t="shared" si="47"/>
        <v>37</v>
      </c>
      <c r="T86">
        <f t="shared" si="48"/>
        <v>11</v>
      </c>
      <c r="U86" s="10">
        <f t="shared" si="49"/>
        <v>27</v>
      </c>
      <c r="V86">
        <v>1</v>
      </c>
      <c r="W86">
        <f t="shared" si="50"/>
        <v>4</v>
      </c>
    </row>
    <row r="87" spans="1:23" x14ac:dyDescent="0.25">
      <c r="A87" t="s">
        <v>44</v>
      </c>
      <c r="B87" s="6"/>
      <c r="C87" s="6"/>
      <c r="D87" s="1" t="str">
        <f t="shared" si="32"/>
        <v/>
      </c>
      <c r="E87" s="1" t="str">
        <f t="shared" si="33"/>
        <v/>
      </c>
      <c r="F87" s="1" t="str">
        <f t="shared" si="34"/>
        <v/>
      </c>
      <c r="G87" s="1">
        <f t="shared" si="51"/>
        <v>19.5</v>
      </c>
      <c r="H87" s="1">
        <f t="shared" si="36"/>
        <v>105</v>
      </c>
      <c r="I87" s="1">
        <f t="shared" si="37"/>
        <v>19.5</v>
      </c>
      <c r="J87" s="1" t="str">
        <f t="shared" si="38"/>
        <v/>
      </c>
      <c r="K87" s="1" t="str">
        <f t="shared" si="39"/>
        <v/>
      </c>
      <c r="L87" s="1" t="str">
        <f t="shared" si="40"/>
        <v/>
      </c>
      <c r="M87" s="1">
        <f t="shared" si="41"/>
        <v>81.5</v>
      </c>
      <c r="N87" s="1">
        <f t="shared" si="42"/>
        <v>39</v>
      </c>
      <c r="O87" s="1" t="str">
        <f t="shared" si="43"/>
        <v/>
      </c>
      <c r="P87" s="1">
        <f t="shared" si="44"/>
        <v>49</v>
      </c>
      <c r="Q87" s="1">
        <f t="shared" si="45"/>
        <v>95.5</v>
      </c>
      <c r="R87" s="1" t="str">
        <f t="shared" si="46"/>
        <v/>
      </c>
      <c r="S87" s="1">
        <f t="shared" si="47"/>
        <v>95.5</v>
      </c>
      <c r="T87">
        <f t="shared" si="48"/>
        <v>8</v>
      </c>
      <c r="U87" s="10">
        <f t="shared" si="49"/>
        <v>19.5</v>
      </c>
    </row>
    <row r="88" spans="1:23" x14ac:dyDescent="0.25">
      <c r="A88" t="s">
        <v>29</v>
      </c>
      <c r="B88" s="6"/>
      <c r="C88" s="6"/>
      <c r="D88" s="1" t="str">
        <f t="shared" si="32"/>
        <v/>
      </c>
      <c r="E88" s="1">
        <f t="shared" si="33"/>
        <v>10</v>
      </c>
      <c r="F88" s="1">
        <f t="shared" si="34"/>
        <v>62</v>
      </c>
      <c r="G88" s="1" t="str">
        <f t="shared" si="51"/>
        <v/>
      </c>
      <c r="H88" s="1">
        <f t="shared" si="36"/>
        <v>113</v>
      </c>
      <c r="I88" s="1" t="str">
        <f t="shared" si="37"/>
        <v/>
      </c>
      <c r="J88" s="1">
        <f t="shared" si="38"/>
        <v>84.5</v>
      </c>
      <c r="K88" s="1">
        <f t="shared" si="39"/>
        <v>73.5</v>
      </c>
      <c r="L88" s="1" t="str">
        <f t="shared" si="40"/>
        <v/>
      </c>
      <c r="M88" s="1">
        <f t="shared" si="41"/>
        <v>17</v>
      </c>
      <c r="N88" s="1" t="str">
        <f t="shared" si="42"/>
        <v/>
      </c>
      <c r="O88" s="1">
        <f t="shared" si="43"/>
        <v>66</v>
      </c>
      <c r="P88" s="1" t="str">
        <f t="shared" si="44"/>
        <v/>
      </c>
      <c r="Q88" s="1">
        <f t="shared" si="45"/>
        <v>43.5</v>
      </c>
      <c r="R88" s="1">
        <f t="shared" si="46"/>
        <v>84.5</v>
      </c>
      <c r="S88" s="1">
        <f t="shared" si="47"/>
        <v>24</v>
      </c>
      <c r="T88">
        <f t="shared" si="48"/>
        <v>10</v>
      </c>
      <c r="U88" s="10">
        <f t="shared" si="49"/>
        <v>10</v>
      </c>
    </row>
    <row r="89" spans="1:23" s="5" customFormat="1" x14ac:dyDescent="0.25">
      <c r="A89" t="s">
        <v>30</v>
      </c>
      <c r="B89" s="6"/>
      <c r="C89" s="6"/>
      <c r="D89" s="1">
        <f t="shared" si="32"/>
        <v>14</v>
      </c>
      <c r="E89" s="1">
        <f t="shared" si="33"/>
        <v>72</v>
      </c>
      <c r="F89" s="1" t="str">
        <f t="shared" si="34"/>
        <v/>
      </c>
      <c r="G89" s="1">
        <f t="shared" si="51"/>
        <v>70.5</v>
      </c>
      <c r="H89" s="1">
        <f t="shared" si="36"/>
        <v>54.5</v>
      </c>
      <c r="I89" s="1">
        <f t="shared" si="37"/>
        <v>52.5</v>
      </c>
      <c r="J89" s="1">
        <f t="shared" si="38"/>
        <v>9</v>
      </c>
      <c r="K89" s="1" t="str">
        <f t="shared" si="39"/>
        <v/>
      </c>
      <c r="L89" s="1">
        <f t="shared" si="40"/>
        <v>18</v>
      </c>
      <c r="M89" s="1">
        <f t="shared" si="41"/>
        <v>95.5</v>
      </c>
      <c r="N89" s="1" t="str">
        <f t="shared" si="42"/>
        <v/>
      </c>
      <c r="O89" s="1">
        <f t="shared" si="43"/>
        <v>29.5</v>
      </c>
      <c r="P89" s="1">
        <f t="shared" si="44"/>
        <v>116.5</v>
      </c>
      <c r="Q89" s="1">
        <f t="shared" si="45"/>
        <v>29.5</v>
      </c>
      <c r="R89" s="1" t="str">
        <f t="shared" si="46"/>
        <v/>
      </c>
      <c r="S89" s="1">
        <f t="shared" si="47"/>
        <v>95.5</v>
      </c>
      <c r="T89">
        <f t="shared" si="48"/>
        <v>12</v>
      </c>
      <c r="U89" s="10">
        <f t="shared" si="49"/>
        <v>9</v>
      </c>
    </row>
    <row r="90" spans="1:23" s="5" customFormat="1" x14ac:dyDescent="0.25">
      <c r="A90" t="s">
        <v>36</v>
      </c>
      <c r="B90" s="6"/>
      <c r="C90" s="6"/>
      <c r="D90" s="1" t="str">
        <f t="shared" si="32"/>
        <v/>
      </c>
      <c r="E90" s="1">
        <f t="shared" si="33"/>
        <v>37</v>
      </c>
      <c r="F90" s="1">
        <f t="shared" si="34"/>
        <v>124</v>
      </c>
      <c r="G90" s="1">
        <f t="shared" si="51"/>
        <v>22</v>
      </c>
      <c r="H90" s="1">
        <f t="shared" si="36"/>
        <v>113</v>
      </c>
      <c r="I90" s="1" t="str">
        <f t="shared" si="37"/>
        <v/>
      </c>
      <c r="J90" s="1">
        <f t="shared" si="38"/>
        <v>5.5</v>
      </c>
      <c r="K90" s="1">
        <f t="shared" si="39"/>
        <v>77.5</v>
      </c>
      <c r="L90" s="1">
        <f t="shared" si="40"/>
        <v>88</v>
      </c>
      <c r="M90" s="1" t="str">
        <f t="shared" si="41"/>
        <v/>
      </c>
      <c r="N90" s="1">
        <f t="shared" si="42"/>
        <v>62</v>
      </c>
      <c r="O90" s="1" t="str">
        <f t="shared" si="43"/>
        <v/>
      </c>
      <c r="P90" s="1" t="str">
        <f t="shared" si="44"/>
        <v/>
      </c>
      <c r="Q90" s="1">
        <f t="shared" si="45"/>
        <v>113</v>
      </c>
      <c r="R90" s="1">
        <f t="shared" si="46"/>
        <v>84.5</v>
      </c>
      <c r="S90" s="1" t="str">
        <f t="shared" si="47"/>
        <v/>
      </c>
      <c r="T90">
        <f t="shared" si="48"/>
        <v>10</v>
      </c>
      <c r="U90" s="10">
        <f t="shared" si="49"/>
        <v>5.5</v>
      </c>
    </row>
    <row r="91" spans="1:23" x14ac:dyDescent="0.25">
      <c r="A91" t="s">
        <v>22</v>
      </c>
      <c r="B91" s="6"/>
      <c r="C91" s="6"/>
      <c r="D91" s="1">
        <f t="shared" si="32"/>
        <v>12</v>
      </c>
      <c r="E91" s="1">
        <f t="shared" si="33"/>
        <v>5.5</v>
      </c>
      <c r="F91" s="1">
        <f t="shared" si="34"/>
        <v>32.5</v>
      </c>
      <c r="G91" s="1">
        <f t="shared" si="51"/>
        <v>43.5</v>
      </c>
      <c r="H91" s="1" t="str">
        <f t="shared" si="36"/>
        <v/>
      </c>
      <c r="I91" s="1">
        <f t="shared" si="37"/>
        <v>8</v>
      </c>
      <c r="J91" s="1" t="str">
        <f t="shared" si="38"/>
        <v/>
      </c>
      <c r="K91" s="1">
        <f t="shared" si="39"/>
        <v>12</v>
      </c>
      <c r="L91" s="1">
        <f t="shared" si="40"/>
        <v>118.5</v>
      </c>
      <c r="M91" s="1">
        <f t="shared" si="41"/>
        <v>54.5</v>
      </c>
      <c r="N91" s="1">
        <f t="shared" si="42"/>
        <v>49</v>
      </c>
      <c r="O91" s="1">
        <f t="shared" si="43"/>
        <v>69</v>
      </c>
      <c r="P91" s="1">
        <f t="shared" si="44"/>
        <v>32.5</v>
      </c>
      <c r="Q91" s="1">
        <f t="shared" si="45"/>
        <v>12</v>
      </c>
      <c r="R91" s="1" t="str">
        <f t="shared" si="46"/>
        <v/>
      </c>
      <c r="S91" s="1">
        <f t="shared" si="47"/>
        <v>7</v>
      </c>
      <c r="T91">
        <f t="shared" si="48"/>
        <v>13</v>
      </c>
      <c r="U91" s="10">
        <f t="shared" si="49"/>
        <v>5.5</v>
      </c>
    </row>
    <row r="92" spans="1:23" x14ac:dyDescent="0.25">
      <c r="A92" t="s">
        <v>34</v>
      </c>
      <c r="B92" s="6"/>
      <c r="C92" s="6"/>
      <c r="D92" s="1">
        <f t="shared" si="32"/>
        <v>27</v>
      </c>
      <c r="E92" s="1" t="str">
        <f t="shared" si="33"/>
        <v/>
      </c>
      <c r="F92" s="1">
        <f t="shared" si="34"/>
        <v>77.5</v>
      </c>
      <c r="G92" s="1" t="str">
        <f t="shared" si="51"/>
        <v/>
      </c>
      <c r="H92" s="1">
        <f t="shared" si="36"/>
        <v>57</v>
      </c>
      <c r="I92" s="1">
        <f t="shared" si="37"/>
        <v>108.5</v>
      </c>
      <c r="J92" s="1" t="str">
        <f t="shared" si="38"/>
        <v/>
      </c>
      <c r="K92" s="1" t="str">
        <f t="shared" si="39"/>
        <v/>
      </c>
      <c r="L92" s="1" t="str">
        <f t="shared" si="40"/>
        <v/>
      </c>
      <c r="M92" s="1">
        <f t="shared" si="41"/>
        <v>99</v>
      </c>
      <c r="N92" s="1">
        <f t="shared" si="42"/>
        <v>99</v>
      </c>
      <c r="O92" s="1">
        <f t="shared" si="43"/>
        <v>73.5</v>
      </c>
      <c r="P92" s="1" t="str">
        <f t="shared" si="44"/>
        <v/>
      </c>
      <c r="Q92" s="1">
        <f t="shared" si="45"/>
        <v>4</v>
      </c>
      <c r="R92" s="1" t="str">
        <f t="shared" si="46"/>
        <v/>
      </c>
      <c r="S92" s="1">
        <f t="shared" si="47"/>
        <v>57</v>
      </c>
      <c r="T92">
        <f t="shared" si="48"/>
        <v>9</v>
      </c>
      <c r="U92" s="10">
        <f t="shared" si="49"/>
        <v>4</v>
      </c>
    </row>
    <row r="93" spans="1:23" x14ac:dyDescent="0.25">
      <c r="A93" t="s">
        <v>21</v>
      </c>
      <c r="B93" s="6"/>
      <c r="C93" s="6"/>
      <c r="D93" s="1" t="str">
        <f t="shared" si="32"/>
        <v/>
      </c>
      <c r="E93" s="1">
        <f t="shared" si="33"/>
        <v>124</v>
      </c>
      <c r="F93" s="1">
        <f t="shared" si="34"/>
        <v>25</v>
      </c>
      <c r="G93" s="1">
        <f t="shared" si="51"/>
        <v>91.5</v>
      </c>
      <c r="H93" s="1" t="str">
        <f t="shared" si="36"/>
        <v/>
      </c>
      <c r="I93" s="1">
        <f t="shared" si="37"/>
        <v>15</v>
      </c>
      <c r="J93" s="1">
        <f t="shared" si="38"/>
        <v>2.5</v>
      </c>
      <c r="K93" s="1">
        <f t="shared" si="39"/>
        <v>57</v>
      </c>
      <c r="L93" s="1">
        <f t="shared" si="40"/>
        <v>2.5</v>
      </c>
      <c r="M93" s="1">
        <f t="shared" si="41"/>
        <v>1</v>
      </c>
      <c r="N93" s="1">
        <f t="shared" si="42"/>
        <v>40.5</v>
      </c>
      <c r="O93" s="1">
        <f t="shared" si="43"/>
        <v>22</v>
      </c>
      <c r="P93" s="1">
        <f t="shared" si="44"/>
        <v>40.5</v>
      </c>
      <c r="Q93" s="1">
        <f t="shared" si="45"/>
        <v>16</v>
      </c>
      <c r="R93" s="1" t="str">
        <f t="shared" si="46"/>
        <v/>
      </c>
      <c r="S93" s="1">
        <f t="shared" si="47"/>
        <v>22</v>
      </c>
      <c r="T93">
        <f t="shared" si="48"/>
        <v>13</v>
      </c>
      <c r="U93" s="10">
        <f t="shared" si="49"/>
        <v>1</v>
      </c>
    </row>
    <row r="94" spans="1:23" s="2" customFormat="1" x14ac:dyDescent="0.25">
      <c r="A94" t="s">
        <v>23</v>
      </c>
      <c r="B94" s="6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>
        <f t="shared" si="48"/>
        <v>0</v>
      </c>
      <c r="U94" s="10">
        <f t="shared" si="49"/>
        <v>0</v>
      </c>
    </row>
    <row r="95" spans="1:23" s="2" customFormat="1" x14ac:dyDescent="0.25">
      <c r="A95" t="s">
        <v>38</v>
      </c>
      <c r="B95" s="6"/>
      <c r="C95" s="6"/>
      <c r="D95" s="1" t="str">
        <f>VLOOKUP($A95,$A$36:$S$65,4,FALSE)</f>
        <v/>
      </c>
      <c r="E95" s="1" t="str">
        <f>VLOOKUP($A95,$A$36:$S$65,5,FALSE)</f>
        <v/>
      </c>
      <c r="F95" s="1" t="s">
        <v>56</v>
      </c>
      <c r="G95" s="1" t="s">
        <v>56</v>
      </c>
      <c r="H95" s="1" t="str">
        <f>VLOOKUP($A95,$A$36:$S$65,8,FALSE)</f>
        <v/>
      </c>
      <c r="I95" s="1" t="str">
        <f>VLOOKUP($A95,$A$36:$S$65,9,FALSE)</f>
        <v/>
      </c>
      <c r="J95" s="1" t="str">
        <f>VLOOKUP($A95,$A$36:$S$65,10,FALSE)</f>
        <v/>
      </c>
      <c r="K95" s="1" t="str">
        <f>VLOOKUP($A95,$A$36:$S$65,11,FALSE)</f>
        <v/>
      </c>
      <c r="L95" s="1" t="str">
        <f>VLOOKUP($A95,$A$36:$S$65,12,FALSE)</f>
        <v/>
      </c>
      <c r="M95" s="1" t="str">
        <f>VLOOKUP($A95,$A$36:$S$65,13,FALSE)</f>
        <v/>
      </c>
      <c r="N95" s="1" t="str">
        <f>VLOOKUP($A95,$A$36:$S$65,14,FALSE)</f>
        <v/>
      </c>
      <c r="O95" s="1" t="str">
        <f>VLOOKUP($A95,$A$36:$S$65,15,FALSE)</f>
        <v/>
      </c>
      <c r="P95" s="1" t="str">
        <f>VLOOKUP($A95,$A$36:$S$65,16,FALSE)</f>
        <v/>
      </c>
      <c r="Q95" s="1" t="str">
        <f>VLOOKUP($A95,$A$36:$S$65,17,FALSE)</f>
        <v/>
      </c>
      <c r="R95" s="1" t="str">
        <f>VLOOKUP($A95,$A$36:$S$65,18,FALSE)</f>
        <v/>
      </c>
      <c r="S95" s="1" t="str">
        <f>VLOOKUP($A95,$A$36:$S$65,19,FALSE)</f>
        <v/>
      </c>
      <c r="T95">
        <f t="shared" si="48"/>
        <v>0</v>
      </c>
      <c r="U95" s="10">
        <f t="shared" si="49"/>
        <v>0</v>
      </c>
    </row>
    <row r="96" spans="1:23" x14ac:dyDescent="0.25">
      <c r="A96" t="s">
        <v>41</v>
      </c>
      <c r="B96" s="6"/>
      <c r="C96" s="6"/>
      <c r="D96" s="1" t="str">
        <f>VLOOKUP($A96,$A$36:$S$65,4,FALSE)</f>
        <v/>
      </c>
      <c r="E96" s="1" t="str">
        <f>VLOOKUP($A96,$A$36:$S$65,5,FALSE)</f>
        <v/>
      </c>
      <c r="F96" s="1" t="str">
        <f>VLOOKUP($A96,$A$36:$S$65,6,FALSE)</f>
        <v/>
      </c>
      <c r="G96" s="1" t="str">
        <f>VLOOKUP($A96,$A$36:$S$65,7,FALSE)</f>
        <v/>
      </c>
      <c r="H96" s="1" t="str">
        <f>VLOOKUP($A96,$A$36:$S$65,8,FALSE)</f>
        <v/>
      </c>
      <c r="I96" s="1" t="str">
        <f>VLOOKUP($A96,$A$36:$S$65,9,FALSE)</f>
        <v/>
      </c>
      <c r="J96" s="1" t="str">
        <f>VLOOKUP($A96,$A$36:$S$65,10,FALSE)</f>
        <v/>
      </c>
      <c r="K96" s="1" t="str">
        <f>VLOOKUP($A96,$A$36:$S$65,11,FALSE)</f>
        <v/>
      </c>
      <c r="L96" s="1" t="str">
        <f>VLOOKUP($A96,$A$36:$S$65,12,FALSE)</f>
        <v/>
      </c>
      <c r="M96" s="1" t="str">
        <f>VLOOKUP($A96,$A$36:$S$65,13,FALSE)</f>
        <v/>
      </c>
      <c r="N96" s="1" t="str">
        <f>VLOOKUP($A96,$A$36:$S$65,14,FALSE)</f>
        <v/>
      </c>
      <c r="O96" s="1" t="str">
        <f>VLOOKUP($A96,$A$36:$S$65,15,FALSE)</f>
        <v/>
      </c>
      <c r="P96" s="1" t="str">
        <f>VLOOKUP($A96,$A$36:$S$65,16,FALSE)</f>
        <v/>
      </c>
      <c r="Q96" s="1" t="str">
        <f>VLOOKUP($A96,$A$36:$S$65,17,FALSE)</f>
        <v/>
      </c>
      <c r="R96" s="1" t="str">
        <f>VLOOKUP($A96,$A$36:$S$65,18,FALSE)</f>
        <v/>
      </c>
      <c r="S96" s="1" t="str">
        <f>VLOOKUP($A96,$A$36:$S$65,19,FALSE)</f>
        <v/>
      </c>
      <c r="T96">
        <f t="shared" si="48"/>
        <v>0</v>
      </c>
      <c r="U96" s="10">
        <f t="shared" si="49"/>
        <v>0</v>
      </c>
    </row>
    <row r="97" spans="1:21" s="2" customFormat="1" x14ac:dyDescent="0.25">
      <c r="A97" t="s">
        <v>42</v>
      </c>
      <c r="B97" s="6"/>
      <c r="C97" s="6"/>
      <c r="D97" s="1" t="str">
        <f>VLOOKUP($A97,$A$36:$S$65,4,FALSE)</f>
        <v/>
      </c>
      <c r="E97" s="1" t="str">
        <f>VLOOKUP($A97,$A$36:$S$65,5,FALSE)</f>
        <v/>
      </c>
      <c r="F97" s="1" t="str">
        <f>VLOOKUP($A97,$A$36:$S$65,6,FALSE)</f>
        <v/>
      </c>
      <c r="G97" s="1" t="str">
        <f>VLOOKUP($A97,$A$36:$S$65,7,FALSE)</f>
        <v/>
      </c>
      <c r="H97" s="1" t="str">
        <f>VLOOKUP($A97,$A$36:$S$65,8,FALSE)</f>
        <v/>
      </c>
      <c r="I97" s="1" t="str">
        <f>VLOOKUP($A97,$A$36:$S$65,9,FALSE)</f>
        <v/>
      </c>
      <c r="J97" s="1" t="str">
        <f>VLOOKUP($A97,$A$36:$S$65,10,FALSE)</f>
        <v/>
      </c>
      <c r="K97" s="1" t="str">
        <f>VLOOKUP($A97,$A$36:$S$65,11,FALSE)</f>
        <v/>
      </c>
      <c r="L97" s="1" t="str">
        <f>VLOOKUP($A97,$A$36:$S$65,12,FALSE)</f>
        <v/>
      </c>
      <c r="M97" s="1" t="str">
        <f>VLOOKUP($A97,$A$36:$S$65,13,FALSE)</f>
        <v/>
      </c>
      <c r="N97" s="1" t="str">
        <f>VLOOKUP($A97,$A$36:$S$65,14,FALSE)</f>
        <v/>
      </c>
      <c r="O97" s="1" t="str">
        <f>VLOOKUP($A97,$A$36:$S$65,15,FALSE)</f>
        <v/>
      </c>
      <c r="P97" s="1" t="str">
        <f>VLOOKUP($A97,$A$36:$S$65,16,FALSE)</f>
        <v/>
      </c>
      <c r="Q97" s="1" t="str">
        <f>VLOOKUP($A97,$A$36:$S$65,17,FALSE)</f>
        <v/>
      </c>
      <c r="R97" s="1" t="str">
        <f>VLOOKUP($A97,$A$36:$S$65,18,FALSE)</f>
        <v/>
      </c>
      <c r="S97" s="1" t="str">
        <f>VLOOKUP($A97,$A$36:$S$65,19,FALSE)</f>
        <v/>
      </c>
      <c r="T97">
        <f t="shared" si="48"/>
        <v>0</v>
      </c>
      <c r="U97" s="10">
        <f t="shared" si="49"/>
        <v>0</v>
      </c>
    </row>
    <row r="98" spans="1:21" x14ac:dyDescent="0.25">
      <c r="A98" t="s">
        <v>43</v>
      </c>
      <c r="B98" s="6"/>
      <c r="C98" s="6"/>
      <c r="D98" s="1" t="str">
        <f>VLOOKUP($A98,$A$36:$S$65,4,FALSE)</f>
        <v/>
      </c>
      <c r="E98" s="1" t="str">
        <f>VLOOKUP($A98,$A$36:$S$65,5,FALSE)</f>
        <v/>
      </c>
      <c r="F98" s="1" t="str">
        <f>VLOOKUP($A98,$A$36:$S$65,6,FALSE)</f>
        <v/>
      </c>
      <c r="G98" s="1" t="str">
        <f>VLOOKUP($A98,$A$36:$S$65,7,FALSE)</f>
        <v/>
      </c>
      <c r="H98" s="1" t="str">
        <f>VLOOKUP($A98,$A$36:$S$65,8,FALSE)</f>
        <v/>
      </c>
      <c r="I98" s="1" t="str">
        <f>VLOOKUP($A98,$A$36:$S$65,9,FALSE)</f>
        <v/>
      </c>
      <c r="J98" s="1" t="str">
        <f>VLOOKUP($A98,$A$36:$S$65,10,FALSE)</f>
        <v/>
      </c>
      <c r="K98" s="1" t="str">
        <f>VLOOKUP($A98,$A$36:$S$65,11,FALSE)</f>
        <v/>
      </c>
      <c r="L98" s="1" t="str">
        <f>VLOOKUP($A98,$A$36:$S$65,12,FALSE)</f>
        <v/>
      </c>
      <c r="M98" s="1" t="str">
        <f>VLOOKUP($A98,$A$36:$S$65,13,FALSE)</f>
        <v/>
      </c>
      <c r="N98" s="1" t="str">
        <f>VLOOKUP($A98,$A$36:$S$65,14,FALSE)</f>
        <v/>
      </c>
      <c r="O98" s="1" t="str">
        <f>VLOOKUP($A98,$A$36:$S$65,15,FALSE)</f>
        <v/>
      </c>
      <c r="P98" s="1" t="str">
        <f>VLOOKUP($A98,$A$36:$S$65,16,FALSE)</f>
        <v/>
      </c>
      <c r="Q98" s="1" t="str">
        <f>VLOOKUP($A98,$A$36:$S$65,17,FALSE)</f>
        <v/>
      </c>
      <c r="R98" s="1" t="str">
        <f>VLOOKUP($A98,$A$36:$S$65,18,FALSE)</f>
        <v/>
      </c>
      <c r="S98" s="1" t="str">
        <f>VLOOKUP($A98,$A$36:$S$65,19,FALSE)</f>
        <v/>
      </c>
      <c r="T98">
        <f t="shared" si="48"/>
        <v>0</v>
      </c>
      <c r="U98" s="10">
        <f t="shared" si="49"/>
        <v>0</v>
      </c>
    </row>
    <row r="99" spans="1:21" s="2" customFormat="1" x14ac:dyDescent="0.25">
      <c r="A99" t="s">
        <v>49</v>
      </c>
      <c r="B99" s="6"/>
      <c r="C99" s="6"/>
      <c r="D99" s="1" t="str">
        <f>VLOOKUP($A99,$A$36:$S$65,4,FALSE)</f>
        <v/>
      </c>
      <c r="E99" s="1" t="str">
        <f>VLOOKUP($A99,$A$36:$S$65,5,FALSE)</f>
        <v/>
      </c>
      <c r="F99" s="1" t="str">
        <f>VLOOKUP($A99,$A$36:$S$65,6,FALSE)</f>
        <v/>
      </c>
      <c r="G99" s="1" t="str">
        <f>VLOOKUP($A99,$A$36:$S$65,7,FALSE)</f>
        <v/>
      </c>
      <c r="H99" s="1" t="str">
        <f>VLOOKUP($A99,$A$36:$S$65,8,FALSE)</f>
        <v/>
      </c>
      <c r="I99" s="1" t="str">
        <f>VLOOKUP($A99,$A$36:$S$65,9,FALSE)</f>
        <v/>
      </c>
      <c r="J99" s="1" t="str">
        <f>VLOOKUP($A99,$A$36:$S$65,10,FALSE)</f>
        <v/>
      </c>
      <c r="K99" s="1" t="str">
        <f>VLOOKUP($A99,$A$36:$S$65,11,FALSE)</f>
        <v/>
      </c>
      <c r="L99" s="1" t="str">
        <f>VLOOKUP($A99,$A$36:$S$65,12,FALSE)</f>
        <v/>
      </c>
      <c r="M99" s="1" t="str">
        <f>VLOOKUP($A99,$A$36:$S$65,13,FALSE)</f>
        <v/>
      </c>
      <c r="N99" s="1" t="str">
        <f>VLOOKUP($A99,$A$36:$S$65,14,FALSE)</f>
        <v/>
      </c>
      <c r="O99" s="1" t="str">
        <f>VLOOKUP($A99,$A$36:$S$65,15,FALSE)</f>
        <v/>
      </c>
      <c r="P99" s="1" t="str">
        <f>VLOOKUP($A99,$A$36:$S$65,16,FALSE)</f>
        <v/>
      </c>
      <c r="Q99" s="1" t="str">
        <f>VLOOKUP($A99,$A$36:$S$65,17,FALSE)</f>
        <v/>
      </c>
      <c r="R99" s="1" t="str">
        <f>VLOOKUP($A99,$A$36:$S$65,18,FALSE)</f>
        <v/>
      </c>
      <c r="S99" s="1" t="str">
        <f>VLOOKUP($A99,$A$36:$S$65,19,FALSE)</f>
        <v/>
      </c>
      <c r="T99">
        <f t="shared" si="48"/>
        <v>0</v>
      </c>
      <c r="U99" s="10">
        <f t="shared" si="49"/>
        <v>0</v>
      </c>
    </row>
    <row r="100" spans="1:21" s="3" customFormat="1" x14ac:dyDescent="0.25"/>
  </sheetData>
  <autoFilter ref="A69:U69" xr:uid="{3176254B-1DB6-41CD-B7A1-887B0C11B426}">
    <sortState xmlns:xlrd2="http://schemas.microsoft.com/office/spreadsheetml/2017/richdata2" ref="A70:U99">
      <sortCondition descending="1" ref="U69"/>
    </sortState>
  </autoFilter>
  <conditionalFormatting sqref="B70:C88">
    <cfRule type="colorScale" priority="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89:C9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:S2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S3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S4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S5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S6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S7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S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S9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S1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S11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S12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S13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S14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S15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S1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S1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S18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S19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S20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S21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S2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S23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S24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S25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S2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S27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S2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9:S2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S30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S3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6:S65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68:S6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70:S99">
    <cfRule type="colorScale" priority="7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212D8-D887-4C46-8EC3-54AF175377AE}">
  <dimension ref="A1:T63"/>
  <sheetViews>
    <sheetView topLeftCell="A31" zoomScale="85" zoomScaleNormal="85" workbookViewId="0">
      <selection activeCell="L73" sqref="L73"/>
    </sheetView>
  </sheetViews>
  <sheetFormatPr defaultRowHeight="15" x14ac:dyDescent="0.25"/>
  <cols>
    <col min="1" max="1" width="24.28515625" customWidth="1"/>
    <col min="2" max="7" width="9.42578125" bestFit="1" customWidth="1"/>
    <col min="8" max="14" width="10.42578125" bestFit="1" customWidth="1"/>
    <col min="15" max="15" width="10.7109375" bestFit="1" customWidth="1"/>
    <col min="16" max="16" width="10.42578125" bestFit="1" customWidth="1"/>
    <col min="17" max="17" width="10.5703125" bestFit="1" customWidth="1"/>
  </cols>
  <sheetData>
    <row r="1" spans="1:16" x14ac:dyDescent="0.25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</row>
    <row r="2" spans="1:16" x14ac:dyDescent="0.25">
      <c r="A2" t="s">
        <v>19</v>
      </c>
      <c r="B2">
        <v>-0.1</v>
      </c>
      <c r="C2">
        <v>6.3</v>
      </c>
      <c r="D2">
        <v>-1.1000000000000001</v>
      </c>
      <c r="E2">
        <v>-6</v>
      </c>
      <c r="G2">
        <v>-1.1000000000000001</v>
      </c>
      <c r="H2">
        <v>-0.1</v>
      </c>
      <c r="I2">
        <v>2.2000000000000002</v>
      </c>
      <c r="J2">
        <v>-0.2</v>
      </c>
      <c r="K2">
        <v>-3</v>
      </c>
      <c r="L2">
        <v>-3.7</v>
      </c>
      <c r="M2">
        <v>-0.1</v>
      </c>
      <c r="N2">
        <v>0.5</v>
      </c>
      <c r="O2">
        <v>-1</v>
      </c>
      <c r="P2">
        <v>-3.7</v>
      </c>
    </row>
    <row r="3" spans="1:16" x14ac:dyDescent="0.25">
      <c r="A3" t="s">
        <v>20</v>
      </c>
      <c r="B3">
        <v>-2</v>
      </c>
      <c r="D3">
        <v>-6.6</v>
      </c>
      <c r="E3">
        <v>1.7</v>
      </c>
      <c r="F3">
        <v>3.2</v>
      </c>
      <c r="G3">
        <v>0.8</v>
      </c>
      <c r="H3">
        <v>-1.6</v>
      </c>
      <c r="I3">
        <v>3.6</v>
      </c>
      <c r="J3">
        <v>4.0999999999999996</v>
      </c>
      <c r="K3">
        <v>3.7</v>
      </c>
      <c r="L3">
        <v>-0.6</v>
      </c>
      <c r="M3">
        <v>-3.5</v>
      </c>
      <c r="N3">
        <v>-0.5</v>
      </c>
      <c r="O3">
        <v>-4.2</v>
      </c>
      <c r="P3">
        <v>4.0999999999999996</v>
      </c>
    </row>
    <row r="4" spans="1:16" x14ac:dyDescent="0.25">
      <c r="A4" t="s">
        <v>21</v>
      </c>
      <c r="B4">
        <v>2.9</v>
      </c>
      <c r="C4">
        <v>7.7</v>
      </c>
      <c r="D4">
        <v>4.0999999999999996</v>
      </c>
      <c r="F4">
        <v>9.3000000000000007</v>
      </c>
      <c r="G4">
        <v>11.5</v>
      </c>
      <c r="H4">
        <v>5.8</v>
      </c>
      <c r="I4">
        <v>11.5</v>
      </c>
      <c r="J4">
        <v>12</v>
      </c>
      <c r="K4">
        <v>6.8</v>
      </c>
      <c r="L4">
        <v>8.1</v>
      </c>
      <c r="M4">
        <v>6.8</v>
      </c>
      <c r="N4">
        <v>9.1</v>
      </c>
      <c r="O4">
        <v>1.8</v>
      </c>
      <c r="P4">
        <v>8.1</v>
      </c>
    </row>
    <row r="5" spans="1:16" x14ac:dyDescent="0.25">
      <c r="A5" t="s">
        <v>22</v>
      </c>
      <c r="B5">
        <v>10.7</v>
      </c>
      <c r="C5">
        <v>7.4</v>
      </c>
      <c r="D5">
        <v>6.6</v>
      </c>
      <c r="F5">
        <v>10.199999999999999</v>
      </c>
      <c r="G5">
        <v>1.2</v>
      </c>
      <c r="H5">
        <v>9.8000000000000007</v>
      </c>
      <c r="I5">
        <v>3.1</v>
      </c>
      <c r="J5">
        <v>6</v>
      </c>
      <c r="K5">
        <v>6.4</v>
      </c>
      <c r="L5">
        <v>5.0999999999999996</v>
      </c>
      <c r="M5">
        <v>7.4</v>
      </c>
      <c r="N5">
        <v>9.8000000000000007</v>
      </c>
      <c r="O5">
        <v>0.6</v>
      </c>
      <c r="P5">
        <v>10.3</v>
      </c>
    </row>
    <row r="6" spans="1:16" x14ac:dyDescent="0.25">
      <c r="A6" t="s">
        <v>23</v>
      </c>
      <c r="B6">
        <v>-2.8</v>
      </c>
      <c r="C6">
        <v>-0.4</v>
      </c>
      <c r="D6">
        <v>-5.2</v>
      </c>
      <c r="E6">
        <v>0.1</v>
      </c>
      <c r="F6">
        <v>-10.199999999999999</v>
      </c>
      <c r="G6">
        <v>-10.1</v>
      </c>
      <c r="H6">
        <v>0.5</v>
      </c>
      <c r="I6">
        <v>-3.6</v>
      </c>
      <c r="J6">
        <v>-1.9</v>
      </c>
      <c r="K6">
        <v>-7.8</v>
      </c>
      <c r="M6">
        <v>0.5</v>
      </c>
      <c r="N6">
        <v>-7.1</v>
      </c>
      <c r="O6">
        <v>-4.2</v>
      </c>
      <c r="P6">
        <v>-7.1</v>
      </c>
    </row>
    <row r="7" spans="1:16" x14ac:dyDescent="0.25">
      <c r="A7" t="s">
        <v>24</v>
      </c>
      <c r="B7">
        <v>-0.6</v>
      </c>
      <c r="D7">
        <v>-3</v>
      </c>
      <c r="E7">
        <v>3.1</v>
      </c>
      <c r="F7">
        <v>-9.3000000000000007</v>
      </c>
      <c r="G7">
        <v>-2.5</v>
      </c>
      <c r="H7">
        <v>1.2</v>
      </c>
      <c r="I7">
        <v>-3.5</v>
      </c>
      <c r="J7">
        <v>-1.2</v>
      </c>
      <c r="K7">
        <v>-7</v>
      </c>
      <c r="L7">
        <v>-7.5</v>
      </c>
      <c r="M7">
        <v>2.2000000000000002</v>
      </c>
      <c r="N7">
        <v>-7.5</v>
      </c>
      <c r="O7">
        <v>0.7</v>
      </c>
      <c r="P7">
        <v>-7.8</v>
      </c>
    </row>
    <row r="8" spans="1:16" x14ac:dyDescent="0.25">
      <c r="A8" t="s">
        <v>25</v>
      </c>
      <c r="B8">
        <v>-1.8</v>
      </c>
      <c r="C8">
        <v>-5.3</v>
      </c>
      <c r="D8">
        <v>-5</v>
      </c>
      <c r="E8">
        <v>1.3</v>
      </c>
      <c r="F8">
        <v>5.2</v>
      </c>
      <c r="G8">
        <v>2.5</v>
      </c>
      <c r="I8">
        <v>1.3</v>
      </c>
      <c r="J8">
        <v>2.2999999999999998</v>
      </c>
      <c r="K8">
        <v>-6.8</v>
      </c>
      <c r="L8">
        <v>-5.0999999999999996</v>
      </c>
      <c r="M8">
        <v>-6.8</v>
      </c>
      <c r="N8">
        <v>4.7</v>
      </c>
      <c r="O8">
        <v>1</v>
      </c>
      <c r="P8">
        <v>4.7</v>
      </c>
    </row>
    <row r="9" spans="1:16" x14ac:dyDescent="0.25">
      <c r="A9" t="s">
        <v>26</v>
      </c>
      <c r="B9">
        <v>-10</v>
      </c>
      <c r="C9">
        <v>-5.7</v>
      </c>
      <c r="D9">
        <v>-3.4</v>
      </c>
      <c r="E9">
        <v>0</v>
      </c>
      <c r="F9">
        <v>-2.4</v>
      </c>
      <c r="H9">
        <v>0.5</v>
      </c>
      <c r="I9">
        <v>-11.5</v>
      </c>
      <c r="J9">
        <v>-2.8</v>
      </c>
      <c r="K9">
        <v>-1.5</v>
      </c>
      <c r="L9">
        <v>2.6</v>
      </c>
      <c r="M9">
        <v>-2.2000000000000002</v>
      </c>
      <c r="N9">
        <v>-9.8000000000000007</v>
      </c>
      <c r="O9">
        <v>-3.4</v>
      </c>
      <c r="P9">
        <v>-4.7</v>
      </c>
    </row>
    <row r="10" spans="1:16" x14ac:dyDescent="0.25">
      <c r="A10" t="s">
        <v>27</v>
      </c>
      <c r="B10">
        <v>-4.9000000000000004</v>
      </c>
      <c r="C10">
        <v>5.3</v>
      </c>
      <c r="D10">
        <v>5.2</v>
      </c>
      <c r="E10">
        <v>-0.4</v>
      </c>
      <c r="F10">
        <v>-1.7</v>
      </c>
      <c r="G10">
        <v>1.1000000000000001</v>
      </c>
      <c r="I10">
        <v>2</v>
      </c>
      <c r="J10">
        <v>-4.4000000000000004</v>
      </c>
      <c r="K10">
        <v>-3.8</v>
      </c>
      <c r="L10">
        <v>-5.2</v>
      </c>
      <c r="M10">
        <v>-0.9</v>
      </c>
      <c r="N10">
        <v>-3.3</v>
      </c>
      <c r="O10">
        <v>-0.4</v>
      </c>
      <c r="P10">
        <v>3.8</v>
      </c>
    </row>
    <row r="11" spans="1:16" x14ac:dyDescent="0.25">
      <c r="A11" t="s">
        <v>29</v>
      </c>
      <c r="B11">
        <v>10</v>
      </c>
      <c r="C11">
        <v>5.3</v>
      </c>
      <c r="D11">
        <v>1.4</v>
      </c>
      <c r="E11">
        <v>3.3</v>
      </c>
      <c r="G11">
        <v>4.3</v>
      </c>
      <c r="H11">
        <v>4.8</v>
      </c>
      <c r="I11">
        <v>0.8</v>
      </c>
      <c r="J11">
        <v>9</v>
      </c>
      <c r="K11">
        <v>0.3</v>
      </c>
      <c r="L11">
        <v>5.2</v>
      </c>
      <c r="M11">
        <v>2.6</v>
      </c>
      <c r="N11">
        <v>6.6</v>
      </c>
      <c r="O11">
        <v>4.3</v>
      </c>
      <c r="P11">
        <v>7.8</v>
      </c>
    </row>
    <row r="12" spans="1:16" x14ac:dyDescent="0.25">
      <c r="A12" t="s">
        <v>30</v>
      </c>
      <c r="B12">
        <v>4.9000000000000004</v>
      </c>
      <c r="D12">
        <v>5</v>
      </c>
      <c r="E12">
        <v>6</v>
      </c>
      <c r="F12">
        <v>6.3</v>
      </c>
      <c r="G12">
        <v>10.1</v>
      </c>
      <c r="H12">
        <v>0.5</v>
      </c>
      <c r="I12">
        <v>8.6999999999999993</v>
      </c>
      <c r="J12">
        <v>4</v>
      </c>
      <c r="K12">
        <v>-0.3</v>
      </c>
      <c r="L12">
        <v>7.5</v>
      </c>
      <c r="M12">
        <v>3.2</v>
      </c>
      <c r="N12">
        <v>7.5</v>
      </c>
      <c r="O12">
        <v>-1.8</v>
      </c>
      <c r="P12">
        <v>4</v>
      </c>
    </row>
    <row r="13" spans="1:16" x14ac:dyDescent="0.25">
      <c r="A13" t="s">
        <v>31</v>
      </c>
      <c r="B13">
        <v>6.4</v>
      </c>
      <c r="C13">
        <v>-7.7</v>
      </c>
      <c r="E13">
        <v>0</v>
      </c>
      <c r="F13">
        <v>2.2999999999999998</v>
      </c>
      <c r="G13">
        <v>-2.7</v>
      </c>
      <c r="H13">
        <v>-0.1</v>
      </c>
      <c r="I13">
        <v>6.4</v>
      </c>
      <c r="J13">
        <v>-6</v>
      </c>
      <c r="K13">
        <v>-1</v>
      </c>
      <c r="L13">
        <v>-4.8</v>
      </c>
      <c r="M13">
        <v>0.1</v>
      </c>
      <c r="N13">
        <v>1</v>
      </c>
      <c r="O13">
        <v>-4.3</v>
      </c>
      <c r="P13">
        <v>-1</v>
      </c>
    </row>
    <row r="14" spans="1:16" x14ac:dyDescent="0.25">
      <c r="A14" t="s">
        <v>33</v>
      </c>
      <c r="B14">
        <v>2.4</v>
      </c>
      <c r="C14">
        <v>-4.7</v>
      </c>
      <c r="D14">
        <v>0.1</v>
      </c>
      <c r="E14">
        <v>-3.5</v>
      </c>
      <c r="G14">
        <v>1.1000000000000001</v>
      </c>
      <c r="H14">
        <v>0.1</v>
      </c>
      <c r="I14">
        <v>-4.2</v>
      </c>
      <c r="J14">
        <v>0.2</v>
      </c>
      <c r="K14">
        <v>6.5</v>
      </c>
      <c r="L14">
        <v>-0.9</v>
      </c>
      <c r="M14">
        <v>4.4000000000000004</v>
      </c>
      <c r="N14">
        <v>-2.6</v>
      </c>
      <c r="O14">
        <v>-0.9</v>
      </c>
      <c r="P14">
        <v>6.5</v>
      </c>
    </row>
    <row r="15" spans="1:16" x14ac:dyDescent="0.25">
      <c r="A15" t="s">
        <v>34</v>
      </c>
      <c r="B15">
        <v>-2.9</v>
      </c>
      <c r="C15">
        <v>4.7</v>
      </c>
      <c r="D15">
        <v>-1.4</v>
      </c>
      <c r="E15">
        <v>5.8</v>
      </c>
      <c r="F15">
        <v>3.4</v>
      </c>
      <c r="G15">
        <v>-1.2</v>
      </c>
      <c r="I15">
        <v>2.1</v>
      </c>
      <c r="J15">
        <v>3.8</v>
      </c>
      <c r="K15">
        <v>3.8</v>
      </c>
      <c r="L15">
        <v>4.8</v>
      </c>
      <c r="M15">
        <v>0.5</v>
      </c>
      <c r="N15">
        <v>11.2</v>
      </c>
      <c r="O15">
        <v>2.1</v>
      </c>
      <c r="P15">
        <v>5.8</v>
      </c>
    </row>
    <row r="16" spans="1:16" x14ac:dyDescent="0.25">
      <c r="A16" t="s">
        <v>35</v>
      </c>
      <c r="B16">
        <v>0.6</v>
      </c>
      <c r="C16">
        <v>-2</v>
      </c>
      <c r="D16">
        <v>5.4</v>
      </c>
      <c r="E16">
        <v>-5.8</v>
      </c>
      <c r="G16">
        <v>-1.1000000000000001</v>
      </c>
      <c r="H16">
        <v>-3.7</v>
      </c>
      <c r="I16">
        <v>-2</v>
      </c>
      <c r="J16">
        <v>2.8</v>
      </c>
      <c r="K16">
        <v>-5.3</v>
      </c>
      <c r="L16">
        <v>-3.7</v>
      </c>
      <c r="M16">
        <v>-6.4</v>
      </c>
      <c r="N16">
        <v>-1</v>
      </c>
      <c r="O16">
        <v>1.8</v>
      </c>
      <c r="P16">
        <v>-5.8</v>
      </c>
    </row>
    <row r="17" spans="1:20" x14ac:dyDescent="0.25">
      <c r="A17" t="s">
        <v>36</v>
      </c>
      <c r="B17">
        <v>7.1</v>
      </c>
      <c r="C17">
        <v>2.9</v>
      </c>
      <c r="D17">
        <v>8.1</v>
      </c>
      <c r="E17">
        <v>3.3</v>
      </c>
      <c r="F17">
        <v>2.4</v>
      </c>
      <c r="G17">
        <v>10.7</v>
      </c>
      <c r="H17">
        <v>4.7</v>
      </c>
      <c r="I17">
        <v>4.2</v>
      </c>
      <c r="K17">
        <v>5.3</v>
      </c>
      <c r="L17">
        <v>-1.1000000000000001</v>
      </c>
      <c r="M17">
        <v>-0.5</v>
      </c>
      <c r="N17">
        <v>3.3</v>
      </c>
      <c r="O17">
        <v>4.3</v>
      </c>
      <c r="P17">
        <v>1.6</v>
      </c>
    </row>
    <row r="18" spans="1:20" x14ac:dyDescent="0.25">
      <c r="A18" t="s">
        <v>38</v>
      </c>
      <c r="B18">
        <v>0.5</v>
      </c>
      <c r="C18">
        <v>0.4</v>
      </c>
      <c r="D18">
        <v>-8.1</v>
      </c>
      <c r="E18">
        <v>0</v>
      </c>
      <c r="F18">
        <v>-3.2</v>
      </c>
      <c r="G18">
        <v>-11.5</v>
      </c>
      <c r="H18">
        <v>-9.8000000000000007</v>
      </c>
      <c r="I18">
        <v>-5.2</v>
      </c>
      <c r="K18">
        <v>0.9</v>
      </c>
      <c r="L18">
        <v>0.5</v>
      </c>
      <c r="M18">
        <v>-3.4</v>
      </c>
      <c r="N18">
        <v>-4.7</v>
      </c>
      <c r="O18">
        <v>-6.7</v>
      </c>
      <c r="P18">
        <v>-2.4</v>
      </c>
    </row>
    <row r="19" spans="1:20" x14ac:dyDescent="0.25">
      <c r="A19" t="s">
        <v>39</v>
      </c>
      <c r="B19">
        <v>2.2999999999999998</v>
      </c>
      <c r="C19">
        <v>5.7</v>
      </c>
      <c r="E19">
        <v>-3.5</v>
      </c>
      <c r="F19">
        <v>-2.4</v>
      </c>
      <c r="G19">
        <v>-4.3</v>
      </c>
      <c r="H19">
        <v>-5.8</v>
      </c>
      <c r="I19">
        <v>3.5</v>
      </c>
      <c r="J19">
        <v>-4</v>
      </c>
      <c r="K19">
        <v>1.9</v>
      </c>
      <c r="L19">
        <v>0.5</v>
      </c>
      <c r="M19">
        <v>0.9</v>
      </c>
      <c r="N19">
        <v>4.7</v>
      </c>
      <c r="O19">
        <v>-4.3</v>
      </c>
      <c r="P19">
        <v>-4</v>
      </c>
    </row>
    <row r="20" spans="1:20" x14ac:dyDescent="0.25">
      <c r="A20" t="s">
        <v>40</v>
      </c>
      <c r="B20">
        <v>2.8</v>
      </c>
      <c r="C20">
        <v>-7.4</v>
      </c>
      <c r="D20">
        <v>3.3</v>
      </c>
      <c r="E20">
        <v>5</v>
      </c>
      <c r="F20">
        <v>2.4</v>
      </c>
      <c r="G20">
        <v>-0.8</v>
      </c>
      <c r="H20">
        <v>-4.3</v>
      </c>
      <c r="I20">
        <v>2.9</v>
      </c>
      <c r="J20">
        <v>-2.2999999999999998</v>
      </c>
      <c r="K20">
        <v>1.4</v>
      </c>
      <c r="M20">
        <v>-7.4</v>
      </c>
      <c r="N20">
        <v>-9.1</v>
      </c>
      <c r="O20">
        <v>2.9</v>
      </c>
      <c r="P20">
        <v>2.4</v>
      </c>
    </row>
    <row r="21" spans="1:20" x14ac:dyDescent="0.25">
      <c r="A21" t="s">
        <v>41</v>
      </c>
      <c r="B21">
        <v>-10.7</v>
      </c>
      <c r="C21">
        <v>-1.9</v>
      </c>
      <c r="D21">
        <v>-3.3</v>
      </c>
      <c r="E21">
        <v>-3.1</v>
      </c>
      <c r="F21">
        <v>-7.6</v>
      </c>
      <c r="G21">
        <v>-8.3000000000000007</v>
      </c>
      <c r="H21">
        <v>-0.5</v>
      </c>
      <c r="J21">
        <v>-4.0999999999999996</v>
      </c>
      <c r="K21">
        <v>-0.9</v>
      </c>
      <c r="L21">
        <v>-7.6</v>
      </c>
      <c r="M21">
        <v>-0.5</v>
      </c>
      <c r="N21">
        <v>-0.4</v>
      </c>
      <c r="O21">
        <v>1.7</v>
      </c>
      <c r="P21">
        <v>-4.0999999999999996</v>
      </c>
    </row>
    <row r="22" spans="1:20" x14ac:dyDescent="0.25">
      <c r="A22" t="s">
        <v>42</v>
      </c>
      <c r="B22">
        <v>-7.1</v>
      </c>
      <c r="C22">
        <v>1.9</v>
      </c>
      <c r="D22">
        <v>-8.1999999999999993</v>
      </c>
      <c r="E22">
        <v>-5.5</v>
      </c>
      <c r="F22">
        <v>-8.1999999999999993</v>
      </c>
      <c r="G22">
        <v>-0.5</v>
      </c>
      <c r="H22">
        <v>-1.2</v>
      </c>
      <c r="I22">
        <v>-8.6999999999999993</v>
      </c>
      <c r="J22">
        <v>-9</v>
      </c>
      <c r="K22">
        <v>-1.4</v>
      </c>
      <c r="M22">
        <v>-4.2</v>
      </c>
      <c r="N22">
        <v>-4.7</v>
      </c>
      <c r="O22">
        <v>-1.8</v>
      </c>
      <c r="P22">
        <v>-3.8</v>
      </c>
    </row>
    <row r="23" spans="1:20" x14ac:dyDescent="0.25">
      <c r="A23" t="s">
        <v>43</v>
      </c>
      <c r="B23">
        <v>-0.5</v>
      </c>
      <c r="C23">
        <v>-5.3</v>
      </c>
      <c r="D23">
        <v>-7</v>
      </c>
      <c r="E23">
        <v>-0.1</v>
      </c>
      <c r="F23">
        <v>-5.2</v>
      </c>
      <c r="H23">
        <v>-0.5</v>
      </c>
      <c r="I23">
        <v>-2.9</v>
      </c>
      <c r="J23">
        <v>-12</v>
      </c>
      <c r="K23">
        <v>-3.7</v>
      </c>
      <c r="L23">
        <v>-0.5</v>
      </c>
      <c r="M23">
        <v>-4.4000000000000004</v>
      </c>
      <c r="N23">
        <v>0.4</v>
      </c>
      <c r="O23">
        <v>-2.9</v>
      </c>
      <c r="P23">
        <v>-10.3</v>
      </c>
    </row>
    <row r="24" spans="1:20" x14ac:dyDescent="0.25">
      <c r="A24" t="s">
        <v>44</v>
      </c>
      <c r="B24">
        <v>2.5</v>
      </c>
      <c r="C24">
        <v>2.7</v>
      </c>
      <c r="D24">
        <v>8.1999999999999993</v>
      </c>
      <c r="E24">
        <v>3.5</v>
      </c>
      <c r="F24">
        <v>8.1999999999999993</v>
      </c>
      <c r="H24">
        <v>-0.5</v>
      </c>
      <c r="I24">
        <v>-0.8</v>
      </c>
      <c r="J24">
        <v>4.4000000000000004</v>
      </c>
      <c r="K24">
        <v>7</v>
      </c>
      <c r="L24">
        <v>1.1000000000000001</v>
      </c>
      <c r="M24">
        <v>6.4</v>
      </c>
      <c r="N24">
        <v>4</v>
      </c>
      <c r="O24">
        <v>-0.6</v>
      </c>
      <c r="P24">
        <v>4</v>
      </c>
    </row>
    <row r="25" spans="1:20" x14ac:dyDescent="0.25">
      <c r="A25" t="s">
        <v>45</v>
      </c>
      <c r="B25">
        <v>-2.2999999999999998</v>
      </c>
      <c r="D25">
        <v>3.4</v>
      </c>
      <c r="E25">
        <v>-1.3</v>
      </c>
      <c r="F25">
        <v>-6.3</v>
      </c>
      <c r="G25">
        <v>-1.4</v>
      </c>
      <c r="H25">
        <v>-4.7</v>
      </c>
      <c r="I25">
        <v>-1.3</v>
      </c>
      <c r="J25">
        <v>1.2</v>
      </c>
      <c r="K25">
        <v>-6.4</v>
      </c>
      <c r="L25">
        <v>-8.1</v>
      </c>
      <c r="M25">
        <v>3.4</v>
      </c>
      <c r="N25">
        <v>-6.6</v>
      </c>
      <c r="O25">
        <v>3.4</v>
      </c>
      <c r="P25">
        <v>-8.1</v>
      </c>
      <c r="R25" t="s">
        <v>59</v>
      </c>
    </row>
    <row r="26" spans="1:20" x14ac:dyDescent="0.25">
      <c r="A26" t="s">
        <v>46</v>
      </c>
      <c r="B26">
        <v>-2.4</v>
      </c>
      <c r="C26">
        <v>-5.9</v>
      </c>
      <c r="D26">
        <v>-5.2</v>
      </c>
      <c r="E26">
        <v>-1.7</v>
      </c>
      <c r="F26">
        <v>-2.2999999999999998</v>
      </c>
      <c r="G26">
        <v>0.5</v>
      </c>
      <c r="H26">
        <v>-5.9</v>
      </c>
      <c r="I26">
        <v>-2.2000000000000002</v>
      </c>
      <c r="J26">
        <v>1.9</v>
      </c>
      <c r="K26">
        <v>1.5</v>
      </c>
      <c r="M26">
        <v>4.0999999999999996</v>
      </c>
      <c r="N26">
        <v>-3.3</v>
      </c>
      <c r="O26">
        <v>-0.7</v>
      </c>
      <c r="P26">
        <v>-2.2999999999999998</v>
      </c>
    </row>
    <row r="27" spans="1:20" x14ac:dyDescent="0.25">
      <c r="A27" t="s">
        <v>47</v>
      </c>
      <c r="B27">
        <v>0.1</v>
      </c>
      <c r="C27">
        <v>-2.9</v>
      </c>
      <c r="D27">
        <v>-0.1</v>
      </c>
      <c r="E27" s="13">
        <v>0</v>
      </c>
      <c r="G27">
        <v>-1.4</v>
      </c>
      <c r="H27">
        <v>0.1</v>
      </c>
      <c r="I27">
        <v>-3.6</v>
      </c>
      <c r="J27">
        <v>6.4</v>
      </c>
      <c r="K27">
        <v>-1.9</v>
      </c>
      <c r="L27">
        <v>0.6</v>
      </c>
      <c r="M27">
        <v>-1</v>
      </c>
      <c r="N27">
        <v>-3.6</v>
      </c>
      <c r="O27">
        <v>4.2</v>
      </c>
      <c r="P27">
        <v>2.2999999999999998</v>
      </c>
    </row>
    <row r="28" spans="1:20" x14ac:dyDescent="0.25">
      <c r="A28" t="s">
        <v>48</v>
      </c>
      <c r="B28">
        <v>-2.5</v>
      </c>
      <c r="C28">
        <v>2.9</v>
      </c>
      <c r="D28">
        <v>5.2</v>
      </c>
      <c r="E28">
        <v>-3.3</v>
      </c>
      <c r="F28">
        <v>7.6</v>
      </c>
      <c r="H28">
        <v>4.3</v>
      </c>
      <c r="I28">
        <v>-3.1</v>
      </c>
      <c r="J28">
        <v>-0.7</v>
      </c>
      <c r="K28">
        <v>3</v>
      </c>
      <c r="L28">
        <v>7.6</v>
      </c>
      <c r="M28">
        <v>3.5</v>
      </c>
      <c r="N28">
        <v>7.1</v>
      </c>
      <c r="O28">
        <v>6.7</v>
      </c>
      <c r="P28">
        <v>7.1</v>
      </c>
    </row>
    <row r="29" spans="1:20" x14ac:dyDescent="0.25">
      <c r="A29" t="s">
        <v>49</v>
      </c>
      <c r="B29">
        <v>-6.4</v>
      </c>
      <c r="C29">
        <v>-6.3</v>
      </c>
      <c r="D29">
        <v>-5.4</v>
      </c>
      <c r="E29">
        <v>-5</v>
      </c>
      <c r="F29">
        <v>-7.4</v>
      </c>
      <c r="G29">
        <v>-10.7</v>
      </c>
      <c r="I29">
        <v>-6.4</v>
      </c>
      <c r="J29">
        <v>-6.4</v>
      </c>
      <c r="K29">
        <v>-6.5</v>
      </c>
      <c r="L29">
        <v>-2.6</v>
      </c>
      <c r="M29">
        <v>-4.0999999999999996</v>
      </c>
      <c r="N29">
        <v>-11.2</v>
      </c>
      <c r="O29">
        <v>-1.7</v>
      </c>
      <c r="P29">
        <v>-6.5</v>
      </c>
    </row>
    <row r="30" spans="1:20" x14ac:dyDescent="0.25">
      <c r="A30" t="s">
        <v>50</v>
      </c>
      <c r="B30">
        <v>2</v>
      </c>
      <c r="C30">
        <v>-2.9</v>
      </c>
      <c r="D30">
        <v>3</v>
      </c>
      <c r="E30">
        <v>0.4</v>
      </c>
      <c r="F30">
        <v>-3.4</v>
      </c>
      <c r="G30">
        <v>1.4</v>
      </c>
      <c r="H30">
        <v>-4.8</v>
      </c>
      <c r="I30">
        <v>5.2</v>
      </c>
      <c r="K30">
        <v>-1.3</v>
      </c>
      <c r="L30">
        <v>-0.5</v>
      </c>
      <c r="M30">
        <v>4.2</v>
      </c>
      <c r="N30">
        <v>-4</v>
      </c>
      <c r="O30">
        <v>0.4</v>
      </c>
      <c r="P30">
        <v>-4</v>
      </c>
    </row>
    <row r="32" spans="1:2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1:19" x14ac:dyDescent="0.25">
      <c r="A33" t="s">
        <v>0</v>
      </c>
      <c r="B33" t="s">
        <v>4</v>
      </c>
      <c r="C33" t="s">
        <v>5</v>
      </c>
      <c r="D33" t="s">
        <v>6</v>
      </c>
      <c r="E33" t="s">
        <v>7</v>
      </c>
      <c r="F33" t="s">
        <v>8</v>
      </c>
      <c r="G33" t="s">
        <v>9</v>
      </c>
      <c r="H33" t="s">
        <v>10</v>
      </c>
      <c r="I33" t="s">
        <v>11</v>
      </c>
      <c r="J33" t="s">
        <v>12</v>
      </c>
      <c r="K33" t="s">
        <v>13</v>
      </c>
      <c r="L33" t="s">
        <v>14</v>
      </c>
      <c r="M33" t="s">
        <v>15</v>
      </c>
      <c r="N33" t="s">
        <v>16</v>
      </c>
      <c r="O33" t="s">
        <v>17</v>
      </c>
      <c r="P33" t="s">
        <v>18</v>
      </c>
      <c r="Q33" t="s">
        <v>53</v>
      </c>
      <c r="R33" t="s">
        <v>54</v>
      </c>
    </row>
    <row r="34" spans="1:19" x14ac:dyDescent="0.25">
      <c r="A34" t="s">
        <v>41</v>
      </c>
      <c r="B34" s="1" t="str" cm="1">
        <f t="array" ref="B34">_xlfn.LET(_xlpm.result,RANK(_xlfn.XLOOKUP($A34,$A$2:$A$30,_xlfn.XLOOKUP(B$33,$B$1:$P$1,$B$2:$P$30)),$B$2:$P$30),IF(_xlpm.result&gt;150,"",_xlpm.result))</f>
        <v/>
      </c>
      <c r="C34" s="1" t="str" cm="1">
        <f t="array" ref="C34">_xlfn.LET(_xlpm.result,RANK(_xlfn.XLOOKUP($A34,$A$2:$A$30,_xlfn.XLOOKUP(C$33,$B$1:$P$1,$B$2:$P$30)),$B$2:$P$30),IF(_xlpm.result&gt;150,"",_xlpm.result))</f>
        <v/>
      </c>
      <c r="D34" s="1" t="str" cm="1">
        <f t="array" ref="D34">_xlfn.LET(_xlpm.result,RANK(_xlfn.XLOOKUP($A34,$A$2:$A$30,_xlfn.XLOOKUP(D$33,$B$1:$P$1,$B$2:$P$30)),$B$2:$P$30),IF(_xlpm.result&gt;150,"",_xlpm.result))</f>
        <v/>
      </c>
      <c r="E34" s="1" t="str" cm="1">
        <f t="array" ref="E34">_xlfn.LET(_xlpm.result,RANK(_xlfn.XLOOKUP($A34,$A$2:$A$30,_xlfn.XLOOKUP(E$33,$B$1:$P$1,$B$2:$P$30)),$B$2:$P$30),IF(_xlpm.result&gt;150,"",_xlpm.result))</f>
        <v/>
      </c>
      <c r="F34" s="1" t="str" cm="1">
        <f t="array" ref="F34">_xlfn.LET(_xlpm.result,RANK(_xlfn.XLOOKUP($A34,$A$2:$A$30,_xlfn.XLOOKUP(F$33,$B$1:$P$1,$B$2:$P$30)),$B$2:$P$30),IF(_xlpm.result&gt;150,"",_xlpm.result))</f>
        <v/>
      </c>
      <c r="G34" s="1" t="str" cm="1">
        <f t="array" ref="G34">_xlfn.LET(_xlpm.result,RANK(_xlfn.XLOOKUP($A34,$A$2:$A$30,_xlfn.XLOOKUP(G$33,$B$1:$P$1,$B$2:$P$30)),$B$2:$P$30),IF(_xlpm.result&gt;150,"",_xlpm.result))</f>
        <v/>
      </c>
      <c r="H34" s="1" t="str" cm="1">
        <f t="array" ref="H34">_xlfn.LET(_xlpm.result,RANK(_xlfn.XLOOKUP($A34,$A$2:$A$30,_xlfn.XLOOKUP(H$33,$B$1:$P$1,$B$2:$P$30)),$B$2:$P$30),IF(_xlpm.result&gt;150,"",_xlpm.result))</f>
        <v/>
      </c>
      <c r="I34" s="1" t="str" cm="1">
        <f t="array" ref="I34">_xlfn.LET(_xlpm.result,RANK(_xlfn.XLOOKUP($A34,$A$2:$A$30,_xlfn.XLOOKUP(I$33,$B$1:$P$1,$B$2:$P$30)),$B$2:$P$30),IF(_xlpm.result&gt;150,"",_xlpm.result))</f>
        <v/>
      </c>
      <c r="J34" s="1" t="str" cm="1">
        <f t="array" ref="J34">_xlfn.LET(_xlpm.result,RANK(_xlfn.XLOOKUP($A34,$A$2:$A$30,_xlfn.XLOOKUP(J$33,$B$1:$P$1,$B$2:$P$30)),$B$2:$P$30),IF(_xlpm.result&gt;150,"",_xlpm.result))</f>
        <v/>
      </c>
      <c r="K34" s="1" t="str" cm="1">
        <f t="array" ref="K34">_xlfn.LET(_xlpm.result,RANK(_xlfn.XLOOKUP($A34,$A$2:$A$30,_xlfn.XLOOKUP(K$33,$B$1:$P$1,$B$2:$P$30)),$B$2:$P$30),IF(_xlpm.result&gt;150,"",_xlpm.result))</f>
        <v/>
      </c>
      <c r="L34" s="1" t="str" cm="1">
        <f t="array" ref="L34">_xlfn.LET(_xlpm.result,RANK(_xlfn.XLOOKUP($A34,$A$2:$A$30,_xlfn.XLOOKUP(L$33,$B$1:$P$1,$B$2:$P$30)),$B$2:$P$30),IF(_xlpm.result&gt;150,"",_xlpm.result))</f>
        <v/>
      </c>
      <c r="M34" s="1" t="str" cm="1">
        <f t="array" ref="M34">_xlfn.LET(_xlpm.result,RANK(_xlfn.XLOOKUP($A34,$A$2:$A$30,_xlfn.XLOOKUP(M$33,$B$1:$P$1,$B$2:$P$30)),$B$2:$P$30),IF(_xlpm.result&gt;150,"",_xlpm.result))</f>
        <v/>
      </c>
      <c r="N34" s="1" t="str" cm="1">
        <f t="array" ref="N34">_xlfn.LET(_xlpm.result,RANK(_xlfn.XLOOKUP($A34,$A$2:$A$30,_xlfn.XLOOKUP(N$33,$B$1:$P$1,$B$2:$P$30)),$B$2:$P$30),IF(_xlpm.result&gt;150,"",_xlpm.result))</f>
        <v/>
      </c>
      <c r="O34" s="1" cm="1">
        <f t="array" ref="O34">_xlfn.LET(_xlpm.result,RANK(_xlfn.XLOOKUP($A34,$A$2:$A$30,_xlfn.XLOOKUP(O$33,$B$1:$P$1,$B$2:$P$30)),$B$2:$P$30),IF(_xlpm.result&gt;150,"",_xlpm.result))</f>
        <v>144</v>
      </c>
      <c r="P34" s="1" t="str" cm="1">
        <f t="array" ref="P34">_xlfn.LET(_xlpm.result,RANK(_xlfn.XLOOKUP($A34,$A$2:$A$30,_xlfn.XLOOKUP(P$33,$B$1:$P$1,$B$2:$P$30)),$B$2:$P$30),IF(_xlpm.result&gt;150,"",_xlpm.result))</f>
        <v/>
      </c>
      <c r="Q34" s="2">
        <f t="shared" ref="Q34:Q62" si="0">COUNT(B34:P34)</f>
        <v>1</v>
      </c>
      <c r="R34" s="10">
        <f t="shared" ref="R34:R62" si="1">MIN(B34:P34)</f>
        <v>144</v>
      </c>
    </row>
    <row r="35" spans="1:19" x14ac:dyDescent="0.25">
      <c r="A35" t="s">
        <v>42</v>
      </c>
      <c r="B35" s="1" t="str" cm="1">
        <f t="array" ref="B35">_xlfn.LET(_xlpm.result,RANK(_xlfn.XLOOKUP($A35,$A$2:$A$30,_xlfn.XLOOKUP(B$33,$B$1:$P$1,$B$2:$P$30)),$B$2:$P$30),IF(_xlpm.result&gt;150,"",_xlpm.result))</f>
        <v/>
      </c>
      <c r="C35" s="1" cm="1">
        <f t="array" ref="C35">_xlfn.LET(_xlpm.result,RANK(_xlfn.XLOOKUP($A35,$A$2:$A$30,_xlfn.XLOOKUP(C$33,$B$1:$P$1,$B$2:$P$30)),$B$2:$P$30),IF(_xlpm.result&gt;150,"",_xlpm.result))</f>
        <v>139</v>
      </c>
      <c r="D35" s="1" t="str" cm="1">
        <f t="array" ref="D35">_xlfn.LET(_xlpm.result,RANK(_xlfn.XLOOKUP($A35,$A$2:$A$30,_xlfn.XLOOKUP(D$33,$B$1:$P$1,$B$2:$P$30)),$B$2:$P$30),IF(_xlpm.result&gt;150,"",_xlpm.result))</f>
        <v/>
      </c>
      <c r="E35" s="1" t="str" cm="1">
        <f t="array" ref="E35">_xlfn.LET(_xlpm.result,RANK(_xlfn.XLOOKUP($A35,$A$2:$A$30,_xlfn.XLOOKUP(E$33,$B$1:$P$1,$B$2:$P$30)),$B$2:$P$30),IF(_xlpm.result&gt;150,"",_xlpm.result))</f>
        <v/>
      </c>
      <c r="F35" s="1" t="str" cm="1">
        <f t="array" ref="F35">_xlfn.LET(_xlpm.result,RANK(_xlfn.XLOOKUP($A35,$A$2:$A$30,_xlfn.XLOOKUP(F$33,$B$1:$P$1,$B$2:$P$30)),$B$2:$P$30),IF(_xlpm.result&gt;150,"",_xlpm.result))</f>
        <v/>
      </c>
      <c r="G35" s="1" t="str" cm="1">
        <f t="array" ref="G35">_xlfn.LET(_xlpm.result,RANK(_xlfn.XLOOKUP($A35,$A$2:$A$30,_xlfn.XLOOKUP(G$33,$B$1:$P$1,$B$2:$P$30)),$B$2:$P$30),IF(_xlpm.result&gt;150,"",_xlpm.result))</f>
        <v/>
      </c>
      <c r="H35" s="1" t="str" cm="1">
        <f t="array" ref="H35">_xlfn.LET(_xlpm.result,RANK(_xlfn.XLOOKUP($A35,$A$2:$A$30,_xlfn.XLOOKUP(H$33,$B$1:$P$1,$B$2:$P$30)),$B$2:$P$30),IF(_xlpm.result&gt;150,"",_xlpm.result))</f>
        <v/>
      </c>
      <c r="I35" s="1" t="str" cm="1">
        <f t="array" ref="I35">_xlfn.LET(_xlpm.result,RANK(_xlfn.XLOOKUP($A35,$A$2:$A$30,_xlfn.XLOOKUP(I$33,$B$1:$P$1,$B$2:$P$30)),$B$2:$P$30),IF(_xlpm.result&gt;150,"",_xlpm.result))</f>
        <v/>
      </c>
      <c r="J35" s="1" t="str" cm="1">
        <f t="array" ref="J35">_xlfn.LET(_xlpm.result,RANK(_xlfn.XLOOKUP($A35,$A$2:$A$30,_xlfn.XLOOKUP(J$33,$B$1:$P$1,$B$2:$P$30)),$B$2:$P$30),IF(_xlpm.result&gt;150,"",_xlpm.result))</f>
        <v/>
      </c>
      <c r="K35" s="1" t="str" cm="1">
        <f t="array" ref="K35">_xlfn.LET(_xlpm.result,RANK(_xlfn.XLOOKUP($A35,$A$2:$A$30,_xlfn.XLOOKUP(K$33,$B$1:$P$1,$B$2:$P$30)),$B$2:$P$30),IF(_xlpm.result&gt;150,"",_xlpm.result))</f>
        <v/>
      </c>
      <c r="L35" s="1" t="str" cm="1">
        <f t="array" ref="L35">_xlfn.LET(_xlpm.result,RANK(_xlfn.XLOOKUP($A35,$A$2:$A$30,_xlfn.XLOOKUP(L$33,$B$1:$P$1,$B$2:$P$30)),$B$2:$P$30),IF(_xlpm.result&gt;150,"",_xlpm.result))</f>
        <v/>
      </c>
      <c r="M35" s="1" t="str" cm="1">
        <f t="array" ref="M35">_xlfn.LET(_xlpm.result,RANK(_xlfn.XLOOKUP($A35,$A$2:$A$30,_xlfn.XLOOKUP(M$33,$B$1:$P$1,$B$2:$P$30)),$B$2:$P$30),IF(_xlpm.result&gt;150,"",_xlpm.result))</f>
        <v/>
      </c>
      <c r="N35" s="1" t="str" cm="1">
        <f t="array" ref="N35">_xlfn.LET(_xlpm.result,RANK(_xlfn.XLOOKUP($A35,$A$2:$A$30,_xlfn.XLOOKUP(N$33,$B$1:$P$1,$B$2:$P$30)),$B$2:$P$30),IF(_xlpm.result&gt;150,"",_xlpm.result))</f>
        <v/>
      </c>
      <c r="O35" s="1" t="str" cm="1">
        <f t="array" ref="O35">_xlfn.LET(_xlpm.result,RANK(_xlfn.XLOOKUP($A35,$A$2:$A$30,_xlfn.XLOOKUP(O$33,$B$1:$P$1,$B$2:$P$30)),$B$2:$P$30),IF(_xlpm.result&gt;150,"",_xlpm.result))</f>
        <v/>
      </c>
      <c r="P35" s="1" t="str" cm="1">
        <f t="array" ref="P35">_xlfn.LET(_xlpm.result,RANK(_xlfn.XLOOKUP($A35,$A$2:$A$30,_xlfn.XLOOKUP(P$33,$B$1:$P$1,$B$2:$P$30)),$B$2:$P$30),IF(_xlpm.result&gt;150,"",_xlpm.result))</f>
        <v/>
      </c>
      <c r="Q35">
        <f t="shared" si="0"/>
        <v>1</v>
      </c>
      <c r="R35" s="10">
        <f t="shared" si="1"/>
        <v>139</v>
      </c>
    </row>
    <row r="36" spans="1:19" x14ac:dyDescent="0.25">
      <c r="A36" t="s">
        <v>26</v>
      </c>
      <c r="B36" s="1" t="str" cm="1">
        <f t="array" ref="B36">_xlfn.LET(_xlpm.result,RANK(_xlfn.XLOOKUP($A36,$A$2:$A$30,_xlfn.XLOOKUP(B$33,$B$1:$P$1,$B$2:$P$30)),$B$2:$P$30),IF(_xlpm.result&gt;150,"",_xlpm.result))</f>
        <v/>
      </c>
      <c r="C36" s="1" t="str" cm="1">
        <f t="array" ref="C36">_xlfn.LET(_xlpm.result,RANK(_xlfn.XLOOKUP($A36,$A$2:$A$30,_xlfn.XLOOKUP(C$33,$B$1:$P$1,$B$2:$P$30)),$B$2:$P$30),IF(_xlpm.result&gt;150,"",_xlpm.result))</f>
        <v/>
      </c>
      <c r="D36" s="1" t="str" cm="1">
        <f t="array" ref="D36">_xlfn.LET(_xlpm.result,RANK(_xlfn.XLOOKUP($A36,$A$2:$A$30,_xlfn.XLOOKUP(D$33,$B$1:$P$1,$B$2:$P$30)),$B$2:$P$30),IF(_xlpm.result&gt;150,"",_xlpm.result))</f>
        <v/>
      </c>
      <c r="E36" s="1" t="str" cm="1">
        <f t="array" ref="E36">_xlfn.LET(_xlpm.result,RANK(_xlfn.XLOOKUP($A36,$A$2:$A$30,_xlfn.XLOOKUP(E$33,$B$1:$P$1,$B$2:$P$30)),$B$2:$P$30),IF(_xlpm.result&gt;150,"",_xlpm.result))</f>
        <v/>
      </c>
      <c r="F36" s="1" t="str" cm="1">
        <f t="array" ref="F36">_xlfn.LET(_xlpm.result,RANK(_xlfn.XLOOKUP($A36,$A$2:$A$30,_xlfn.XLOOKUP(F$33,$B$1:$P$1,$B$2:$P$30)),$B$2:$P$30),IF(_xlpm.result&gt;150,"",_xlpm.result))</f>
        <v/>
      </c>
      <c r="G36" s="1" t="str" cm="1">
        <f t="array" ref="G36">_xlfn.LET(_xlpm.result,RANK(_xlfn.XLOOKUP($A36,$A$2:$A$30,_xlfn.XLOOKUP(G$33,$B$1:$P$1,$B$2:$P$30)),$B$2:$P$30),IF(_xlpm.result&gt;150,"",_xlpm.result))</f>
        <v/>
      </c>
      <c r="H36" s="1" t="str" cm="1">
        <f t="array" ref="H36">_xlfn.LET(_xlpm.result,RANK(_xlfn.XLOOKUP($A36,$A$2:$A$30,_xlfn.XLOOKUP(H$33,$B$1:$P$1,$B$2:$P$30)),$B$2:$P$30),IF(_xlpm.result&gt;150,"",_xlpm.result))</f>
        <v/>
      </c>
      <c r="I36" s="1" t="str" cm="1">
        <f t="array" ref="I36">_xlfn.LET(_xlpm.result,RANK(_xlfn.XLOOKUP($A36,$A$2:$A$30,_xlfn.XLOOKUP(I$33,$B$1:$P$1,$B$2:$P$30)),$B$2:$P$30),IF(_xlpm.result&gt;150,"",_xlpm.result))</f>
        <v/>
      </c>
      <c r="J36" s="1" t="str" cm="1">
        <f t="array" ref="J36">_xlfn.LET(_xlpm.result,RANK(_xlfn.XLOOKUP($A36,$A$2:$A$30,_xlfn.XLOOKUP(J$33,$B$1:$P$1,$B$2:$P$30)),$B$2:$P$30),IF(_xlpm.result&gt;150,"",_xlpm.result))</f>
        <v/>
      </c>
      <c r="K36" s="1" t="str" cm="1">
        <f t="array" ref="K36">_xlfn.LET(_xlpm.result,RANK(_xlfn.XLOOKUP($A36,$A$2:$A$30,_xlfn.XLOOKUP(K$33,$B$1:$P$1,$B$2:$P$30)),$B$2:$P$30),IF(_xlpm.result&gt;150,"",_xlpm.result))</f>
        <v/>
      </c>
      <c r="L36" s="1" cm="1">
        <f t="array" ref="L36">_xlfn.LET(_xlpm.result,RANK(_xlfn.XLOOKUP($A36,$A$2:$A$30,_xlfn.XLOOKUP(L$33,$B$1:$P$1,$B$2:$P$30)),$B$2:$P$30),IF(_xlpm.result&gt;150,"",_xlpm.result))</f>
        <v>121</v>
      </c>
      <c r="M36" s="1" t="str" cm="1">
        <f t="array" ref="M36">_xlfn.LET(_xlpm.result,RANK(_xlfn.XLOOKUP($A36,$A$2:$A$30,_xlfn.XLOOKUP(M$33,$B$1:$P$1,$B$2:$P$30)),$B$2:$P$30),IF(_xlpm.result&gt;150,"",_xlpm.result))</f>
        <v/>
      </c>
      <c r="N36" s="1" t="str" cm="1">
        <f t="array" ref="N36">_xlfn.LET(_xlpm.result,RANK(_xlfn.XLOOKUP($A36,$A$2:$A$30,_xlfn.XLOOKUP(N$33,$B$1:$P$1,$B$2:$P$30)),$B$2:$P$30),IF(_xlpm.result&gt;150,"",_xlpm.result))</f>
        <v/>
      </c>
      <c r="O36" s="1" t="str" cm="1">
        <f t="array" ref="O36">_xlfn.LET(_xlpm.result,RANK(_xlfn.XLOOKUP($A36,$A$2:$A$30,_xlfn.XLOOKUP(O$33,$B$1:$P$1,$B$2:$P$30)),$B$2:$P$30),IF(_xlpm.result&gt;150,"",_xlpm.result))</f>
        <v/>
      </c>
      <c r="P36" s="1" t="str" cm="1">
        <f t="array" ref="P36">_xlfn.LET(_xlpm.result,RANK(_xlfn.XLOOKUP($A36,$A$2:$A$30,_xlfn.XLOOKUP(P$33,$B$1:$P$1,$B$2:$P$30)),$B$2:$P$30),IF(_xlpm.result&gt;150,"",_xlpm.result))</f>
        <v/>
      </c>
      <c r="Q36">
        <f t="shared" si="0"/>
        <v>1</v>
      </c>
      <c r="R36" s="10">
        <f t="shared" si="1"/>
        <v>121</v>
      </c>
    </row>
    <row r="37" spans="1:19" x14ac:dyDescent="0.25">
      <c r="A37" t="s">
        <v>24</v>
      </c>
      <c r="B37" s="1" t="str" cm="1">
        <f t="array" ref="B37">_xlfn.LET(_xlpm.result,RANK(_xlfn.XLOOKUP($A37,$A$2:$A$30,_xlfn.XLOOKUP(B$33,$B$1:$P$1,$B$2:$P$30)),$B$2:$P$30),IF(_xlpm.result&gt;150,"",_xlpm.result))</f>
        <v/>
      </c>
      <c r="C37" s="1" t="str" cm="1">
        <f t="array" ref="C37">_xlfn.LET(_xlpm.result,RANK(_xlfn.XLOOKUP($A37,$A$2:$A$30,_xlfn.XLOOKUP(C$33,$B$1:$P$1,$B$2:$P$30)),$B$2:$P$30),IF(_xlpm.result&gt;150,"",_xlpm.result))</f>
        <v/>
      </c>
      <c r="D37" s="1" t="str" cm="1">
        <f t="array" ref="D37">_xlfn.LET(_xlpm.result,RANK(_xlfn.XLOOKUP($A37,$A$2:$A$30,_xlfn.XLOOKUP(D$33,$B$1:$P$1,$B$2:$P$30)),$B$2:$P$30),IF(_xlpm.result&gt;150,"",_xlpm.result))</f>
        <v/>
      </c>
      <c r="E37" s="1" cm="1">
        <f t="array" ref="E37">_xlfn.LET(_xlpm.result,RANK(_xlfn.XLOOKUP($A37,$A$2:$A$30,_xlfn.XLOOKUP(E$33,$B$1:$P$1,$B$2:$P$30)),$B$2:$P$30),IF(_xlpm.result&gt;150,"",_xlpm.result))</f>
        <v>109</v>
      </c>
      <c r="F37" s="1" t="str" cm="1">
        <f t="array" ref="F37">_xlfn.LET(_xlpm.result,RANK(_xlfn.XLOOKUP($A37,$A$2:$A$30,_xlfn.XLOOKUP(F$33,$B$1:$P$1,$B$2:$P$30)),$B$2:$P$30),IF(_xlpm.result&gt;150,"",_xlpm.result))</f>
        <v/>
      </c>
      <c r="G37" s="1" t="str" cm="1">
        <f t="array" ref="G37">_xlfn.LET(_xlpm.result,RANK(_xlfn.XLOOKUP($A37,$A$2:$A$30,_xlfn.XLOOKUP(G$33,$B$1:$P$1,$B$2:$P$30)),$B$2:$P$30),IF(_xlpm.result&gt;150,"",_xlpm.result))</f>
        <v/>
      </c>
      <c r="H37" s="1" t="str" cm="1">
        <f t="array" ref="H37">_xlfn.LET(_xlpm.result,RANK(_xlfn.XLOOKUP($A37,$A$2:$A$30,_xlfn.XLOOKUP(H$33,$B$1:$P$1,$B$2:$P$30)),$B$2:$P$30),IF(_xlpm.result&gt;150,"",_xlpm.result))</f>
        <v/>
      </c>
      <c r="I37" s="1" t="str" cm="1">
        <f t="array" ref="I37">_xlfn.LET(_xlpm.result,RANK(_xlfn.XLOOKUP($A37,$A$2:$A$30,_xlfn.XLOOKUP(I$33,$B$1:$P$1,$B$2:$P$30)),$B$2:$P$30),IF(_xlpm.result&gt;150,"",_xlpm.result))</f>
        <v/>
      </c>
      <c r="J37" s="1" t="str" cm="1">
        <f t="array" ref="J37">_xlfn.LET(_xlpm.result,RANK(_xlfn.XLOOKUP($A37,$A$2:$A$30,_xlfn.XLOOKUP(J$33,$B$1:$P$1,$B$2:$P$30)),$B$2:$P$30),IF(_xlpm.result&gt;150,"",_xlpm.result))</f>
        <v/>
      </c>
      <c r="K37" s="1" t="str" cm="1">
        <f t="array" ref="K37">_xlfn.LET(_xlpm.result,RANK(_xlfn.XLOOKUP($A37,$A$2:$A$30,_xlfn.XLOOKUP(K$33,$B$1:$P$1,$B$2:$P$30)),$B$2:$P$30),IF(_xlpm.result&gt;150,"",_xlpm.result))</f>
        <v/>
      </c>
      <c r="L37" s="1" t="str" cm="1">
        <f t="array" ref="L37">_xlfn.LET(_xlpm.result,RANK(_xlfn.XLOOKUP($A37,$A$2:$A$30,_xlfn.XLOOKUP(L$33,$B$1:$P$1,$B$2:$P$30)),$B$2:$P$30),IF(_xlpm.result&gt;150,"",_xlpm.result))</f>
        <v/>
      </c>
      <c r="M37" s="1" cm="1">
        <f t="array" ref="M37">_xlfn.LET(_xlpm.result,RANK(_xlfn.XLOOKUP($A37,$A$2:$A$30,_xlfn.XLOOKUP(M$33,$B$1:$P$1,$B$2:$P$30)),$B$2:$P$30),IF(_xlpm.result&gt;150,"",_xlpm.result))</f>
        <v>133</v>
      </c>
      <c r="N37" s="1" t="str" cm="1">
        <f t="array" ref="N37">_xlfn.LET(_xlpm.result,RANK(_xlfn.XLOOKUP($A37,$A$2:$A$30,_xlfn.XLOOKUP(N$33,$B$1:$P$1,$B$2:$P$30)),$B$2:$P$30),IF(_xlpm.result&gt;150,"",_xlpm.result))</f>
        <v/>
      </c>
      <c r="O37" s="1" t="str" cm="1">
        <f t="array" ref="O37">_xlfn.LET(_xlpm.result,RANK(_xlfn.XLOOKUP($A37,$A$2:$A$30,_xlfn.XLOOKUP(O$33,$B$1:$P$1,$B$2:$P$30)),$B$2:$P$30),IF(_xlpm.result&gt;150,"",_xlpm.result))</f>
        <v/>
      </c>
      <c r="P37" s="1" t="str" cm="1">
        <f t="array" ref="P37">_xlfn.LET(_xlpm.result,RANK(_xlfn.XLOOKUP($A37,$A$2:$A$30,_xlfn.XLOOKUP(P$33,$B$1:$P$1,$B$2:$P$30)),$B$2:$P$30),IF(_xlpm.result&gt;150,"",_xlpm.result))</f>
        <v/>
      </c>
      <c r="Q37">
        <f t="shared" si="0"/>
        <v>2</v>
      </c>
      <c r="R37" s="10">
        <f t="shared" si="1"/>
        <v>109</v>
      </c>
    </row>
    <row r="38" spans="1:19" x14ac:dyDescent="0.25">
      <c r="A38" t="s">
        <v>45</v>
      </c>
      <c r="B38" s="1" t="str" cm="1">
        <f t="array" ref="B38">_xlfn.LET(_xlpm.result,RANK(_xlfn.XLOOKUP($A38,$A$2:$A$30,_xlfn.XLOOKUP(B$33,$B$1:$P$1,$B$2:$P$30)),$B$2:$P$30),IF(_xlpm.result&gt;150,"",_xlpm.result))</f>
        <v/>
      </c>
      <c r="C38" s="1" t="str" cm="1">
        <f t="array" ref="C38">_xlfn.LET(_xlpm.result,RANK(_xlfn.XLOOKUP($A38,$A$2:$A$30,_xlfn.XLOOKUP(C$33,$B$1:$P$1,$B$2:$P$30)),$B$2:$P$30),IF(_xlpm.result&gt;150,"",_xlpm.result))</f>
        <v/>
      </c>
      <c r="D38" s="1" cm="1">
        <f t="array" ref="D38">_xlfn.LET(_xlpm.result,RANK(_xlfn.XLOOKUP($A38,$A$2:$A$30,_xlfn.XLOOKUP(D$33,$B$1:$P$1,$B$2:$P$30)),$B$2:$P$30),IF(_xlpm.result&gt;150,"",_xlpm.result))</f>
        <v>99</v>
      </c>
      <c r="E38" s="1" t="str" cm="1">
        <f t="array" ref="E38">_xlfn.LET(_xlpm.result,RANK(_xlfn.XLOOKUP($A38,$A$2:$A$30,_xlfn.XLOOKUP(E$33,$B$1:$P$1,$B$2:$P$30)),$B$2:$P$30),IF(_xlpm.result&gt;150,"",_xlpm.result))</f>
        <v/>
      </c>
      <c r="F38" s="1" t="str" cm="1">
        <f t="array" ref="F38">_xlfn.LET(_xlpm.result,RANK(_xlfn.XLOOKUP($A38,$A$2:$A$30,_xlfn.XLOOKUP(F$33,$B$1:$P$1,$B$2:$P$30)),$B$2:$P$30),IF(_xlpm.result&gt;150,"",_xlpm.result))</f>
        <v/>
      </c>
      <c r="G38" s="1" t="str" cm="1">
        <f t="array" ref="G38">_xlfn.LET(_xlpm.result,RANK(_xlfn.XLOOKUP($A38,$A$2:$A$30,_xlfn.XLOOKUP(G$33,$B$1:$P$1,$B$2:$P$30)),$B$2:$P$30),IF(_xlpm.result&gt;150,"",_xlpm.result))</f>
        <v/>
      </c>
      <c r="H38" s="1" t="str" cm="1">
        <f t="array" ref="H38">_xlfn.LET(_xlpm.result,RANK(_xlfn.XLOOKUP($A38,$A$2:$A$30,_xlfn.XLOOKUP(H$33,$B$1:$P$1,$B$2:$P$30)),$B$2:$P$30),IF(_xlpm.result&gt;150,"",_xlpm.result))</f>
        <v/>
      </c>
      <c r="I38" s="1" t="str" cm="1">
        <f t="array" ref="I38">_xlfn.LET(_xlpm.result,RANK(_xlfn.XLOOKUP($A38,$A$2:$A$30,_xlfn.XLOOKUP(I$33,$B$1:$P$1,$B$2:$P$30)),$B$2:$P$30),IF(_xlpm.result&gt;150,"",_xlpm.result))</f>
        <v/>
      </c>
      <c r="J38" s="1" t="str" cm="1">
        <f t="array" ref="J38">_xlfn.LET(_xlpm.result,RANK(_xlfn.XLOOKUP($A38,$A$2:$A$30,_xlfn.XLOOKUP(J$33,$B$1:$P$1,$B$2:$P$30)),$B$2:$P$30),IF(_xlpm.result&gt;150,"",_xlpm.result))</f>
        <v/>
      </c>
      <c r="K38" s="1" t="str" cm="1">
        <f t="array" ref="K38">_xlfn.LET(_xlpm.result,RANK(_xlfn.XLOOKUP($A38,$A$2:$A$30,_xlfn.XLOOKUP(K$33,$B$1:$P$1,$B$2:$P$30)),$B$2:$P$30),IF(_xlpm.result&gt;150,"",_xlpm.result))</f>
        <v/>
      </c>
      <c r="L38" s="1" t="str" cm="1">
        <f t="array" ref="L38">_xlfn.LET(_xlpm.result,RANK(_xlfn.XLOOKUP($A38,$A$2:$A$30,_xlfn.XLOOKUP(L$33,$B$1:$P$1,$B$2:$P$30)),$B$2:$P$30),IF(_xlpm.result&gt;150,"",_xlpm.result))</f>
        <v/>
      </c>
      <c r="M38" s="1" cm="1">
        <f t="array" ref="M38">_xlfn.LET(_xlpm.result,RANK(_xlfn.XLOOKUP($A38,$A$2:$A$30,_xlfn.XLOOKUP(M$33,$B$1:$P$1,$B$2:$P$30)),$B$2:$P$30),IF(_xlpm.result&gt;150,"",_xlpm.result))</f>
        <v>99</v>
      </c>
      <c r="N38" s="1" t="str" cm="1">
        <f t="array" ref="N38">_xlfn.LET(_xlpm.result,RANK(_xlfn.XLOOKUP($A38,$A$2:$A$30,_xlfn.XLOOKUP(N$33,$B$1:$P$1,$B$2:$P$30)),$B$2:$P$30),IF(_xlpm.result&gt;150,"",_xlpm.result))</f>
        <v/>
      </c>
      <c r="O38" s="1" cm="1">
        <f t="array" ref="O38">_xlfn.LET(_xlpm.result,RANK(_xlfn.XLOOKUP($A38,$A$2:$A$30,_xlfn.XLOOKUP(O$33,$B$1:$P$1,$B$2:$P$30)),$B$2:$P$30),IF(_xlpm.result&gt;150,"",_xlpm.result))</f>
        <v>99</v>
      </c>
      <c r="P38" s="1" t="str" cm="1">
        <f t="array" ref="P38">_xlfn.LET(_xlpm.result,RANK(_xlfn.XLOOKUP($A38,$A$2:$A$30,_xlfn.XLOOKUP(P$33,$B$1:$P$1,$B$2:$P$30)),$B$2:$P$30),IF(_xlpm.result&gt;150,"",_xlpm.result))</f>
        <v/>
      </c>
      <c r="Q38">
        <f t="shared" si="0"/>
        <v>3</v>
      </c>
      <c r="R38" s="10">
        <f t="shared" si="1"/>
        <v>99</v>
      </c>
    </row>
    <row r="39" spans="1:19" x14ac:dyDescent="0.25">
      <c r="A39" t="s">
        <v>46</v>
      </c>
      <c r="B39" s="1" t="str" cm="1">
        <f t="array" ref="B39">_xlfn.LET(_xlpm.result,RANK(_xlfn.XLOOKUP($A39,$A$2:$A$30,_xlfn.XLOOKUP(B$33,$B$1:$P$1,$B$2:$P$30)),$B$2:$P$30),IF(_xlpm.result&gt;150,"",_xlpm.result))</f>
        <v/>
      </c>
      <c r="C39" s="1" t="str" cm="1">
        <f t="array" ref="C39">_xlfn.LET(_xlpm.result,RANK(_xlfn.XLOOKUP($A39,$A$2:$A$30,_xlfn.XLOOKUP(C$33,$B$1:$P$1,$B$2:$P$30)),$B$2:$P$30),IF(_xlpm.result&gt;150,"",_xlpm.result))</f>
        <v/>
      </c>
      <c r="D39" s="1" t="str" cm="1">
        <f t="array" ref="D39">_xlfn.LET(_xlpm.result,RANK(_xlfn.XLOOKUP($A39,$A$2:$A$30,_xlfn.XLOOKUP(D$33,$B$1:$P$1,$B$2:$P$30)),$B$2:$P$30),IF(_xlpm.result&gt;150,"",_xlpm.result))</f>
        <v/>
      </c>
      <c r="E39" s="1" t="str" cm="1">
        <f t="array" ref="E39">_xlfn.LET(_xlpm.result,RANK(_xlfn.XLOOKUP($A39,$A$2:$A$30,_xlfn.XLOOKUP(E$33,$B$1:$P$1,$B$2:$P$30)),$B$2:$P$30),IF(_xlpm.result&gt;150,"",_xlpm.result))</f>
        <v/>
      </c>
      <c r="F39" s="1" t="str" cm="1">
        <f t="array" ref="F39">_xlfn.LET(_xlpm.result,RANK(_xlfn.XLOOKUP($A39,$A$2:$A$30,_xlfn.XLOOKUP(F$33,$B$1:$P$1,$B$2:$P$30)),$B$2:$P$30),IF(_xlpm.result&gt;150,"",_xlpm.result))</f>
        <v/>
      </c>
      <c r="G39" s="1" t="str" cm="1">
        <f t="array" ref="G39">_xlfn.LET(_xlpm.result,RANK(_xlfn.XLOOKUP($A39,$A$2:$A$30,_xlfn.XLOOKUP(G$33,$B$1:$P$1,$B$2:$P$30)),$B$2:$P$30),IF(_xlpm.result&gt;150,"",_xlpm.result))</f>
        <v/>
      </c>
      <c r="H39" s="1" t="str" cm="1">
        <f t="array" ref="H39">_xlfn.LET(_xlpm.result,RANK(_xlfn.XLOOKUP($A39,$A$2:$A$30,_xlfn.XLOOKUP(H$33,$B$1:$P$1,$B$2:$P$30)),$B$2:$P$30),IF(_xlpm.result&gt;150,"",_xlpm.result))</f>
        <v/>
      </c>
      <c r="I39" s="1" t="str" cm="1">
        <f t="array" ref="I39">_xlfn.LET(_xlpm.result,RANK(_xlfn.XLOOKUP($A39,$A$2:$A$30,_xlfn.XLOOKUP(I$33,$B$1:$P$1,$B$2:$P$30)),$B$2:$P$30),IF(_xlpm.result&gt;150,"",_xlpm.result))</f>
        <v/>
      </c>
      <c r="J39" s="1" cm="1">
        <f t="array" ref="J39">_xlfn.LET(_xlpm.result,RANK(_xlfn.XLOOKUP($A39,$A$2:$A$30,_xlfn.XLOOKUP(J$33,$B$1:$P$1,$B$2:$P$30)),$B$2:$P$30),IF(_xlpm.result&gt;150,"",_xlpm.result))</f>
        <v>139</v>
      </c>
      <c r="K39" s="1" cm="1">
        <f t="array" ref="K39">_xlfn.LET(_xlpm.result,RANK(_xlfn.XLOOKUP($A39,$A$2:$A$30,_xlfn.XLOOKUP(K$33,$B$1:$P$1,$B$2:$P$30)),$B$2:$P$30),IF(_xlpm.result&gt;150,"",_xlpm.result))</f>
        <v>147</v>
      </c>
      <c r="L39" s="1" t="str" cm="1">
        <f t="array" ref="L39">_xlfn.LET(_xlpm.result,RANK(_xlfn.XLOOKUP($A39,$A$2:$A$30,_xlfn.XLOOKUP(L$33,$B$1:$P$1,$B$2:$P$30)),$B$2:$P$30),IF(_xlpm.result&gt;150,"",_xlpm.result))</f>
        <v/>
      </c>
      <c r="M39" s="1" cm="1">
        <f t="array" ref="M39">_xlfn.LET(_xlpm.result,RANK(_xlfn.XLOOKUP($A39,$A$2:$A$30,_xlfn.XLOOKUP(M$33,$B$1:$P$1,$B$2:$P$30)),$B$2:$P$30),IF(_xlpm.result&gt;150,"",_xlpm.result))</f>
        <v>83</v>
      </c>
      <c r="N39" s="1" t="str" cm="1">
        <f t="array" ref="N39">_xlfn.LET(_xlpm.result,RANK(_xlfn.XLOOKUP($A39,$A$2:$A$30,_xlfn.XLOOKUP(N$33,$B$1:$P$1,$B$2:$P$30)),$B$2:$P$30),IF(_xlpm.result&gt;150,"",_xlpm.result))</f>
        <v/>
      </c>
      <c r="O39" s="1" t="str" cm="1">
        <f t="array" ref="O39">_xlfn.LET(_xlpm.result,RANK(_xlfn.XLOOKUP($A39,$A$2:$A$30,_xlfn.XLOOKUP(O$33,$B$1:$P$1,$B$2:$P$30)),$B$2:$P$30),IF(_xlpm.result&gt;150,"",_xlpm.result))</f>
        <v/>
      </c>
      <c r="P39" s="1" t="str" cm="1">
        <f t="array" ref="P39">_xlfn.LET(_xlpm.result,RANK(_xlfn.XLOOKUP($A39,$A$2:$A$30,_xlfn.XLOOKUP(P$33,$B$1:$P$1,$B$2:$P$30)),$B$2:$P$30),IF(_xlpm.result&gt;150,"",_xlpm.result))</f>
        <v/>
      </c>
      <c r="Q39">
        <f t="shared" si="0"/>
        <v>3</v>
      </c>
      <c r="R39" s="10">
        <f t="shared" si="1"/>
        <v>83</v>
      </c>
    </row>
    <row r="40" spans="1:19" x14ac:dyDescent="0.25">
      <c r="A40" t="s">
        <v>20</v>
      </c>
      <c r="B40" s="1" t="str" cm="1">
        <f t="array" ref="B40">_xlfn.LET(_xlpm.result,RANK(_xlfn.XLOOKUP($A40,$A$2:$A$30,_xlfn.XLOOKUP(B$33,$B$1:$P$1,$B$2:$P$30)),$B$2:$P$30),IF(_xlpm.result&gt;150,"",_xlpm.result))</f>
        <v/>
      </c>
      <c r="C40" s="1" t="str" cm="1">
        <f t="array" ref="C40">_xlfn.LET(_xlpm.result,RANK(_xlfn.XLOOKUP($A40,$A$2:$A$30,_xlfn.XLOOKUP(C$33,$B$1:$P$1,$B$2:$P$30)),$B$2:$P$30),IF(_xlpm.result&gt;150,"",_xlpm.result))</f>
        <v/>
      </c>
      <c r="D40" s="1" t="str" cm="1">
        <f t="array" ref="D40">_xlfn.LET(_xlpm.result,RANK(_xlfn.XLOOKUP($A40,$A$2:$A$30,_xlfn.XLOOKUP(D$33,$B$1:$P$1,$B$2:$P$30)),$B$2:$P$30),IF(_xlpm.result&gt;150,"",_xlpm.result))</f>
        <v/>
      </c>
      <c r="E40" s="1" cm="1">
        <f t="array" ref="E40">_xlfn.LET(_xlpm.result,RANK(_xlfn.XLOOKUP($A40,$A$2:$A$30,_xlfn.XLOOKUP(E$33,$B$1:$P$1,$B$2:$P$30)),$B$2:$P$30),IF(_xlpm.result&gt;150,"",_xlpm.result))</f>
        <v>144</v>
      </c>
      <c r="F40" s="1" cm="1">
        <f t="array" ref="F40">_xlfn.LET(_xlpm.result,RANK(_xlfn.XLOOKUP($A40,$A$2:$A$30,_xlfn.XLOOKUP(F$33,$B$1:$P$1,$B$2:$P$30)),$B$2:$P$30),IF(_xlpm.result&gt;150,"",_xlpm.result))</f>
        <v>107</v>
      </c>
      <c r="G40" s="1" t="str" cm="1">
        <f t="array" ref="G40">_xlfn.LET(_xlpm.result,RANK(_xlfn.XLOOKUP($A40,$A$2:$A$30,_xlfn.XLOOKUP(G$33,$B$1:$P$1,$B$2:$P$30)),$B$2:$P$30),IF(_xlpm.result&gt;150,"",_xlpm.result))</f>
        <v/>
      </c>
      <c r="H40" s="1" t="str" cm="1">
        <f t="array" ref="H40">_xlfn.LET(_xlpm.result,RANK(_xlfn.XLOOKUP($A40,$A$2:$A$30,_xlfn.XLOOKUP(H$33,$B$1:$P$1,$B$2:$P$30)),$B$2:$P$30),IF(_xlpm.result&gt;150,"",_xlpm.result))</f>
        <v/>
      </c>
      <c r="I40" s="1" cm="1">
        <f t="array" ref="I40">_xlfn.LET(_xlpm.result,RANK(_xlfn.XLOOKUP($A40,$A$2:$A$30,_xlfn.XLOOKUP(I$33,$B$1:$P$1,$B$2:$P$30)),$B$2:$P$30),IF(_xlpm.result&gt;150,"",_xlpm.result))</f>
        <v>95</v>
      </c>
      <c r="J40" s="1" cm="1">
        <f t="array" ref="J40">_xlfn.LET(_xlpm.result,RANK(_xlfn.XLOOKUP($A40,$A$2:$A$30,_xlfn.XLOOKUP(J$33,$B$1:$P$1,$B$2:$P$30)),$B$2:$P$30),IF(_xlpm.result&gt;150,"",_xlpm.result))</f>
        <v>83</v>
      </c>
      <c r="K40" s="1" cm="1">
        <f t="array" ref="K40">_xlfn.LET(_xlpm.result,RANK(_xlfn.XLOOKUP($A40,$A$2:$A$30,_xlfn.XLOOKUP(K$33,$B$1:$P$1,$B$2:$P$30)),$B$2:$P$30),IF(_xlpm.result&gt;150,"",_xlpm.result))</f>
        <v>94</v>
      </c>
      <c r="L40" s="1" t="str" cm="1">
        <f t="array" ref="L40">_xlfn.LET(_xlpm.result,RANK(_xlfn.XLOOKUP($A40,$A$2:$A$30,_xlfn.XLOOKUP(L$33,$B$1:$P$1,$B$2:$P$30)),$B$2:$P$30),IF(_xlpm.result&gt;150,"",_xlpm.result))</f>
        <v/>
      </c>
      <c r="M40" s="1" t="str" cm="1">
        <f t="array" ref="M40">_xlfn.LET(_xlpm.result,RANK(_xlfn.XLOOKUP($A40,$A$2:$A$30,_xlfn.XLOOKUP(M$33,$B$1:$P$1,$B$2:$P$30)),$B$2:$P$30),IF(_xlpm.result&gt;150,"",_xlpm.result))</f>
        <v/>
      </c>
      <c r="N40" s="1" t="str" cm="1">
        <f t="array" ref="N40">_xlfn.LET(_xlpm.result,RANK(_xlfn.XLOOKUP($A40,$A$2:$A$30,_xlfn.XLOOKUP(N$33,$B$1:$P$1,$B$2:$P$30)),$B$2:$P$30),IF(_xlpm.result&gt;150,"",_xlpm.result))</f>
        <v/>
      </c>
      <c r="O40" s="1" t="str" cm="1">
        <f t="array" ref="O40">_xlfn.LET(_xlpm.result,RANK(_xlfn.XLOOKUP($A40,$A$2:$A$30,_xlfn.XLOOKUP(O$33,$B$1:$P$1,$B$2:$P$30)),$B$2:$P$30),IF(_xlpm.result&gt;150,"",_xlpm.result))</f>
        <v/>
      </c>
      <c r="P40" s="1" cm="1">
        <f t="array" ref="P40">_xlfn.LET(_xlpm.result,RANK(_xlfn.XLOOKUP($A40,$A$2:$A$30,_xlfn.XLOOKUP(P$33,$B$1:$P$1,$B$2:$P$30)),$B$2:$P$30),IF(_xlpm.result&gt;150,"",_xlpm.result))</f>
        <v>83</v>
      </c>
      <c r="Q40">
        <f t="shared" si="0"/>
        <v>6</v>
      </c>
      <c r="R40" s="10">
        <f t="shared" si="1"/>
        <v>83</v>
      </c>
    </row>
    <row r="41" spans="1:19" x14ac:dyDescent="0.25">
      <c r="A41" t="s">
        <v>40</v>
      </c>
      <c r="B41" s="1" cm="1">
        <f t="array" ref="B41">_xlfn.LET(_xlpm.result,RANK(_xlfn.XLOOKUP($A41,$A$2:$A$30,_xlfn.XLOOKUP(B$33,$B$1:$P$1,$B$2:$P$30)),$B$2:$P$30),IF(_xlpm.result&gt;150,"",_xlpm.result))</f>
        <v>118</v>
      </c>
      <c r="C41" s="1" t="str" cm="1">
        <f t="array" ref="C41">_xlfn.LET(_xlpm.result,RANK(_xlfn.XLOOKUP($A41,$A$2:$A$30,_xlfn.XLOOKUP(C$33,$B$1:$P$1,$B$2:$P$30)),$B$2:$P$30),IF(_xlpm.result&gt;150,"",_xlpm.result))</f>
        <v/>
      </c>
      <c r="D41" s="1" cm="1">
        <f t="array" ref="D41">_xlfn.LET(_xlpm.result,RANK(_xlfn.XLOOKUP($A41,$A$2:$A$30,_xlfn.XLOOKUP(D$33,$B$1:$P$1,$B$2:$P$30)),$B$2:$P$30),IF(_xlpm.result&gt;150,"",_xlpm.result))</f>
        <v>103</v>
      </c>
      <c r="E41" s="1" cm="1">
        <f t="array" ref="E41">_xlfn.LET(_xlpm.result,RANK(_xlfn.XLOOKUP($A41,$A$2:$A$30,_xlfn.XLOOKUP(E$33,$B$1:$P$1,$B$2:$P$30)),$B$2:$P$30),IF(_xlpm.result&gt;150,"",_xlpm.result))</f>
        <v>64</v>
      </c>
      <c r="F41" s="1" cm="1">
        <f t="array" ref="F41">_xlfn.LET(_xlpm.result,RANK(_xlfn.XLOOKUP($A41,$A$2:$A$30,_xlfn.XLOOKUP(F$33,$B$1:$P$1,$B$2:$P$30)),$B$2:$P$30),IF(_xlpm.result&gt;150,"",_xlpm.result))</f>
        <v>125</v>
      </c>
      <c r="G41" s="1" t="str" cm="1">
        <f t="array" ref="G41">_xlfn.LET(_xlpm.result,RANK(_xlfn.XLOOKUP($A41,$A$2:$A$30,_xlfn.XLOOKUP(G$33,$B$1:$P$1,$B$2:$P$30)),$B$2:$P$30),IF(_xlpm.result&gt;150,"",_xlpm.result))</f>
        <v/>
      </c>
      <c r="H41" s="1" t="str" cm="1">
        <f t="array" ref="H41">_xlfn.LET(_xlpm.result,RANK(_xlfn.XLOOKUP($A41,$A$2:$A$30,_xlfn.XLOOKUP(H$33,$B$1:$P$1,$B$2:$P$30)),$B$2:$P$30),IF(_xlpm.result&gt;150,"",_xlpm.result))</f>
        <v/>
      </c>
      <c r="I41" s="1" cm="1">
        <f t="array" ref="I41">_xlfn.LET(_xlpm.result,RANK(_xlfn.XLOOKUP($A41,$A$2:$A$30,_xlfn.XLOOKUP(I$33,$B$1:$P$1,$B$2:$P$30)),$B$2:$P$30),IF(_xlpm.result&gt;150,"",_xlpm.result))</f>
        <v>113</v>
      </c>
      <c r="J41" s="1" t="str" cm="1">
        <f t="array" ref="J41">_xlfn.LET(_xlpm.result,RANK(_xlfn.XLOOKUP($A41,$A$2:$A$30,_xlfn.XLOOKUP(J$33,$B$1:$P$1,$B$2:$P$30)),$B$2:$P$30),IF(_xlpm.result&gt;150,"",_xlpm.result))</f>
        <v/>
      </c>
      <c r="K41" s="1" cm="1">
        <f t="array" ref="K41">_xlfn.LET(_xlpm.result,RANK(_xlfn.XLOOKUP($A41,$A$2:$A$30,_xlfn.XLOOKUP(K$33,$B$1:$P$1,$B$2:$P$30)),$B$2:$P$30),IF(_xlpm.result&gt;150,"",_xlpm.result))</f>
        <v>148</v>
      </c>
      <c r="L41" s="1" t="str" cm="1">
        <f t="array" ref="L41">_xlfn.LET(_xlpm.result,RANK(_xlfn.XLOOKUP($A41,$A$2:$A$30,_xlfn.XLOOKUP(L$33,$B$1:$P$1,$B$2:$P$30)),$B$2:$P$30),IF(_xlpm.result&gt;150,"",_xlpm.result))</f>
        <v/>
      </c>
      <c r="M41" s="1" t="str" cm="1">
        <f t="array" ref="M41">_xlfn.LET(_xlpm.result,RANK(_xlfn.XLOOKUP($A41,$A$2:$A$30,_xlfn.XLOOKUP(M$33,$B$1:$P$1,$B$2:$P$30)),$B$2:$P$30),IF(_xlpm.result&gt;150,"",_xlpm.result))</f>
        <v/>
      </c>
      <c r="N41" s="1" t="str" cm="1">
        <f t="array" ref="N41">_xlfn.LET(_xlpm.result,RANK(_xlfn.XLOOKUP($A41,$A$2:$A$30,_xlfn.XLOOKUP(N$33,$B$1:$P$1,$B$2:$P$30)),$B$2:$P$30),IF(_xlpm.result&gt;150,"",_xlpm.result))</f>
        <v/>
      </c>
      <c r="O41" s="1" cm="1">
        <f t="array" ref="O41">_xlfn.LET(_xlpm.result,RANK(_xlfn.XLOOKUP($A41,$A$2:$A$30,_xlfn.XLOOKUP(O$33,$B$1:$P$1,$B$2:$P$30)),$B$2:$P$30),IF(_xlpm.result&gt;150,"",_xlpm.result))</f>
        <v>113</v>
      </c>
      <c r="P41" s="1" cm="1">
        <f t="array" ref="P41">_xlfn.LET(_xlpm.result,RANK(_xlfn.XLOOKUP($A41,$A$2:$A$30,_xlfn.XLOOKUP(P$33,$B$1:$P$1,$B$2:$P$30)),$B$2:$P$30),IF(_xlpm.result&gt;150,"",_xlpm.result))</f>
        <v>125</v>
      </c>
      <c r="Q41">
        <f t="shared" si="0"/>
        <v>8</v>
      </c>
      <c r="R41" s="10">
        <f t="shared" si="1"/>
        <v>64</v>
      </c>
    </row>
    <row r="42" spans="1:19" x14ac:dyDescent="0.25">
      <c r="A42" t="s">
        <v>25</v>
      </c>
      <c r="B42" s="1" t="str" cm="1">
        <f t="array" ref="B42">_xlfn.LET(_xlpm.result,RANK(_xlfn.XLOOKUP($A42,$A$2:$A$30,_xlfn.XLOOKUP(B$33,$B$1:$P$1,$B$2:$P$30)),$B$2:$P$30),IF(_xlpm.result&gt;150,"",_xlpm.result))</f>
        <v/>
      </c>
      <c r="C42" s="1" t="str" cm="1">
        <f t="array" ref="C42">_xlfn.LET(_xlpm.result,RANK(_xlfn.XLOOKUP($A42,$A$2:$A$30,_xlfn.XLOOKUP(C$33,$B$1:$P$1,$B$2:$P$30)),$B$2:$P$30),IF(_xlpm.result&gt;150,"",_xlpm.result))</f>
        <v/>
      </c>
      <c r="D42" s="1" t="str" cm="1">
        <f t="array" ref="D42">_xlfn.LET(_xlpm.result,RANK(_xlfn.XLOOKUP($A42,$A$2:$A$30,_xlfn.XLOOKUP(D$33,$B$1:$P$1,$B$2:$P$30)),$B$2:$P$30),IF(_xlpm.result&gt;150,"",_xlpm.result))</f>
        <v/>
      </c>
      <c r="E42" s="1" t="str" cm="1">
        <f t="array" ref="E42">_xlfn.LET(_xlpm.result,RANK(_xlfn.XLOOKUP($A42,$A$2:$A$30,_xlfn.XLOOKUP(E$33,$B$1:$P$1,$B$2:$P$30)),$B$2:$P$30),IF(_xlpm.result&gt;150,"",_xlpm.result))</f>
        <v/>
      </c>
      <c r="F42" s="1" cm="1">
        <f t="array" ref="F42">_xlfn.LET(_xlpm.result,RANK(_xlfn.XLOOKUP($A42,$A$2:$A$30,_xlfn.XLOOKUP(F$33,$B$1:$P$1,$B$2:$P$30)),$B$2:$P$30),IF(_xlpm.result&gt;150,"",_xlpm.result))</f>
        <v>58</v>
      </c>
      <c r="G42" s="1" cm="1">
        <f t="array" ref="G42">_xlfn.LET(_xlpm.result,RANK(_xlfn.XLOOKUP($A42,$A$2:$A$30,_xlfn.XLOOKUP(G$33,$B$1:$P$1,$B$2:$P$30)),$B$2:$P$30),IF(_xlpm.result&gt;150,"",_xlpm.result))</f>
        <v>123</v>
      </c>
      <c r="H42" s="1" t="str" cm="1">
        <f t="array" ref="H42">_xlfn.LET(_xlpm.result,RANK(_xlfn.XLOOKUP($A42,$A$2:$A$30,_xlfn.XLOOKUP(H$33,$B$1:$P$1,$B$2:$P$30)),$B$2:$P$30),IF(_xlpm.result&gt;150,"",_xlpm.result))</f>
        <v/>
      </c>
      <c r="I42" s="1" t="str" cm="1">
        <f t="array" ref="I42">_xlfn.LET(_xlpm.result,RANK(_xlfn.XLOOKUP($A42,$A$2:$A$30,_xlfn.XLOOKUP(I$33,$B$1:$P$1,$B$2:$P$30)),$B$2:$P$30),IF(_xlpm.result&gt;150,"",_xlpm.result))</f>
        <v/>
      </c>
      <c r="J42" s="1" cm="1">
        <f t="array" ref="J42">_xlfn.LET(_xlpm.result,RANK(_xlfn.XLOOKUP($A42,$A$2:$A$30,_xlfn.XLOOKUP(J$33,$B$1:$P$1,$B$2:$P$30)),$B$2:$P$30),IF(_xlpm.result&gt;150,"",_xlpm.result))</f>
        <v>129</v>
      </c>
      <c r="K42" s="1" t="str" cm="1">
        <f t="array" ref="K42">_xlfn.LET(_xlpm.result,RANK(_xlfn.XLOOKUP($A42,$A$2:$A$30,_xlfn.XLOOKUP(K$33,$B$1:$P$1,$B$2:$P$30)),$B$2:$P$30),IF(_xlpm.result&gt;150,"",_xlpm.result))</f>
        <v/>
      </c>
      <c r="L42" s="1" t="str" cm="1">
        <f t="array" ref="L42">_xlfn.LET(_xlpm.result,RANK(_xlfn.XLOOKUP($A42,$A$2:$A$30,_xlfn.XLOOKUP(L$33,$B$1:$P$1,$B$2:$P$30)),$B$2:$P$30),IF(_xlpm.result&gt;150,"",_xlpm.result))</f>
        <v/>
      </c>
      <c r="M42" s="1" t="str" cm="1">
        <f t="array" ref="M42">_xlfn.LET(_xlpm.result,RANK(_xlfn.XLOOKUP($A42,$A$2:$A$30,_xlfn.XLOOKUP(M$33,$B$1:$P$1,$B$2:$P$30)),$B$2:$P$30),IF(_xlpm.result&gt;150,"",_xlpm.result))</f>
        <v/>
      </c>
      <c r="N42" s="1" cm="1">
        <f t="array" ref="N42">_xlfn.LET(_xlpm.result,RANK(_xlfn.XLOOKUP($A42,$A$2:$A$30,_xlfn.XLOOKUP(N$33,$B$1:$P$1,$B$2:$P$30)),$B$2:$P$30),IF(_xlpm.result&gt;150,"",_xlpm.result))</f>
        <v>69</v>
      </c>
      <c r="O42" s="1" t="str" cm="1">
        <f t="array" ref="O42">_xlfn.LET(_xlpm.result,RANK(_xlfn.XLOOKUP($A42,$A$2:$A$30,_xlfn.XLOOKUP(O$33,$B$1:$P$1,$B$2:$P$30)),$B$2:$P$30),IF(_xlpm.result&gt;150,"",_xlpm.result))</f>
        <v/>
      </c>
      <c r="P42" s="1" cm="1">
        <f t="array" ref="P42">_xlfn.LET(_xlpm.result,RANK(_xlfn.XLOOKUP($A42,$A$2:$A$30,_xlfn.XLOOKUP(P$33,$B$1:$P$1,$B$2:$P$30)),$B$2:$P$30),IF(_xlpm.result&gt;150,"",_xlpm.result))</f>
        <v>69</v>
      </c>
      <c r="Q42">
        <f t="shared" si="0"/>
        <v>5</v>
      </c>
      <c r="R42" s="10">
        <f t="shared" si="1"/>
        <v>58</v>
      </c>
    </row>
    <row r="43" spans="1:19" x14ac:dyDescent="0.25">
      <c r="A43" t="s">
        <v>50</v>
      </c>
      <c r="B43" s="1" cm="1">
        <f t="array" ref="B43">_xlfn.LET(_xlpm.result,RANK(_xlfn.XLOOKUP($A43,$A$2:$A$30,_xlfn.XLOOKUP(B$33,$B$1:$P$1,$B$2:$P$30)),$B$2:$P$30),IF(_xlpm.result&gt;150,"",_xlpm.result))</f>
        <v>137</v>
      </c>
      <c r="C43" s="1" t="str" cm="1">
        <f t="array" ref="C43">_xlfn.LET(_xlpm.result,RANK(_xlfn.XLOOKUP($A43,$A$2:$A$30,_xlfn.XLOOKUP(C$33,$B$1:$P$1,$B$2:$P$30)),$B$2:$P$30),IF(_xlpm.result&gt;150,"",_xlpm.result))</f>
        <v/>
      </c>
      <c r="D43" s="1" cm="1">
        <f t="array" ref="D43">_xlfn.LET(_xlpm.result,RANK(_xlfn.XLOOKUP($A43,$A$2:$A$30,_xlfn.XLOOKUP(D$33,$B$1:$P$1,$B$2:$P$30)),$B$2:$P$30),IF(_xlpm.result&gt;150,"",_xlpm.result))</f>
        <v>111</v>
      </c>
      <c r="E43" s="1" t="str" cm="1">
        <f t="array" ref="E43">_xlfn.LET(_xlpm.result,RANK(_xlfn.XLOOKUP($A43,$A$2:$A$30,_xlfn.XLOOKUP(E$33,$B$1:$P$1,$B$2:$P$30)),$B$2:$P$30),IF(_xlpm.result&gt;150,"",_xlpm.result))</f>
        <v/>
      </c>
      <c r="F43" s="1" t="str" cm="1">
        <f t="array" ref="F43">_xlfn.LET(_xlpm.result,RANK(_xlfn.XLOOKUP($A43,$A$2:$A$30,_xlfn.XLOOKUP(F$33,$B$1:$P$1,$B$2:$P$30)),$B$2:$P$30),IF(_xlpm.result&gt;150,"",_xlpm.result))</f>
        <v/>
      </c>
      <c r="G43" s="1" cm="1">
        <f t="array" ref="G43">_xlfn.LET(_xlpm.result,RANK(_xlfn.XLOOKUP($A43,$A$2:$A$30,_xlfn.XLOOKUP(G$33,$B$1:$P$1,$B$2:$P$30)),$B$2:$P$30),IF(_xlpm.result&gt;150,"",_xlpm.result))</f>
        <v>148</v>
      </c>
      <c r="H43" s="1" t="str" cm="1">
        <f t="array" ref="H43">_xlfn.LET(_xlpm.result,RANK(_xlfn.XLOOKUP($A43,$A$2:$A$30,_xlfn.XLOOKUP(H$33,$B$1:$P$1,$B$2:$P$30)),$B$2:$P$30),IF(_xlpm.result&gt;150,"",_xlpm.result))</f>
        <v/>
      </c>
      <c r="I43" s="1" cm="1">
        <f t="array" ref="I43">_xlfn.LET(_xlpm.result,RANK(_xlfn.XLOOKUP($A43,$A$2:$A$30,_xlfn.XLOOKUP(I$33,$B$1:$P$1,$B$2:$P$30)),$B$2:$P$30),IF(_xlpm.result&gt;150,"",_xlpm.result))</f>
        <v>58</v>
      </c>
      <c r="J43" s="1" t="str" cm="1">
        <f t="array" ref="J43">_xlfn.LET(_xlpm.result,RANK(_xlfn.XLOOKUP($A43,$A$2:$A$30,_xlfn.XLOOKUP(J$33,$B$1:$P$1,$B$2:$P$30)),$B$2:$P$30),IF(_xlpm.result&gt;150,"",_xlpm.result))</f>
        <v/>
      </c>
      <c r="K43" s="1" t="str" cm="1">
        <f t="array" ref="K43">_xlfn.LET(_xlpm.result,RANK(_xlfn.XLOOKUP($A43,$A$2:$A$30,_xlfn.XLOOKUP(K$33,$B$1:$P$1,$B$2:$P$30)),$B$2:$P$30),IF(_xlpm.result&gt;150,"",_xlpm.result))</f>
        <v/>
      </c>
      <c r="L43" s="1" t="str" cm="1">
        <f t="array" ref="L43">_xlfn.LET(_xlpm.result,RANK(_xlfn.XLOOKUP($A43,$A$2:$A$30,_xlfn.XLOOKUP(L$33,$B$1:$P$1,$B$2:$P$30)),$B$2:$P$30),IF(_xlpm.result&gt;150,"",_xlpm.result))</f>
        <v/>
      </c>
      <c r="M43" s="1" cm="1">
        <f t="array" ref="M43">_xlfn.LET(_xlpm.result,RANK(_xlfn.XLOOKUP($A43,$A$2:$A$30,_xlfn.XLOOKUP(M$33,$B$1:$P$1,$B$2:$P$30)),$B$2:$P$30),IF(_xlpm.result&gt;150,"",_xlpm.result))</f>
        <v>80</v>
      </c>
      <c r="N43" s="1" t="str" cm="1">
        <f t="array" ref="N43">_xlfn.LET(_xlpm.result,RANK(_xlfn.XLOOKUP($A43,$A$2:$A$30,_xlfn.XLOOKUP(N$33,$B$1:$P$1,$B$2:$P$30)),$B$2:$P$30),IF(_xlpm.result&gt;150,"",_xlpm.result))</f>
        <v/>
      </c>
      <c r="O43" s="1" t="str" cm="1">
        <f t="array" ref="O43">_xlfn.LET(_xlpm.result,RANK(_xlfn.XLOOKUP($A43,$A$2:$A$30,_xlfn.XLOOKUP(O$33,$B$1:$P$1,$B$2:$P$30)),$B$2:$P$30),IF(_xlpm.result&gt;150,"",_xlpm.result))</f>
        <v/>
      </c>
      <c r="P43" s="1" t="str" cm="1">
        <f t="array" ref="P43">_xlfn.LET(_xlpm.result,RANK(_xlfn.XLOOKUP($A43,$A$2:$A$30,_xlfn.XLOOKUP(P$33,$B$1:$P$1,$B$2:$P$30)),$B$2:$P$30),IF(_xlpm.result&gt;150,"",_xlpm.result))</f>
        <v/>
      </c>
      <c r="Q43">
        <f t="shared" si="0"/>
        <v>5</v>
      </c>
      <c r="R43" s="10">
        <f t="shared" si="1"/>
        <v>58</v>
      </c>
    </row>
    <row r="44" spans="1:19" x14ac:dyDescent="0.25">
      <c r="A44" t="s">
        <v>27</v>
      </c>
      <c r="B44" s="1" t="str" cm="1">
        <f t="array" ref="B44">_xlfn.LET(_xlpm.result,RANK(_xlfn.XLOOKUP($A44,$A$2:$A$30,_xlfn.XLOOKUP(B$33,$B$1:$P$1,$B$2:$P$30)),$B$2:$P$30),IF(_xlpm.result&gt;150,"",_xlpm.result))</f>
        <v/>
      </c>
      <c r="C44" s="1" cm="1">
        <f t="array" ref="C44">_xlfn.LET(_xlpm.result,RANK(_xlfn.XLOOKUP($A44,$A$2:$A$30,_xlfn.XLOOKUP(C$33,$B$1:$P$1,$B$2:$P$30)),$B$2:$P$30),IF(_xlpm.result&gt;150,"",_xlpm.result))</f>
        <v>55</v>
      </c>
      <c r="D44" s="1" cm="1">
        <f t="array" ref="D44">_xlfn.LET(_xlpm.result,RANK(_xlfn.XLOOKUP($A44,$A$2:$A$30,_xlfn.XLOOKUP(D$33,$B$1:$P$1,$B$2:$P$30)),$B$2:$P$30),IF(_xlpm.result&gt;150,"",_xlpm.result))</f>
        <v>58</v>
      </c>
      <c r="E44" s="1" t="str" cm="1">
        <f t="array" ref="E44">_xlfn.LET(_xlpm.result,RANK(_xlfn.XLOOKUP($A44,$A$2:$A$30,_xlfn.XLOOKUP(E$33,$B$1:$P$1,$B$2:$P$30)),$B$2:$P$30),IF(_xlpm.result&gt;150,"",_xlpm.result))</f>
        <v/>
      </c>
      <c r="F44" s="1" t="str" cm="1">
        <f t="array" ref="F44">_xlfn.LET(_xlpm.result,RANK(_xlfn.XLOOKUP($A44,$A$2:$A$30,_xlfn.XLOOKUP(F$33,$B$1:$P$1,$B$2:$P$30)),$B$2:$P$30),IF(_xlpm.result&gt;150,"",_xlpm.result))</f>
        <v/>
      </c>
      <c r="G44" s="1" t="str" cm="1">
        <f t="array" ref="G44">_xlfn.LET(_xlpm.result,RANK(_xlfn.XLOOKUP($A44,$A$2:$A$30,_xlfn.XLOOKUP(G$33,$B$1:$P$1,$B$2:$P$30)),$B$2:$P$30),IF(_xlpm.result&gt;150,"",_xlpm.result))</f>
        <v/>
      </c>
      <c r="H44" s="1" t="str" cm="1">
        <f t="array" ref="H44">_xlfn.LET(_xlpm.result,RANK(_xlfn.XLOOKUP($A44,$A$2:$A$30,_xlfn.XLOOKUP(H$33,$B$1:$P$1,$B$2:$P$30)),$B$2:$P$30),IF(_xlpm.result&gt;150,"",_xlpm.result))</f>
        <v/>
      </c>
      <c r="I44" s="1" cm="1">
        <f t="array" ref="I44">_xlfn.LET(_xlpm.result,RANK(_xlfn.XLOOKUP($A44,$A$2:$A$30,_xlfn.XLOOKUP(I$33,$B$1:$P$1,$B$2:$P$30)),$B$2:$P$30),IF(_xlpm.result&gt;150,"",_xlpm.result))</f>
        <v>137</v>
      </c>
      <c r="J44" s="1" t="str" cm="1">
        <f t="array" ref="J44">_xlfn.LET(_xlpm.result,RANK(_xlfn.XLOOKUP($A44,$A$2:$A$30,_xlfn.XLOOKUP(J$33,$B$1:$P$1,$B$2:$P$30)),$B$2:$P$30),IF(_xlpm.result&gt;150,"",_xlpm.result))</f>
        <v/>
      </c>
      <c r="K44" s="1" t="str" cm="1">
        <f t="array" ref="K44">_xlfn.LET(_xlpm.result,RANK(_xlfn.XLOOKUP($A44,$A$2:$A$30,_xlfn.XLOOKUP(K$33,$B$1:$P$1,$B$2:$P$30)),$B$2:$P$30),IF(_xlpm.result&gt;150,"",_xlpm.result))</f>
        <v/>
      </c>
      <c r="L44" s="1" t="str" cm="1">
        <f t="array" ref="L44">_xlfn.LET(_xlpm.result,RANK(_xlfn.XLOOKUP($A44,$A$2:$A$30,_xlfn.XLOOKUP(L$33,$B$1:$P$1,$B$2:$P$30)),$B$2:$P$30),IF(_xlpm.result&gt;150,"",_xlpm.result))</f>
        <v/>
      </c>
      <c r="M44" s="1" t="str" cm="1">
        <f t="array" ref="M44">_xlfn.LET(_xlpm.result,RANK(_xlfn.XLOOKUP($A44,$A$2:$A$30,_xlfn.XLOOKUP(M$33,$B$1:$P$1,$B$2:$P$30)),$B$2:$P$30),IF(_xlpm.result&gt;150,"",_xlpm.result))</f>
        <v/>
      </c>
      <c r="N44" s="1" t="str" cm="1">
        <f t="array" ref="N44">_xlfn.LET(_xlpm.result,RANK(_xlfn.XLOOKUP($A44,$A$2:$A$30,_xlfn.XLOOKUP(N$33,$B$1:$P$1,$B$2:$P$30)),$B$2:$P$30),IF(_xlpm.result&gt;150,"",_xlpm.result))</f>
        <v/>
      </c>
      <c r="O44" s="1" t="str" cm="1">
        <f t="array" ref="O44">_xlfn.LET(_xlpm.result,RANK(_xlfn.XLOOKUP($A44,$A$2:$A$30,_xlfn.XLOOKUP(O$33,$B$1:$P$1,$B$2:$P$30)),$B$2:$P$30),IF(_xlpm.result&gt;150,"",_xlpm.result))</f>
        <v/>
      </c>
      <c r="P44" s="1" cm="1">
        <f t="array" ref="P44">_xlfn.LET(_xlpm.result,RANK(_xlfn.XLOOKUP($A44,$A$2:$A$30,_xlfn.XLOOKUP(P$33,$B$1:$P$1,$B$2:$P$30)),$B$2:$P$30),IF(_xlpm.result&gt;150,"",_xlpm.result))</f>
        <v>91</v>
      </c>
      <c r="Q44">
        <f t="shared" si="0"/>
        <v>4</v>
      </c>
      <c r="R44" s="10">
        <f t="shared" si="1"/>
        <v>55</v>
      </c>
      <c r="S44">
        <v>15</v>
      </c>
    </row>
    <row r="45" spans="1:19" s="16" customFormat="1" ht="18.75" x14ac:dyDescent="0.3">
      <c r="A45" s="16" t="s">
        <v>35</v>
      </c>
      <c r="B45" s="17" t="str" cm="1">
        <f t="array" ref="B45">_xlfn.LET(_xlpm.result,RANK(_xlfn.XLOOKUP($A45,$A$2:$A$30,_xlfn.XLOOKUP(B$33,$B$1:$P$1,$B$2:$P$30)),$B$2:$P$30),IF(_xlpm.result&gt;150,"",_xlpm.result))</f>
        <v/>
      </c>
      <c r="C45" s="17" t="str" cm="1">
        <f t="array" ref="C45">_xlfn.LET(_xlpm.result,RANK(_xlfn.XLOOKUP($A45,$A$2:$A$30,_xlfn.XLOOKUP(C$33,$B$1:$P$1,$B$2:$P$30)),$B$2:$P$30),IF(_xlpm.result&gt;150,"",_xlpm.result))</f>
        <v/>
      </c>
      <c r="D45" s="20" cm="1">
        <f t="array" ref="D45">_xlfn.LET(_xlpm.result,RANK(_xlfn.XLOOKUP($A45,$A$2:$A$30,_xlfn.XLOOKUP(D$33,$B$1:$P$1,$B$2:$P$30)),$B$2:$P$30),IF(_xlpm.result&gt;150,"",_xlpm.result))</f>
        <v>54</v>
      </c>
      <c r="E45" s="17" t="str" cm="1">
        <f t="array" ref="E45">_xlfn.LET(_xlpm.result,RANK(_xlfn.XLOOKUP($A45,$A$2:$A$30,_xlfn.XLOOKUP(E$33,$B$1:$P$1,$B$2:$P$30)),$B$2:$P$30),IF(_xlpm.result&gt;150,"",_xlpm.result))</f>
        <v/>
      </c>
      <c r="F45" s="17" t="str" cm="1">
        <f t="array" ref="F45">_xlfn.LET(_xlpm.result,RANK(_xlfn.XLOOKUP($A45,$A$2:$A$30,_xlfn.XLOOKUP(F$33,$B$1:$P$1,$B$2:$P$30)),$B$2:$P$30),IF(_xlpm.result&gt;150,"",_xlpm.result))</f>
        <v/>
      </c>
      <c r="G45" s="17" t="str" cm="1">
        <f t="array" ref="G45">_xlfn.LET(_xlpm.result,RANK(_xlfn.XLOOKUP($A45,$A$2:$A$30,_xlfn.XLOOKUP(G$33,$B$1:$P$1,$B$2:$P$30)),$B$2:$P$30),IF(_xlpm.result&gt;150,"",_xlpm.result))</f>
        <v/>
      </c>
      <c r="H45" s="17" t="str" cm="1">
        <f t="array" ref="H45">_xlfn.LET(_xlpm.result,RANK(_xlfn.XLOOKUP($A45,$A$2:$A$30,_xlfn.XLOOKUP(H$33,$B$1:$P$1,$B$2:$P$30)),$B$2:$P$30),IF(_xlpm.result&gt;150,"",_xlpm.result))</f>
        <v/>
      </c>
      <c r="I45" s="17" t="str" cm="1">
        <f t="array" ref="I45">_xlfn.LET(_xlpm.result,RANK(_xlfn.XLOOKUP($A45,$A$2:$A$30,_xlfn.XLOOKUP(I$33,$B$1:$P$1,$B$2:$P$30)),$B$2:$P$30),IF(_xlpm.result&gt;150,"",_xlpm.result))</f>
        <v/>
      </c>
      <c r="J45" s="17" cm="1">
        <f t="array" ref="J45">_xlfn.LET(_xlpm.result,RANK(_xlfn.XLOOKUP($A45,$A$2:$A$30,_xlfn.XLOOKUP(J$33,$B$1:$P$1,$B$2:$P$30)),$B$2:$P$30),IF(_xlpm.result&gt;150,"",_xlpm.result))</f>
        <v>118</v>
      </c>
      <c r="K45" s="17" t="str" cm="1">
        <f t="array" ref="K45">_xlfn.LET(_xlpm.result,RANK(_xlfn.XLOOKUP($A45,$A$2:$A$30,_xlfn.XLOOKUP(K$33,$B$1:$P$1,$B$2:$P$30)),$B$2:$P$30),IF(_xlpm.result&gt;150,"",_xlpm.result))</f>
        <v/>
      </c>
      <c r="L45" s="17" t="str" cm="1">
        <f t="array" ref="L45">_xlfn.LET(_xlpm.result,RANK(_xlfn.XLOOKUP($A45,$A$2:$A$30,_xlfn.XLOOKUP(L$33,$B$1:$P$1,$B$2:$P$30)),$B$2:$P$30),IF(_xlpm.result&gt;150,"",_xlpm.result))</f>
        <v/>
      </c>
      <c r="M45" s="17" t="str" cm="1">
        <f t="array" ref="M45">_xlfn.LET(_xlpm.result,RANK(_xlfn.XLOOKUP($A45,$A$2:$A$30,_xlfn.XLOOKUP(M$33,$B$1:$P$1,$B$2:$P$30)),$B$2:$P$30),IF(_xlpm.result&gt;150,"",_xlpm.result))</f>
        <v/>
      </c>
      <c r="N45" s="17" t="str" cm="1">
        <f t="array" ref="N45">_xlfn.LET(_xlpm.result,RANK(_xlfn.XLOOKUP($A45,$A$2:$A$30,_xlfn.XLOOKUP(N$33,$B$1:$P$1,$B$2:$P$30)),$B$2:$P$30),IF(_xlpm.result&gt;150,"",_xlpm.result))</f>
        <v/>
      </c>
      <c r="O45" s="17" cm="1">
        <f t="array" ref="O45">_xlfn.LET(_xlpm.result,RANK(_xlfn.XLOOKUP($A45,$A$2:$A$30,_xlfn.XLOOKUP(O$33,$B$1:$P$1,$B$2:$P$30)),$B$2:$P$30),IF(_xlpm.result&gt;150,"",_xlpm.result))</f>
        <v>142</v>
      </c>
      <c r="P45" s="17" t="str" cm="1">
        <f t="array" ref="P45">_xlfn.LET(_xlpm.result,RANK(_xlfn.XLOOKUP($A45,$A$2:$A$30,_xlfn.XLOOKUP(P$33,$B$1:$P$1,$B$2:$P$30)),$B$2:$P$30),IF(_xlpm.result&gt;150,"",_xlpm.result))</f>
        <v/>
      </c>
      <c r="Q45" s="16">
        <f t="shared" si="0"/>
        <v>3</v>
      </c>
      <c r="R45" s="19">
        <f t="shared" si="1"/>
        <v>54</v>
      </c>
      <c r="S45" s="16">
        <v>14</v>
      </c>
    </row>
    <row r="46" spans="1:19" x14ac:dyDescent="0.25">
      <c r="A46" t="s">
        <v>39</v>
      </c>
      <c r="B46" s="1" cm="1">
        <f t="array" ref="B46">_xlfn.LET(_xlpm.result,RANK(_xlfn.XLOOKUP($A46,$A$2:$A$30,_xlfn.XLOOKUP(B$33,$B$1:$P$1,$B$2:$P$30)),$B$2:$P$30),IF(_xlpm.result&gt;150,"",_xlpm.result))</f>
        <v>129</v>
      </c>
      <c r="C46" s="1" cm="1">
        <f t="array" ref="C46">_xlfn.LET(_xlpm.result,RANK(_xlfn.XLOOKUP($A46,$A$2:$A$30,_xlfn.XLOOKUP(C$33,$B$1:$P$1,$B$2:$P$30)),$B$2:$P$30),IF(_xlpm.result&gt;150,"",_xlpm.result))</f>
        <v>53</v>
      </c>
      <c r="D46" s="1" t="str" cm="1">
        <f t="array" ref="D46">_xlfn.LET(_xlpm.result,RANK(_xlfn.XLOOKUP($A46,$A$2:$A$30,_xlfn.XLOOKUP(D$33,$B$1:$P$1,$B$2:$P$30)),$B$2:$P$30),IF(_xlpm.result&gt;150,"",_xlpm.result))</f>
        <v/>
      </c>
      <c r="E46" s="1" t="str" cm="1">
        <f t="array" ref="E46">_xlfn.LET(_xlpm.result,RANK(_xlfn.XLOOKUP($A46,$A$2:$A$30,_xlfn.XLOOKUP(E$33,$B$1:$P$1,$B$2:$P$30)),$B$2:$P$30),IF(_xlpm.result&gt;150,"",_xlpm.result))</f>
        <v/>
      </c>
      <c r="F46" s="1" t="str" cm="1">
        <f t="array" ref="F46">_xlfn.LET(_xlpm.result,RANK(_xlfn.XLOOKUP($A46,$A$2:$A$30,_xlfn.XLOOKUP(F$33,$B$1:$P$1,$B$2:$P$30)),$B$2:$P$30),IF(_xlpm.result&gt;150,"",_xlpm.result))</f>
        <v/>
      </c>
      <c r="G46" s="1" t="str" cm="1">
        <f t="array" ref="G46">_xlfn.LET(_xlpm.result,RANK(_xlfn.XLOOKUP($A46,$A$2:$A$30,_xlfn.XLOOKUP(G$33,$B$1:$P$1,$B$2:$P$30)),$B$2:$P$30),IF(_xlpm.result&gt;150,"",_xlpm.result))</f>
        <v/>
      </c>
      <c r="H46" s="1" t="str" cm="1">
        <f t="array" ref="H46">_xlfn.LET(_xlpm.result,RANK(_xlfn.XLOOKUP($A46,$A$2:$A$30,_xlfn.XLOOKUP(H$33,$B$1:$P$1,$B$2:$P$30)),$B$2:$P$30),IF(_xlpm.result&gt;150,"",_xlpm.result))</f>
        <v/>
      </c>
      <c r="I46" s="1" cm="1">
        <f t="array" ref="I46">_xlfn.LET(_xlpm.result,RANK(_xlfn.XLOOKUP($A46,$A$2:$A$30,_xlfn.XLOOKUP(I$33,$B$1:$P$1,$B$2:$P$30)),$B$2:$P$30),IF(_xlpm.result&gt;150,"",_xlpm.result))</f>
        <v>96</v>
      </c>
      <c r="J46" s="1" t="str" cm="1">
        <f t="array" ref="J46">_xlfn.LET(_xlpm.result,RANK(_xlfn.XLOOKUP($A46,$A$2:$A$30,_xlfn.XLOOKUP(J$33,$B$1:$P$1,$B$2:$P$30)),$B$2:$P$30),IF(_xlpm.result&gt;150,"",_xlpm.result))</f>
        <v/>
      </c>
      <c r="K46" s="1" cm="1">
        <f t="array" ref="K46">_xlfn.LET(_xlpm.result,RANK(_xlfn.XLOOKUP($A46,$A$2:$A$30,_xlfn.XLOOKUP(K$33,$B$1:$P$1,$B$2:$P$30)),$B$2:$P$30),IF(_xlpm.result&gt;150,"",_xlpm.result))</f>
        <v>139</v>
      </c>
      <c r="L46" s="1" t="str" cm="1">
        <f t="array" ref="L46">_xlfn.LET(_xlpm.result,RANK(_xlfn.XLOOKUP($A46,$A$2:$A$30,_xlfn.XLOOKUP(L$33,$B$1:$P$1,$B$2:$P$30)),$B$2:$P$30),IF(_xlpm.result&gt;150,"",_xlpm.result))</f>
        <v/>
      </c>
      <c r="M46" s="1" t="str" cm="1">
        <f t="array" ref="M46">_xlfn.LET(_xlpm.result,RANK(_xlfn.XLOOKUP($A46,$A$2:$A$30,_xlfn.XLOOKUP(M$33,$B$1:$P$1,$B$2:$P$30)),$B$2:$P$30),IF(_xlpm.result&gt;150,"",_xlpm.result))</f>
        <v/>
      </c>
      <c r="N46" s="1" cm="1">
        <f t="array" ref="N46">_xlfn.LET(_xlpm.result,RANK(_xlfn.XLOOKUP($A46,$A$2:$A$30,_xlfn.XLOOKUP(N$33,$B$1:$P$1,$B$2:$P$30)),$B$2:$P$30),IF(_xlpm.result&gt;150,"",_xlpm.result))</f>
        <v>69</v>
      </c>
      <c r="O46" s="1" t="str" cm="1">
        <f t="array" ref="O46">_xlfn.LET(_xlpm.result,RANK(_xlfn.XLOOKUP($A46,$A$2:$A$30,_xlfn.XLOOKUP(O$33,$B$1:$P$1,$B$2:$P$30)),$B$2:$P$30),IF(_xlpm.result&gt;150,"",_xlpm.result))</f>
        <v/>
      </c>
      <c r="P46" s="1" t="str" cm="1">
        <f t="array" ref="P46">_xlfn.LET(_xlpm.result,RANK(_xlfn.XLOOKUP($A46,$A$2:$A$30,_xlfn.XLOOKUP(P$33,$B$1:$P$1,$B$2:$P$30)),$B$2:$P$30),IF(_xlpm.result&gt;150,"",_xlpm.result))</f>
        <v/>
      </c>
      <c r="Q46">
        <f t="shared" si="0"/>
        <v>5</v>
      </c>
      <c r="R46" s="10">
        <f t="shared" si="1"/>
        <v>53</v>
      </c>
      <c r="S46">
        <v>13</v>
      </c>
    </row>
    <row r="47" spans="1:19" s="16" customFormat="1" ht="18.75" x14ac:dyDescent="0.3">
      <c r="A47" s="16" t="s">
        <v>19</v>
      </c>
      <c r="B47" s="17" t="str" cm="1">
        <f t="array" ref="B47">_xlfn.LET(_xlpm.result,RANK(_xlfn.XLOOKUP($A47,$A$2:$A$30,_xlfn.XLOOKUP(B$33,$B$1:$P$1,$B$2:$P$30)),$B$2:$P$30),IF(_xlpm.result&gt;150,"",_xlpm.result))</f>
        <v/>
      </c>
      <c r="C47" s="20" cm="1">
        <f t="array" ref="C47">_xlfn.LET(_xlpm.result,RANK(_xlfn.XLOOKUP($A47,$A$2:$A$30,_xlfn.XLOOKUP(C$33,$B$1:$P$1,$B$2:$P$30)),$B$2:$P$30),IF(_xlpm.result&gt;150,"",_xlpm.result))</f>
        <v>46</v>
      </c>
      <c r="D47" s="17" t="str" cm="1">
        <f t="array" ref="D47">_xlfn.LET(_xlpm.result,RANK(_xlfn.XLOOKUP($A47,$A$2:$A$30,_xlfn.XLOOKUP(D$33,$B$1:$P$1,$B$2:$P$30)),$B$2:$P$30),IF(_xlpm.result&gt;150,"",_xlpm.result))</f>
        <v/>
      </c>
      <c r="E47" s="17" t="str" cm="1">
        <f t="array" ref="E47">_xlfn.LET(_xlpm.result,RANK(_xlfn.XLOOKUP($A47,$A$2:$A$30,_xlfn.XLOOKUP(E$33,$B$1:$P$1,$B$2:$P$30)),$B$2:$P$30),IF(_xlpm.result&gt;150,"",_xlpm.result))</f>
        <v/>
      </c>
      <c r="F47" s="17" t="str" cm="1">
        <f t="array" ref="F47">_xlfn.LET(_xlpm.result,RANK(_xlfn.XLOOKUP($A47,$A$2:$A$30,_xlfn.XLOOKUP(F$33,$B$1:$P$1,$B$2:$P$30)),$B$2:$P$30),IF(_xlpm.result&gt;150,"",_xlpm.result))</f>
        <v/>
      </c>
      <c r="G47" s="17" t="str" cm="1">
        <f t="array" ref="G47">_xlfn.LET(_xlpm.result,RANK(_xlfn.XLOOKUP($A47,$A$2:$A$30,_xlfn.XLOOKUP(G$33,$B$1:$P$1,$B$2:$P$30)),$B$2:$P$30),IF(_xlpm.result&gt;150,"",_xlpm.result))</f>
        <v/>
      </c>
      <c r="H47" s="17" t="str" cm="1">
        <f t="array" ref="H47">_xlfn.LET(_xlpm.result,RANK(_xlfn.XLOOKUP($A47,$A$2:$A$30,_xlfn.XLOOKUP(H$33,$B$1:$P$1,$B$2:$P$30)),$B$2:$P$30),IF(_xlpm.result&gt;150,"",_xlpm.result))</f>
        <v/>
      </c>
      <c r="I47" s="17" cm="1">
        <f t="array" ref="I47">_xlfn.LET(_xlpm.result,RANK(_xlfn.XLOOKUP($A47,$A$2:$A$30,_xlfn.XLOOKUP(I$33,$B$1:$P$1,$B$2:$P$30)),$B$2:$P$30),IF(_xlpm.result&gt;150,"",_xlpm.result))</f>
        <v>133</v>
      </c>
      <c r="J47" s="17" t="str" cm="1">
        <f t="array" ref="J47">_xlfn.LET(_xlpm.result,RANK(_xlfn.XLOOKUP($A47,$A$2:$A$30,_xlfn.XLOOKUP(J$33,$B$1:$P$1,$B$2:$P$30)),$B$2:$P$30),IF(_xlpm.result&gt;150,"",_xlpm.result))</f>
        <v/>
      </c>
      <c r="K47" s="17" t="str" cm="1">
        <f t="array" ref="K47">_xlfn.LET(_xlpm.result,RANK(_xlfn.XLOOKUP($A47,$A$2:$A$30,_xlfn.XLOOKUP(K$33,$B$1:$P$1,$B$2:$P$30)),$B$2:$P$30),IF(_xlpm.result&gt;150,"",_xlpm.result))</f>
        <v/>
      </c>
      <c r="L47" s="17" t="str" cm="1">
        <f t="array" ref="L47">_xlfn.LET(_xlpm.result,RANK(_xlfn.XLOOKUP($A47,$A$2:$A$30,_xlfn.XLOOKUP(L$33,$B$1:$P$1,$B$2:$P$30)),$B$2:$P$30),IF(_xlpm.result&gt;150,"",_xlpm.result))</f>
        <v/>
      </c>
      <c r="M47" s="17" t="str" cm="1">
        <f t="array" ref="M47">_xlfn.LET(_xlpm.result,RANK(_xlfn.XLOOKUP($A47,$A$2:$A$30,_xlfn.XLOOKUP(M$33,$B$1:$P$1,$B$2:$P$30)),$B$2:$P$30),IF(_xlpm.result&gt;150,"",_xlpm.result))</f>
        <v/>
      </c>
      <c r="N47" s="17" t="str" cm="1">
        <f t="array" ref="N47">_xlfn.LET(_xlpm.result,RANK(_xlfn.XLOOKUP($A47,$A$2:$A$30,_xlfn.XLOOKUP(N$33,$B$1:$P$1,$B$2:$P$30)),$B$2:$P$30),IF(_xlpm.result&gt;150,"",_xlpm.result))</f>
        <v/>
      </c>
      <c r="O47" s="17" t="str" cm="1">
        <f t="array" ref="O47">_xlfn.LET(_xlpm.result,RANK(_xlfn.XLOOKUP($A47,$A$2:$A$30,_xlfn.XLOOKUP(O$33,$B$1:$P$1,$B$2:$P$30)),$B$2:$P$30),IF(_xlpm.result&gt;150,"",_xlpm.result))</f>
        <v/>
      </c>
      <c r="P47" s="17" t="str" cm="1">
        <f t="array" ref="P47">_xlfn.LET(_xlpm.result,RANK(_xlfn.XLOOKUP($A47,$A$2:$A$30,_xlfn.XLOOKUP(P$33,$B$1:$P$1,$B$2:$P$30)),$B$2:$P$30),IF(_xlpm.result&gt;150,"",_xlpm.result))</f>
        <v/>
      </c>
      <c r="Q47" s="16">
        <f t="shared" si="0"/>
        <v>2</v>
      </c>
      <c r="R47" s="19">
        <f t="shared" si="1"/>
        <v>46</v>
      </c>
      <c r="S47" s="16">
        <v>12</v>
      </c>
    </row>
    <row r="48" spans="1:19" x14ac:dyDescent="0.25">
      <c r="A48" t="s">
        <v>47</v>
      </c>
      <c r="B48" s="1" t="str" cm="1">
        <f t="array" ref="B48">_xlfn.LET(_xlpm.result,RANK(_xlfn.XLOOKUP($A48,$A$2:$A$30,_xlfn.XLOOKUP(B$33,$B$1:$P$1,$B$2:$P$30)),$B$2:$P$30),IF(_xlpm.result&gt;150,"",_xlpm.result))</f>
        <v/>
      </c>
      <c r="C48" s="1" t="str" cm="1">
        <f t="array" ref="C48">_xlfn.LET(_xlpm.result,RANK(_xlfn.XLOOKUP($A48,$A$2:$A$30,_xlfn.XLOOKUP(C$33,$B$1:$P$1,$B$2:$P$30)),$B$2:$P$30),IF(_xlpm.result&gt;150,"",_xlpm.result))</f>
        <v/>
      </c>
      <c r="D48" s="1" t="str" cm="1">
        <f t="array" ref="D48">_xlfn.LET(_xlpm.result,RANK(_xlfn.XLOOKUP($A48,$A$2:$A$30,_xlfn.XLOOKUP(D$33,$B$1:$P$1,$B$2:$P$30)),$B$2:$P$30),IF(_xlpm.result&gt;150,"",_xlpm.result))</f>
        <v/>
      </c>
      <c r="E48" s="1" t="str" cm="1">
        <f t="array" ref="E48">_xlfn.LET(_xlpm.result,RANK(_xlfn.XLOOKUP($A48,$A$2:$A$30,_xlfn.XLOOKUP(E$33,$B$1:$P$1,$B$2:$P$30)),$B$2:$P$30),IF(_xlpm.result&gt;150,"",_xlpm.result))</f>
        <v/>
      </c>
      <c r="F48" s="1" t="str" cm="1">
        <f t="array" ref="F48">_xlfn.LET(_xlpm.result,RANK(_xlfn.XLOOKUP($A48,$A$2:$A$30,_xlfn.XLOOKUP(F$33,$B$1:$P$1,$B$2:$P$30)),$B$2:$P$30),IF(_xlpm.result&gt;150,"",_xlpm.result))</f>
        <v/>
      </c>
      <c r="G48" s="1" t="str" cm="1">
        <f t="array" ref="G48">_xlfn.LET(_xlpm.result,RANK(_xlfn.XLOOKUP($A48,$A$2:$A$30,_xlfn.XLOOKUP(G$33,$B$1:$P$1,$B$2:$P$30)),$B$2:$P$30),IF(_xlpm.result&gt;150,"",_xlpm.result))</f>
        <v/>
      </c>
      <c r="H48" s="1" t="str" cm="1">
        <f t="array" ref="H48">_xlfn.LET(_xlpm.result,RANK(_xlfn.XLOOKUP($A48,$A$2:$A$30,_xlfn.XLOOKUP(H$33,$B$1:$P$1,$B$2:$P$30)),$B$2:$P$30),IF(_xlpm.result&gt;150,"",_xlpm.result))</f>
        <v/>
      </c>
      <c r="I48" s="1" t="str" cm="1">
        <f t="array" ref="I48">_xlfn.LET(_xlpm.result,RANK(_xlfn.XLOOKUP($A48,$A$2:$A$30,_xlfn.XLOOKUP(I$33,$B$1:$P$1,$B$2:$P$30)),$B$2:$P$30),IF(_xlpm.result&gt;150,"",_xlpm.result))</f>
        <v/>
      </c>
      <c r="J48" s="1" cm="1">
        <f t="array" ref="J48">_xlfn.LET(_xlpm.result,RANK(_xlfn.XLOOKUP($A48,$A$2:$A$30,_xlfn.XLOOKUP(J$33,$B$1:$P$1,$B$2:$P$30)),$B$2:$P$30),IF(_xlpm.result&gt;150,"",_xlpm.result))</f>
        <v>41</v>
      </c>
      <c r="K48" s="1" t="str" cm="1">
        <f t="array" ref="K48">_xlfn.LET(_xlpm.result,RANK(_xlfn.XLOOKUP($A48,$A$2:$A$30,_xlfn.XLOOKUP(K$33,$B$1:$P$1,$B$2:$P$30)),$B$2:$P$30),IF(_xlpm.result&gt;150,"",_xlpm.result))</f>
        <v/>
      </c>
      <c r="L48" s="1" t="str" cm="1">
        <f t="array" ref="L48">_xlfn.LET(_xlpm.result,RANK(_xlfn.XLOOKUP($A48,$A$2:$A$30,_xlfn.XLOOKUP(L$33,$B$1:$P$1,$B$2:$P$30)),$B$2:$P$30),IF(_xlpm.result&gt;150,"",_xlpm.result))</f>
        <v/>
      </c>
      <c r="M48" s="1" t="str" cm="1">
        <f t="array" ref="M48">_xlfn.LET(_xlpm.result,RANK(_xlfn.XLOOKUP($A48,$A$2:$A$30,_xlfn.XLOOKUP(M$33,$B$1:$P$1,$B$2:$P$30)),$B$2:$P$30),IF(_xlpm.result&gt;150,"",_xlpm.result))</f>
        <v/>
      </c>
      <c r="N48" s="1" t="str" cm="1">
        <f t="array" ref="N48">_xlfn.LET(_xlpm.result,RANK(_xlfn.XLOOKUP($A48,$A$2:$A$30,_xlfn.XLOOKUP(N$33,$B$1:$P$1,$B$2:$P$30)),$B$2:$P$30),IF(_xlpm.result&gt;150,"",_xlpm.result))</f>
        <v/>
      </c>
      <c r="O48" s="1" cm="1">
        <f t="array" ref="O48">_xlfn.LET(_xlpm.result,RANK(_xlfn.XLOOKUP($A48,$A$2:$A$30,_xlfn.XLOOKUP(O$33,$B$1:$P$1,$B$2:$P$30)),$B$2:$P$30),IF(_xlpm.result&gt;150,"",_xlpm.result))</f>
        <v>80</v>
      </c>
      <c r="P48" s="1" cm="1">
        <f t="array" ref="P48">_xlfn.LET(_xlpm.result,RANK(_xlfn.XLOOKUP($A48,$A$2:$A$30,_xlfn.XLOOKUP(P$33,$B$1:$P$1,$B$2:$P$30)),$B$2:$P$30),IF(_xlpm.result&gt;150,"",_xlpm.result))</f>
        <v>129</v>
      </c>
      <c r="Q48">
        <f t="shared" si="0"/>
        <v>3</v>
      </c>
      <c r="R48" s="10">
        <f t="shared" si="1"/>
        <v>41</v>
      </c>
      <c r="S48">
        <v>11</v>
      </c>
    </row>
    <row r="49" spans="1:19" s="16" customFormat="1" x14ac:dyDescent="0.25">
      <c r="A49" s="16" t="s">
        <v>31</v>
      </c>
      <c r="B49" s="17" cm="1">
        <f t="array" ref="B49">_xlfn.LET(_xlpm.result,RANK(_xlfn.XLOOKUP($A49,$A$2:$A$30,_xlfn.XLOOKUP(B$33,$B$1:$P$1,$B$2:$P$30)),$B$2:$P$30),IF(_xlpm.result&gt;150,"",_xlpm.result))</f>
        <v>41</v>
      </c>
      <c r="C49" s="17" t="str" cm="1">
        <f t="array" ref="C49">_xlfn.LET(_xlpm.result,RANK(_xlfn.XLOOKUP($A49,$A$2:$A$30,_xlfn.XLOOKUP(C$33,$B$1:$P$1,$B$2:$P$30)),$B$2:$P$30),IF(_xlpm.result&gt;150,"",_xlpm.result))</f>
        <v/>
      </c>
      <c r="D49" s="17" t="str" cm="1">
        <f t="array" ref="D49">_xlfn.LET(_xlpm.result,RANK(_xlfn.XLOOKUP($A49,$A$2:$A$30,_xlfn.XLOOKUP(D$33,$B$1:$P$1,$B$2:$P$30)),$B$2:$P$30),IF(_xlpm.result&gt;150,"",_xlpm.result))</f>
        <v/>
      </c>
      <c r="E49" s="17" t="str" cm="1">
        <f t="array" ref="E49">_xlfn.LET(_xlpm.result,RANK(_xlfn.XLOOKUP($A49,$A$2:$A$30,_xlfn.XLOOKUP(E$33,$B$1:$P$1,$B$2:$P$30)),$B$2:$P$30),IF(_xlpm.result&gt;150,"",_xlpm.result))</f>
        <v/>
      </c>
      <c r="F49" s="17" cm="1">
        <f t="array" ref="F49">_xlfn.LET(_xlpm.result,RANK(_xlfn.XLOOKUP($A49,$A$2:$A$30,_xlfn.XLOOKUP(F$33,$B$1:$P$1,$B$2:$P$30)),$B$2:$P$30),IF(_xlpm.result&gt;150,"",_xlpm.result))</f>
        <v>129</v>
      </c>
      <c r="G49" s="17" t="str" cm="1">
        <f t="array" ref="G49">_xlfn.LET(_xlpm.result,RANK(_xlfn.XLOOKUP($A49,$A$2:$A$30,_xlfn.XLOOKUP(G$33,$B$1:$P$1,$B$2:$P$30)),$B$2:$P$30),IF(_xlpm.result&gt;150,"",_xlpm.result))</f>
        <v/>
      </c>
      <c r="H49" s="17" t="str" cm="1">
        <f t="array" ref="H49">_xlfn.LET(_xlpm.result,RANK(_xlfn.XLOOKUP($A49,$A$2:$A$30,_xlfn.XLOOKUP(H$33,$B$1:$P$1,$B$2:$P$30)),$B$2:$P$30),IF(_xlpm.result&gt;150,"",_xlpm.result))</f>
        <v/>
      </c>
      <c r="I49" s="17" cm="1">
        <f t="array" ref="I49">_xlfn.LET(_xlpm.result,RANK(_xlfn.XLOOKUP($A49,$A$2:$A$30,_xlfn.XLOOKUP(I$33,$B$1:$P$1,$B$2:$P$30)),$B$2:$P$30),IF(_xlpm.result&gt;150,"",_xlpm.result))</f>
        <v>41</v>
      </c>
      <c r="J49" s="17" t="str" cm="1">
        <f t="array" ref="J49">_xlfn.LET(_xlpm.result,RANK(_xlfn.XLOOKUP($A49,$A$2:$A$30,_xlfn.XLOOKUP(J$33,$B$1:$P$1,$B$2:$P$30)),$B$2:$P$30),IF(_xlpm.result&gt;150,"",_xlpm.result))</f>
        <v/>
      </c>
      <c r="K49" s="17" t="str" cm="1">
        <f t="array" ref="K49">_xlfn.LET(_xlpm.result,RANK(_xlfn.XLOOKUP($A49,$A$2:$A$30,_xlfn.XLOOKUP(K$33,$B$1:$P$1,$B$2:$P$30)),$B$2:$P$30),IF(_xlpm.result&gt;150,"",_xlpm.result))</f>
        <v/>
      </c>
      <c r="L49" s="17" t="str" cm="1">
        <f t="array" ref="L49">_xlfn.LET(_xlpm.result,RANK(_xlfn.XLOOKUP($A49,$A$2:$A$30,_xlfn.XLOOKUP(L$33,$B$1:$P$1,$B$2:$P$30)),$B$2:$P$30),IF(_xlpm.result&gt;150,"",_xlpm.result))</f>
        <v/>
      </c>
      <c r="M49" s="17" t="str" cm="1">
        <f t="array" ref="M49">_xlfn.LET(_xlpm.result,RANK(_xlfn.XLOOKUP($A49,$A$2:$A$30,_xlfn.XLOOKUP(M$33,$B$1:$P$1,$B$2:$P$30)),$B$2:$P$30),IF(_xlpm.result&gt;150,"",_xlpm.result))</f>
        <v/>
      </c>
      <c r="N49" s="17" t="str" cm="1">
        <f t="array" ref="N49">_xlfn.LET(_xlpm.result,RANK(_xlfn.XLOOKUP($A49,$A$2:$A$30,_xlfn.XLOOKUP(N$33,$B$1:$P$1,$B$2:$P$30)),$B$2:$P$30),IF(_xlpm.result&gt;150,"",_xlpm.result))</f>
        <v/>
      </c>
      <c r="O49" s="17" t="str" cm="1">
        <f t="array" ref="O49">_xlfn.LET(_xlpm.result,RANK(_xlfn.XLOOKUP($A49,$A$2:$A$30,_xlfn.XLOOKUP(O$33,$B$1:$P$1,$B$2:$P$30)),$B$2:$P$30),IF(_xlpm.result&gt;150,"",_xlpm.result))</f>
        <v/>
      </c>
      <c r="P49" s="17" t="str" cm="1">
        <f t="array" ref="P49">_xlfn.LET(_xlpm.result,RANK(_xlfn.XLOOKUP($A49,$A$2:$A$30,_xlfn.XLOOKUP(P$33,$B$1:$P$1,$B$2:$P$30)),$B$2:$P$30),IF(_xlpm.result&gt;150,"",_xlpm.result))</f>
        <v/>
      </c>
      <c r="Q49" s="18">
        <f t="shared" si="0"/>
        <v>3</v>
      </c>
      <c r="R49" s="19">
        <f t="shared" si="1"/>
        <v>41</v>
      </c>
      <c r="S49" s="16">
        <v>10</v>
      </c>
    </row>
    <row r="50" spans="1:19" x14ac:dyDescent="0.25">
      <c r="A50" t="s">
        <v>33</v>
      </c>
      <c r="B50" s="1" cm="1">
        <f t="array" ref="B50">_xlfn.LET(_xlpm.result,RANK(_xlfn.XLOOKUP($A50,$A$2:$A$30,_xlfn.XLOOKUP(B$33,$B$1:$P$1,$B$2:$P$30)),$B$2:$P$30),IF(_xlpm.result&gt;150,"",_xlpm.result))</f>
        <v>125</v>
      </c>
      <c r="C50" s="1" t="str" cm="1">
        <f t="array" ref="C50">_xlfn.LET(_xlpm.result,RANK(_xlfn.XLOOKUP($A50,$A$2:$A$30,_xlfn.XLOOKUP(C$33,$B$1:$P$1,$B$2:$P$30)),$B$2:$P$30),IF(_xlpm.result&gt;150,"",_xlpm.result))</f>
        <v/>
      </c>
      <c r="D50" s="1" t="str" cm="1">
        <f t="array" ref="D50">_xlfn.LET(_xlpm.result,RANK(_xlfn.XLOOKUP($A50,$A$2:$A$30,_xlfn.XLOOKUP(D$33,$B$1:$P$1,$B$2:$P$30)),$B$2:$P$30),IF(_xlpm.result&gt;150,"",_xlpm.result))</f>
        <v/>
      </c>
      <c r="E50" s="1" t="str" cm="1">
        <f t="array" ref="E50">_xlfn.LET(_xlpm.result,RANK(_xlfn.XLOOKUP($A50,$A$2:$A$30,_xlfn.XLOOKUP(E$33,$B$1:$P$1,$B$2:$P$30)),$B$2:$P$30),IF(_xlpm.result&gt;150,"",_xlpm.result))</f>
        <v/>
      </c>
      <c r="F50" s="1" t="str" cm="1">
        <f t="array" ref="F50">_xlfn.LET(_xlpm.result,RANK(_xlfn.XLOOKUP($A50,$A$2:$A$30,_xlfn.XLOOKUP(F$33,$B$1:$P$1,$B$2:$P$30)),$B$2:$P$30),IF(_xlpm.result&gt;150,"",_xlpm.result))</f>
        <v/>
      </c>
      <c r="G50" s="1" t="str" cm="1">
        <f t="array" ref="G50">_xlfn.LET(_xlpm.result,RANK(_xlfn.XLOOKUP($A50,$A$2:$A$30,_xlfn.XLOOKUP(G$33,$B$1:$P$1,$B$2:$P$30)),$B$2:$P$30),IF(_xlpm.result&gt;150,"",_xlpm.result))</f>
        <v/>
      </c>
      <c r="H50" s="1" t="str" cm="1">
        <f t="array" ref="H50">_xlfn.LET(_xlpm.result,RANK(_xlfn.XLOOKUP($A50,$A$2:$A$30,_xlfn.XLOOKUP(H$33,$B$1:$P$1,$B$2:$P$30)),$B$2:$P$30),IF(_xlpm.result&gt;150,"",_xlpm.result))</f>
        <v/>
      </c>
      <c r="I50" s="1" t="str" cm="1">
        <f t="array" ref="I50">_xlfn.LET(_xlpm.result,RANK(_xlfn.XLOOKUP($A50,$A$2:$A$30,_xlfn.XLOOKUP(I$33,$B$1:$P$1,$B$2:$P$30)),$B$2:$P$30),IF(_xlpm.result&gt;150,"",_xlpm.result))</f>
        <v/>
      </c>
      <c r="J50" s="1" t="str" cm="1">
        <f t="array" ref="J50">_xlfn.LET(_xlpm.result,RANK(_xlfn.XLOOKUP($A50,$A$2:$A$30,_xlfn.XLOOKUP(J$33,$B$1:$P$1,$B$2:$P$30)),$B$2:$P$30),IF(_xlpm.result&gt;150,"",_xlpm.result))</f>
        <v/>
      </c>
      <c r="K50" s="1" cm="1">
        <f t="array" ref="K50">_xlfn.LET(_xlpm.result,RANK(_xlfn.XLOOKUP($A50,$A$2:$A$30,_xlfn.XLOOKUP(K$33,$B$1:$P$1,$B$2:$P$30)),$B$2:$P$30),IF(_xlpm.result&gt;150,"",_xlpm.result))</f>
        <v>39</v>
      </c>
      <c r="L50" s="1" t="str" cm="1">
        <f t="array" ref="L50">_xlfn.LET(_xlpm.result,RANK(_xlfn.XLOOKUP($A50,$A$2:$A$30,_xlfn.XLOOKUP(L$33,$B$1:$P$1,$B$2:$P$30)),$B$2:$P$30),IF(_xlpm.result&gt;150,"",_xlpm.result))</f>
        <v/>
      </c>
      <c r="M50" s="1" cm="1">
        <f t="array" ref="M50">_xlfn.LET(_xlpm.result,RANK(_xlfn.XLOOKUP($A50,$A$2:$A$30,_xlfn.XLOOKUP(M$33,$B$1:$P$1,$B$2:$P$30)),$B$2:$P$30),IF(_xlpm.result&gt;150,"",_xlpm.result))</f>
        <v>74</v>
      </c>
      <c r="N50" s="1" t="str" cm="1">
        <f t="array" ref="N50">_xlfn.LET(_xlpm.result,RANK(_xlfn.XLOOKUP($A50,$A$2:$A$30,_xlfn.XLOOKUP(N$33,$B$1:$P$1,$B$2:$P$30)),$B$2:$P$30),IF(_xlpm.result&gt;150,"",_xlpm.result))</f>
        <v/>
      </c>
      <c r="O50" s="1" t="str" cm="1">
        <f t="array" ref="O50">_xlfn.LET(_xlpm.result,RANK(_xlfn.XLOOKUP($A50,$A$2:$A$30,_xlfn.XLOOKUP(O$33,$B$1:$P$1,$B$2:$P$30)),$B$2:$P$30),IF(_xlpm.result&gt;150,"",_xlpm.result))</f>
        <v/>
      </c>
      <c r="P50" s="1" cm="1">
        <f t="array" ref="P50">_xlfn.LET(_xlpm.result,RANK(_xlfn.XLOOKUP($A50,$A$2:$A$30,_xlfn.XLOOKUP(P$33,$B$1:$P$1,$B$2:$P$30)),$B$2:$P$30),IF(_xlpm.result&gt;150,"",_xlpm.result))</f>
        <v>39</v>
      </c>
      <c r="Q50">
        <f t="shared" si="0"/>
        <v>4</v>
      </c>
      <c r="R50" s="10">
        <f t="shared" si="1"/>
        <v>39</v>
      </c>
      <c r="S50">
        <v>9</v>
      </c>
    </row>
    <row r="51" spans="1:19" x14ac:dyDescent="0.25">
      <c r="A51" t="s">
        <v>48</v>
      </c>
      <c r="B51" s="1" t="str" cm="1">
        <f t="array" ref="B51">_xlfn.LET(_xlpm.result,RANK(_xlfn.XLOOKUP($A51,$A$2:$A$30,_xlfn.XLOOKUP(B$33,$B$1:$P$1,$B$2:$P$30)),$B$2:$P$30),IF(_xlpm.result&gt;150,"",_xlpm.result))</f>
        <v/>
      </c>
      <c r="C51" s="1" cm="1">
        <f t="array" ref="C51">_xlfn.LET(_xlpm.result,RANK(_xlfn.XLOOKUP($A51,$A$2:$A$30,_xlfn.XLOOKUP(C$33,$B$1:$P$1,$B$2:$P$30)),$B$2:$P$30),IF(_xlpm.result&gt;150,"",_xlpm.result))</f>
        <v>113</v>
      </c>
      <c r="D51" s="1" cm="1">
        <f t="array" ref="D51">_xlfn.LET(_xlpm.result,RANK(_xlfn.XLOOKUP($A51,$A$2:$A$30,_xlfn.XLOOKUP(D$33,$B$1:$P$1,$B$2:$P$30)),$B$2:$P$30),IF(_xlpm.result&gt;150,"",_xlpm.result))</f>
        <v>58</v>
      </c>
      <c r="E51" s="1" t="str" cm="1">
        <f t="array" ref="E51">_xlfn.LET(_xlpm.result,RANK(_xlfn.XLOOKUP($A51,$A$2:$A$30,_xlfn.XLOOKUP(E$33,$B$1:$P$1,$B$2:$P$30)),$B$2:$P$30),IF(_xlpm.result&gt;150,"",_xlpm.result))</f>
        <v/>
      </c>
      <c r="F51" s="1" cm="1">
        <f t="array" ref="F51">_xlfn.LET(_xlpm.result,RANK(_xlfn.XLOOKUP($A51,$A$2:$A$30,_xlfn.XLOOKUP(F$33,$B$1:$P$1,$B$2:$P$30)),$B$2:$P$30),IF(_xlpm.result&gt;150,"",_xlpm.result))</f>
        <v>24</v>
      </c>
      <c r="G51" s="1" t="str" cm="1">
        <f t="array" ref="G51">_xlfn.LET(_xlpm.result,RANK(_xlfn.XLOOKUP($A51,$A$2:$A$30,_xlfn.XLOOKUP(G$33,$B$1:$P$1,$B$2:$P$30)),$B$2:$P$30),IF(_xlpm.result&gt;150,"",_xlpm.result))</f>
        <v/>
      </c>
      <c r="H51" s="1" cm="1">
        <f t="array" ref="H51">_xlfn.LET(_xlpm.result,RANK(_xlfn.XLOOKUP($A51,$A$2:$A$30,_xlfn.XLOOKUP(H$33,$B$1:$P$1,$B$2:$P$30)),$B$2:$P$30),IF(_xlpm.result&gt;150,"",_xlpm.result))</f>
        <v>76</v>
      </c>
      <c r="I51" s="1" t="str" cm="1">
        <f t="array" ref="I51">_xlfn.LET(_xlpm.result,RANK(_xlfn.XLOOKUP($A51,$A$2:$A$30,_xlfn.XLOOKUP(I$33,$B$1:$P$1,$B$2:$P$30)),$B$2:$P$30),IF(_xlpm.result&gt;150,"",_xlpm.result))</f>
        <v/>
      </c>
      <c r="J51" s="1" t="str" cm="1">
        <f t="array" ref="J51">_xlfn.LET(_xlpm.result,RANK(_xlfn.XLOOKUP($A51,$A$2:$A$30,_xlfn.XLOOKUP(J$33,$B$1:$P$1,$B$2:$P$30)),$B$2:$P$30),IF(_xlpm.result&gt;150,"",_xlpm.result))</f>
        <v/>
      </c>
      <c r="K51" s="1" cm="1">
        <f t="array" ref="K51">_xlfn.LET(_xlpm.result,RANK(_xlfn.XLOOKUP($A51,$A$2:$A$30,_xlfn.XLOOKUP(K$33,$B$1:$P$1,$B$2:$P$30)),$B$2:$P$30),IF(_xlpm.result&gt;150,"",_xlpm.result))</f>
        <v>111</v>
      </c>
      <c r="L51" s="1" cm="1">
        <f t="array" ref="L51">_xlfn.LET(_xlpm.result,RANK(_xlfn.XLOOKUP($A51,$A$2:$A$30,_xlfn.XLOOKUP(L$33,$B$1:$P$1,$B$2:$P$30)),$B$2:$P$30),IF(_xlpm.result&gt;150,"",_xlpm.result))</f>
        <v>24</v>
      </c>
      <c r="M51" s="1" cm="1">
        <f t="array" ref="M51">_xlfn.LET(_xlpm.result,RANK(_xlfn.XLOOKUP($A51,$A$2:$A$30,_xlfn.XLOOKUP(M$33,$B$1:$P$1,$B$2:$P$30)),$B$2:$P$30),IF(_xlpm.result&gt;150,"",_xlpm.result))</f>
        <v>96</v>
      </c>
      <c r="N51" s="1" cm="1">
        <f t="array" ref="N51">_xlfn.LET(_xlpm.result,RANK(_xlfn.XLOOKUP($A51,$A$2:$A$30,_xlfn.XLOOKUP(N$33,$B$1:$P$1,$B$2:$P$30)),$B$2:$P$30),IF(_xlpm.result&gt;150,"",_xlpm.result))</f>
        <v>30</v>
      </c>
      <c r="O51" s="1" cm="1">
        <f t="array" ref="O51">_xlfn.LET(_xlpm.result,RANK(_xlfn.XLOOKUP($A51,$A$2:$A$30,_xlfn.XLOOKUP(O$33,$B$1:$P$1,$B$2:$P$30)),$B$2:$P$30),IF(_xlpm.result&gt;150,"",_xlpm.result))</f>
        <v>36</v>
      </c>
      <c r="P51" s="1" cm="1">
        <f t="array" ref="P51">_xlfn.LET(_xlpm.result,RANK(_xlfn.XLOOKUP($A51,$A$2:$A$30,_xlfn.XLOOKUP(P$33,$B$1:$P$1,$B$2:$P$30)),$B$2:$P$30),IF(_xlpm.result&gt;150,"",_xlpm.result))</f>
        <v>30</v>
      </c>
      <c r="Q51">
        <f t="shared" si="0"/>
        <v>10</v>
      </c>
      <c r="R51" s="10">
        <f t="shared" si="1"/>
        <v>24</v>
      </c>
      <c r="S51">
        <v>8</v>
      </c>
    </row>
    <row r="52" spans="1:19" x14ac:dyDescent="0.25">
      <c r="A52" t="s">
        <v>44</v>
      </c>
      <c r="B52" s="1" cm="1">
        <f t="array" ref="B52">_xlfn.LET(_xlpm.result,RANK(_xlfn.XLOOKUP($A52,$A$2:$A$30,_xlfn.XLOOKUP(B$33,$B$1:$P$1,$B$2:$P$30)),$B$2:$P$30),IF(_xlpm.result&gt;150,"",_xlpm.result))</f>
        <v>123</v>
      </c>
      <c r="C52" s="1" cm="1">
        <f t="array" ref="C52">_xlfn.LET(_xlpm.result,RANK(_xlfn.XLOOKUP($A52,$A$2:$A$30,_xlfn.XLOOKUP(C$33,$B$1:$P$1,$B$2:$P$30)),$B$2:$P$30),IF(_xlpm.result&gt;150,"",_xlpm.result))</f>
        <v>120</v>
      </c>
      <c r="D52" s="1" cm="1">
        <f t="array" ref="D52">_xlfn.LET(_xlpm.result,RANK(_xlfn.XLOOKUP($A52,$A$2:$A$30,_xlfn.XLOOKUP(D$33,$B$1:$P$1,$B$2:$P$30)),$B$2:$P$30),IF(_xlpm.result&gt;150,"",_xlpm.result))</f>
        <v>17</v>
      </c>
      <c r="E52" s="1" cm="1">
        <f t="array" ref="E52">_xlfn.LET(_xlpm.result,RANK(_xlfn.XLOOKUP($A52,$A$2:$A$30,_xlfn.XLOOKUP(E$33,$B$1:$P$1,$B$2:$P$30)),$B$2:$P$30),IF(_xlpm.result&gt;150,"",_xlpm.result))</f>
        <v>96</v>
      </c>
      <c r="F52" s="1" cm="1">
        <f t="array" ref="F52">_xlfn.LET(_xlpm.result,RANK(_xlfn.XLOOKUP($A52,$A$2:$A$30,_xlfn.XLOOKUP(F$33,$B$1:$P$1,$B$2:$P$30)),$B$2:$P$30),IF(_xlpm.result&gt;150,"",_xlpm.result))</f>
        <v>17</v>
      </c>
      <c r="G52" s="1" t="str" cm="1">
        <f t="array" ref="G52">_xlfn.LET(_xlpm.result,RANK(_xlfn.XLOOKUP($A52,$A$2:$A$30,_xlfn.XLOOKUP(G$33,$B$1:$P$1,$B$2:$P$30)),$B$2:$P$30),IF(_xlpm.result&gt;150,"",_xlpm.result))</f>
        <v/>
      </c>
      <c r="H52" s="1" t="str" cm="1">
        <f t="array" ref="H52">_xlfn.LET(_xlpm.result,RANK(_xlfn.XLOOKUP($A52,$A$2:$A$30,_xlfn.XLOOKUP(H$33,$B$1:$P$1,$B$2:$P$30)),$B$2:$P$30),IF(_xlpm.result&gt;150,"",_xlpm.result))</f>
        <v/>
      </c>
      <c r="I52" s="1" t="str" cm="1">
        <f t="array" ref="I52">_xlfn.LET(_xlpm.result,RANK(_xlfn.XLOOKUP($A52,$A$2:$A$30,_xlfn.XLOOKUP(I$33,$B$1:$P$1,$B$2:$P$30)),$B$2:$P$30),IF(_xlpm.result&gt;150,"",_xlpm.result))</f>
        <v/>
      </c>
      <c r="J52" s="1" cm="1">
        <f t="array" ref="J52">_xlfn.LET(_xlpm.result,RANK(_xlfn.XLOOKUP($A52,$A$2:$A$30,_xlfn.XLOOKUP(J$33,$B$1:$P$1,$B$2:$P$30)),$B$2:$P$30),IF(_xlpm.result&gt;150,"",_xlpm.result))</f>
        <v>74</v>
      </c>
      <c r="K52" s="1" cm="1">
        <f t="array" ref="K52">_xlfn.LET(_xlpm.result,RANK(_xlfn.XLOOKUP($A52,$A$2:$A$30,_xlfn.XLOOKUP(K$33,$B$1:$P$1,$B$2:$P$30)),$B$2:$P$30),IF(_xlpm.result&gt;150,"",_xlpm.result))</f>
        <v>33</v>
      </c>
      <c r="L52" s="1" t="str" cm="1">
        <f t="array" ref="L52">_xlfn.LET(_xlpm.result,RANK(_xlfn.XLOOKUP($A52,$A$2:$A$30,_xlfn.XLOOKUP(L$33,$B$1:$P$1,$B$2:$P$30)),$B$2:$P$30),IF(_xlpm.result&gt;150,"",_xlpm.result))</f>
        <v/>
      </c>
      <c r="M52" s="1" cm="1">
        <f t="array" ref="M52">_xlfn.LET(_xlpm.result,RANK(_xlfn.XLOOKUP($A52,$A$2:$A$30,_xlfn.XLOOKUP(M$33,$B$1:$P$1,$B$2:$P$30)),$B$2:$P$30),IF(_xlpm.result&gt;150,"",_xlpm.result))</f>
        <v>41</v>
      </c>
      <c r="N52" s="1" cm="1">
        <f t="array" ref="N52">_xlfn.LET(_xlpm.result,RANK(_xlfn.XLOOKUP($A52,$A$2:$A$30,_xlfn.XLOOKUP(N$33,$B$1:$P$1,$B$2:$P$30)),$B$2:$P$30),IF(_xlpm.result&gt;150,"",_xlpm.result))</f>
        <v>87</v>
      </c>
      <c r="O52" s="1" t="str" cm="1">
        <f t="array" ref="O52">_xlfn.LET(_xlpm.result,RANK(_xlfn.XLOOKUP($A52,$A$2:$A$30,_xlfn.XLOOKUP(O$33,$B$1:$P$1,$B$2:$P$30)),$B$2:$P$30),IF(_xlpm.result&gt;150,"",_xlpm.result))</f>
        <v/>
      </c>
      <c r="P52" s="1" cm="1">
        <f t="array" ref="P52">_xlfn.LET(_xlpm.result,RANK(_xlfn.XLOOKUP($A52,$A$2:$A$30,_xlfn.XLOOKUP(P$33,$B$1:$P$1,$B$2:$P$30)),$B$2:$P$30),IF(_xlpm.result&gt;150,"",_xlpm.result))</f>
        <v>87</v>
      </c>
      <c r="Q52">
        <f t="shared" si="0"/>
        <v>10</v>
      </c>
      <c r="R52" s="10">
        <f t="shared" si="1"/>
        <v>17</v>
      </c>
      <c r="S52">
        <v>7</v>
      </c>
    </row>
    <row r="53" spans="1:19" x14ac:dyDescent="0.25">
      <c r="A53" t="s">
        <v>29</v>
      </c>
      <c r="B53" s="1" cm="1">
        <f t="array" ref="B53">_xlfn.LET(_xlpm.result,RANK(_xlfn.XLOOKUP($A53,$A$2:$A$30,_xlfn.XLOOKUP(B$33,$B$1:$P$1,$B$2:$P$30)),$B$2:$P$30),IF(_xlpm.result&gt;150,"",_xlpm.result))</f>
        <v>10</v>
      </c>
      <c r="C53" s="1" cm="1">
        <f t="array" ref="C53">_xlfn.LET(_xlpm.result,RANK(_xlfn.XLOOKUP($A53,$A$2:$A$30,_xlfn.XLOOKUP(C$33,$B$1:$P$1,$B$2:$P$30)),$B$2:$P$30),IF(_xlpm.result&gt;150,"",_xlpm.result))</f>
        <v>55</v>
      </c>
      <c r="D53" s="1" cm="1">
        <f t="array" ref="D53">_xlfn.LET(_xlpm.result,RANK(_xlfn.XLOOKUP($A53,$A$2:$A$30,_xlfn.XLOOKUP(D$33,$B$1:$P$1,$B$2:$P$30)),$B$2:$P$30),IF(_xlpm.result&gt;150,"",_xlpm.result))</f>
        <v>148</v>
      </c>
      <c r="E53" s="1" cm="1">
        <f t="array" ref="E53">_xlfn.LET(_xlpm.result,RANK(_xlfn.XLOOKUP($A53,$A$2:$A$30,_xlfn.XLOOKUP(E$33,$B$1:$P$1,$B$2:$P$30)),$B$2:$P$30),IF(_xlpm.result&gt;150,"",_xlpm.result))</f>
        <v>103</v>
      </c>
      <c r="F53" s="1" t="str" cm="1">
        <f t="array" ref="F53">_xlfn.LET(_xlpm.result,RANK(_xlfn.XLOOKUP($A53,$A$2:$A$30,_xlfn.XLOOKUP(F$33,$B$1:$P$1,$B$2:$P$30)),$B$2:$P$30),IF(_xlpm.result&gt;150,"",_xlpm.result))</f>
        <v/>
      </c>
      <c r="G53" s="1" cm="1">
        <f t="array" ref="G53">_xlfn.LET(_xlpm.result,RANK(_xlfn.XLOOKUP($A53,$A$2:$A$30,_xlfn.XLOOKUP(G$33,$B$1:$P$1,$B$2:$P$30)),$B$2:$P$30),IF(_xlpm.result&gt;150,"",_xlpm.result))</f>
        <v>76</v>
      </c>
      <c r="H53" s="1" cm="1">
        <f t="array" ref="H53">_xlfn.LET(_xlpm.result,RANK(_xlfn.XLOOKUP($A53,$A$2:$A$30,_xlfn.XLOOKUP(H$33,$B$1:$P$1,$B$2:$P$30)),$B$2:$P$30),IF(_xlpm.result&gt;150,"",_xlpm.result))</f>
        <v>67</v>
      </c>
      <c r="I53" s="1" t="str" cm="1">
        <f t="array" ref="I53">_xlfn.LET(_xlpm.result,RANK(_xlfn.XLOOKUP($A53,$A$2:$A$30,_xlfn.XLOOKUP(I$33,$B$1:$P$1,$B$2:$P$30)),$B$2:$P$30),IF(_xlpm.result&gt;150,"",_xlpm.result))</f>
        <v/>
      </c>
      <c r="J53" s="1" cm="1">
        <f t="array" ref="J53">_xlfn.LET(_xlpm.result,RANK(_xlfn.XLOOKUP($A53,$A$2:$A$30,_xlfn.XLOOKUP(J$33,$B$1:$P$1,$B$2:$P$30)),$B$2:$P$30),IF(_xlpm.result&gt;150,"",_xlpm.result))</f>
        <v>15</v>
      </c>
      <c r="K53" s="1" t="str" cm="1">
        <f t="array" ref="K53">_xlfn.LET(_xlpm.result,RANK(_xlfn.XLOOKUP($A53,$A$2:$A$30,_xlfn.XLOOKUP(K$33,$B$1:$P$1,$B$2:$P$30)),$B$2:$P$30),IF(_xlpm.result&gt;150,"",_xlpm.result))</f>
        <v/>
      </c>
      <c r="L53" s="1" cm="1">
        <f t="array" ref="L53">_xlfn.LET(_xlpm.result,RANK(_xlfn.XLOOKUP($A53,$A$2:$A$30,_xlfn.XLOOKUP(L$33,$B$1:$P$1,$B$2:$P$30)),$B$2:$P$30),IF(_xlpm.result&gt;150,"",_xlpm.result))</f>
        <v>58</v>
      </c>
      <c r="M53" s="1" cm="1">
        <f t="array" ref="M53">_xlfn.LET(_xlpm.result,RANK(_xlfn.XLOOKUP($A53,$A$2:$A$30,_xlfn.XLOOKUP(M$33,$B$1:$P$1,$B$2:$P$30)),$B$2:$P$30),IF(_xlpm.result&gt;150,"",_xlpm.result))</f>
        <v>121</v>
      </c>
      <c r="N53" s="1" cm="1">
        <f t="array" ref="N53">_xlfn.LET(_xlpm.result,RANK(_xlfn.XLOOKUP($A53,$A$2:$A$30,_xlfn.XLOOKUP(N$33,$B$1:$P$1,$B$2:$P$30)),$B$2:$P$30),IF(_xlpm.result&gt;150,"",_xlpm.result))</f>
        <v>37</v>
      </c>
      <c r="O53" s="1" cm="1">
        <f t="array" ref="O53">_xlfn.LET(_xlpm.result,RANK(_xlfn.XLOOKUP($A53,$A$2:$A$30,_xlfn.XLOOKUP(O$33,$B$1:$P$1,$B$2:$P$30)),$B$2:$P$30),IF(_xlpm.result&gt;150,"",_xlpm.result))</f>
        <v>76</v>
      </c>
      <c r="P53" s="1" cm="1">
        <f t="array" ref="P53">_xlfn.LET(_xlpm.result,RANK(_xlfn.XLOOKUP($A53,$A$2:$A$30,_xlfn.XLOOKUP(P$33,$B$1:$P$1,$B$2:$P$30)),$B$2:$P$30),IF(_xlpm.result&gt;150,"",_xlpm.result))</f>
        <v>22</v>
      </c>
      <c r="Q53">
        <f t="shared" si="0"/>
        <v>12</v>
      </c>
      <c r="R53" s="10">
        <f t="shared" si="1"/>
        <v>10</v>
      </c>
      <c r="S53">
        <v>6</v>
      </c>
    </row>
    <row r="54" spans="1:19" ht="18.75" x14ac:dyDescent="0.3">
      <c r="A54" t="s">
        <v>30</v>
      </c>
      <c r="B54" s="1" cm="1">
        <f t="array" ref="B54">_xlfn.LET(_xlpm.result,RANK(_xlfn.XLOOKUP($A54,$A$2:$A$30,_xlfn.XLOOKUP(B$33,$B$1:$P$1,$B$2:$P$30)),$B$2:$P$30),IF(_xlpm.result&gt;150,"",_xlpm.result))</f>
        <v>66</v>
      </c>
      <c r="C54" s="1" t="str" cm="1">
        <f t="array" ref="C54">_xlfn.LET(_xlpm.result,RANK(_xlfn.XLOOKUP($A54,$A$2:$A$30,_xlfn.XLOOKUP(C$33,$B$1:$P$1,$B$2:$P$30)),$B$2:$P$30),IF(_xlpm.result&gt;150,"",_xlpm.result))</f>
        <v/>
      </c>
      <c r="D54" s="1" cm="1">
        <f t="array" ref="D54">_xlfn.LET(_xlpm.result,RANK(_xlfn.XLOOKUP($A54,$A$2:$A$30,_xlfn.XLOOKUP(D$33,$B$1:$P$1,$B$2:$P$30)),$B$2:$P$30),IF(_xlpm.result&gt;150,"",_xlpm.result))</f>
        <v>64</v>
      </c>
      <c r="E54" s="1" cm="1">
        <f t="array" ref="E54">_xlfn.LET(_xlpm.result,RANK(_xlfn.XLOOKUP($A54,$A$2:$A$30,_xlfn.XLOOKUP(E$33,$B$1:$P$1,$B$2:$P$30)),$B$2:$P$30),IF(_xlpm.result&gt;150,"",_xlpm.result))</f>
        <v>48</v>
      </c>
      <c r="F54" s="1" cm="1">
        <f t="array" ref="F54">_xlfn.LET(_xlpm.result,RANK(_xlfn.XLOOKUP($A54,$A$2:$A$30,_xlfn.XLOOKUP(F$33,$B$1:$P$1,$B$2:$P$30)),$B$2:$P$30),IF(_xlpm.result&gt;150,"",_xlpm.result))</f>
        <v>46</v>
      </c>
      <c r="G54" s="1" cm="1">
        <f t="array" ref="G54">_xlfn.LET(_xlpm.result,RANK(_xlfn.XLOOKUP($A54,$A$2:$A$30,_xlfn.XLOOKUP(G$33,$B$1:$P$1,$B$2:$P$30)),$B$2:$P$30),IF(_xlpm.result&gt;150,"",_xlpm.result))</f>
        <v>9</v>
      </c>
      <c r="H54" s="1" t="str" cm="1">
        <f t="array" ref="H54">_xlfn.LET(_xlpm.result,RANK(_xlfn.XLOOKUP($A54,$A$2:$A$30,_xlfn.XLOOKUP(H$33,$B$1:$P$1,$B$2:$P$30)),$B$2:$P$30),IF(_xlpm.result&gt;150,"",_xlpm.result))</f>
        <v/>
      </c>
      <c r="I54" s="7" cm="1">
        <f t="array" ref="I54">_xlfn.LET(_xlpm.result,RANK(_xlfn.XLOOKUP($A54,$A$2:$A$30,_xlfn.XLOOKUP(I$33,$B$1:$P$1,$B$2:$P$30)),$B$2:$P$30),IF(_xlpm.result&gt;150,"",_xlpm.result))</f>
        <v>16</v>
      </c>
      <c r="J54" s="1" cm="1">
        <f t="array" ref="J54">_xlfn.LET(_xlpm.result,RANK(_xlfn.XLOOKUP($A54,$A$2:$A$30,_xlfn.XLOOKUP(J$33,$B$1:$P$1,$B$2:$P$30)),$B$2:$P$30),IF(_xlpm.result&gt;150,"",_xlpm.result))</f>
        <v>87</v>
      </c>
      <c r="K54" s="1" t="str" cm="1">
        <f t="array" ref="K54">_xlfn.LET(_xlpm.result,RANK(_xlfn.XLOOKUP($A54,$A$2:$A$30,_xlfn.XLOOKUP(K$33,$B$1:$P$1,$B$2:$P$30)),$B$2:$P$30),IF(_xlpm.result&gt;150,"",_xlpm.result))</f>
        <v/>
      </c>
      <c r="L54" s="1" cm="1">
        <f t="array" ref="L54">_xlfn.LET(_xlpm.result,RANK(_xlfn.XLOOKUP($A54,$A$2:$A$30,_xlfn.XLOOKUP(L$33,$B$1:$P$1,$B$2:$P$30)),$B$2:$P$30),IF(_xlpm.result&gt;150,"",_xlpm.result))</f>
        <v>26</v>
      </c>
      <c r="M54" s="1" cm="1">
        <f t="array" ref="M54">_xlfn.LET(_xlpm.result,RANK(_xlfn.XLOOKUP($A54,$A$2:$A$30,_xlfn.XLOOKUP(M$33,$B$1:$P$1,$B$2:$P$30)),$B$2:$P$30),IF(_xlpm.result&gt;150,"",_xlpm.result))</f>
        <v>107</v>
      </c>
      <c r="N54" s="1" cm="1">
        <f t="array" ref="N54">_xlfn.LET(_xlpm.result,RANK(_xlfn.XLOOKUP($A54,$A$2:$A$30,_xlfn.XLOOKUP(N$33,$B$1:$P$1,$B$2:$P$30)),$B$2:$P$30),IF(_xlpm.result&gt;150,"",_xlpm.result))</f>
        <v>26</v>
      </c>
      <c r="O54" s="1" t="str" cm="1">
        <f t="array" ref="O54">_xlfn.LET(_xlpm.result,RANK(_xlfn.XLOOKUP($A54,$A$2:$A$30,_xlfn.XLOOKUP(O$33,$B$1:$P$1,$B$2:$P$30)),$B$2:$P$30),IF(_xlpm.result&gt;150,"",_xlpm.result))</f>
        <v/>
      </c>
      <c r="P54" s="1" cm="1">
        <f t="array" ref="P54">_xlfn.LET(_xlpm.result,RANK(_xlfn.XLOOKUP($A54,$A$2:$A$30,_xlfn.XLOOKUP(P$33,$B$1:$P$1,$B$2:$P$30)),$B$2:$P$30),IF(_xlpm.result&gt;150,"",_xlpm.result))</f>
        <v>87</v>
      </c>
      <c r="Q54">
        <f t="shared" si="0"/>
        <v>11</v>
      </c>
      <c r="R54" s="10">
        <f t="shared" si="1"/>
        <v>9</v>
      </c>
      <c r="S54">
        <v>5</v>
      </c>
    </row>
    <row r="55" spans="1:19" x14ac:dyDescent="0.25">
      <c r="A55" t="s">
        <v>36</v>
      </c>
      <c r="B55" s="1" cm="1">
        <f t="array" ref="B55">_xlfn.LET(_xlpm.result,RANK(_xlfn.XLOOKUP($A55,$A$2:$A$30,_xlfn.XLOOKUP(B$33,$B$1:$P$1,$B$2:$P$30)),$B$2:$P$30),IF(_xlpm.result&gt;150,"",_xlpm.result))</f>
        <v>30</v>
      </c>
      <c r="C55" s="1" cm="1">
        <f t="array" ref="C55">_xlfn.LET(_xlpm.result,RANK(_xlfn.XLOOKUP($A55,$A$2:$A$30,_xlfn.XLOOKUP(C$33,$B$1:$P$1,$B$2:$P$30)),$B$2:$P$30),IF(_xlpm.result&gt;150,"",_xlpm.result))</f>
        <v>113</v>
      </c>
      <c r="D55" s="1" cm="1">
        <f t="array" ref="D55">_xlfn.LET(_xlpm.result,RANK(_xlfn.XLOOKUP($A55,$A$2:$A$30,_xlfn.XLOOKUP(D$33,$B$1:$P$1,$B$2:$P$30)),$B$2:$P$30),IF(_xlpm.result&gt;150,"",_xlpm.result))</f>
        <v>19</v>
      </c>
      <c r="E55" s="1" cm="1">
        <f t="array" ref="E55">_xlfn.LET(_xlpm.result,RANK(_xlfn.XLOOKUP($A55,$A$2:$A$30,_xlfn.XLOOKUP(E$33,$B$1:$P$1,$B$2:$P$30)),$B$2:$P$30),IF(_xlpm.result&gt;150,"",_xlpm.result))</f>
        <v>103</v>
      </c>
      <c r="F55" s="1" cm="1">
        <f t="array" ref="F55">_xlfn.LET(_xlpm.result,RANK(_xlfn.XLOOKUP($A55,$A$2:$A$30,_xlfn.XLOOKUP(F$33,$B$1:$P$1,$B$2:$P$30)),$B$2:$P$30),IF(_xlpm.result&gt;150,"",_xlpm.result))</f>
        <v>125</v>
      </c>
      <c r="G55" s="1" cm="1">
        <f t="array" ref="G55">_xlfn.LET(_xlpm.result,RANK(_xlfn.XLOOKUP($A55,$A$2:$A$30,_xlfn.XLOOKUP(G$33,$B$1:$P$1,$B$2:$P$30)),$B$2:$P$30),IF(_xlpm.result&gt;150,"",_xlpm.result))</f>
        <v>5</v>
      </c>
      <c r="H55" s="1" cm="1">
        <f t="array" ref="H55">_xlfn.LET(_xlpm.result,RANK(_xlfn.XLOOKUP($A55,$A$2:$A$30,_xlfn.XLOOKUP(H$33,$B$1:$P$1,$B$2:$P$30)),$B$2:$P$30),IF(_xlpm.result&gt;150,"",_xlpm.result))</f>
        <v>69</v>
      </c>
      <c r="I55" s="1" cm="1">
        <f t="array" ref="I55">_xlfn.LET(_xlpm.result,RANK(_xlfn.XLOOKUP($A55,$A$2:$A$30,_xlfn.XLOOKUP(I$33,$B$1:$P$1,$B$2:$P$30)),$B$2:$P$30),IF(_xlpm.result&gt;150,"",_xlpm.result))</f>
        <v>80</v>
      </c>
      <c r="J55" s="1" t="str" cm="1">
        <f t="array" ref="J55">_xlfn.LET(_xlpm.result,RANK(_xlfn.XLOOKUP($A55,$A$2:$A$30,_xlfn.XLOOKUP(J$33,$B$1:$P$1,$B$2:$P$30)),$B$2:$P$30),IF(_xlpm.result&gt;150,"",_xlpm.result))</f>
        <v/>
      </c>
      <c r="K55" s="1" cm="1">
        <f t="array" ref="K55">_xlfn.LET(_xlpm.result,RANK(_xlfn.XLOOKUP($A55,$A$2:$A$30,_xlfn.XLOOKUP(K$33,$B$1:$P$1,$B$2:$P$30)),$B$2:$P$30),IF(_xlpm.result&gt;150,"",_xlpm.result))</f>
        <v>55</v>
      </c>
      <c r="L55" s="1" t="str" cm="1">
        <f t="array" ref="L55">_xlfn.LET(_xlpm.result,RANK(_xlfn.XLOOKUP($A55,$A$2:$A$30,_xlfn.XLOOKUP(L$33,$B$1:$P$1,$B$2:$P$30)),$B$2:$P$30),IF(_xlpm.result&gt;150,"",_xlpm.result))</f>
        <v/>
      </c>
      <c r="M55" s="1" t="str" cm="1">
        <f t="array" ref="M55">_xlfn.LET(_xlpm.result,RANK(_xlfn.XLOOKUP($A55,$A$2:$A$30,_xlfn.XLOOKUP(M$33,$B$1:$P$1,$B$2:$P$30)),$B$2:$P$30),IF(_xlpm.result&gt;150,"",_xlpm.result))</f>
        <v/>
      </c>
      <c r="N55" s="1" cm="1">
        <f t="array" ref="N55">_xlfn.LET(_xlpm.result,RANK(_xlfn.XLOOKUP($A55,$A$2:$A$30,_xlfn.XLOOKUP(N$33,$B$1:$P$1,$B$2:$P$30)),$B$2:$P$30),IF(_xlpm.result&gt;150,"",_xlpm.result))</f>
        <v>103</v>
      </c>
      <c r="O55" s="1" cm="1">
        <f t="array" ref="O55">_xlfn.LET(_xlpm.result,RANK(_xlfn.XLOOKUP($A55,$A$2:$A$30,_xlfn.XLOOKUP(O$33,$B$1:$P$1,$B$2:$P$30)),$B$2:$P$30),IF(_xlpm.result&gt;150,"",_xlpm.result))</f>
        <v>76</v>
      </c>
      <c r="P55" s="1" cm="1">
        <f t="array" ref="P55">_xlfn.LET(_xlpm.result,RANK(_xlfn.XLOOKUP($A55,$A$2:$A$30,_xlfn.XLOOKUP(P$33,$B$1:$P$1,$B$2:$P$30)),$B$2:$P$30),IF(_xlpm.result&gt;150,"",_xlpm.result))</f>
        <v>146</v>
      </c>
      <c r="Q55">
        <f t="shared" si="0"/>
        <v>12</v>
      </c>
      <c r="R55" s="10">
        <f t="shared" si="1"/>
        <v>5</v>
      </c>
      <c r="S55">
        <v>4</v>
      </c>
    </row>
    <row r="56" spans="1:19" x14ac:dyDescent="0.25">
      <c r="A56" t="s">
        <v>22</v>
      </c>
      <c r="B56" s="1" cm="1">
        <f t="array" ref="B56">_xlfn.LET(_xlpm.result,RANK(_xlfn.XLOOKUP($A56,$A$2:$A$30,_xlfn.XLOOKUP(B$33,$B$1:$P$1,$B$2:$P$30)),$B$2:$P$30),IF(_xlpm.result&gt;150,"",_xlpm.result))</f>
        <v>5</v>
      </c>
      <c r="C56" s="1" cm="1">
        <f t="array" ref="C56">_xlfn.LET(_xlpm.result,RANK(_xlfn.XLOOKUP($A56,$A$2:$A$30,_xlfn.XLOOKUP(C$33,$B$1:$P$1,$B$2:$P$30)),$B$2:$P$30),IF(_xlpm.result&gt;150,"",_xlpm.result))</f>
        <v>28</v>
      </c>
      <c r="D56" s="1" cm="1">
        <f t="array" ref="D56">_xlfn.LET(_xlpm.result,RANK(_xlfn.XLOOKUP($A56,$A$2:$A$30,_xlfn.XLOOKUP(D$33,$B$1:$P$1,$B$2:$P$30)),$B$2:$P$30),IF(_xlpm.result&gt;150,"",_xlpm.result))</f>
        <v>37</v>
      </c>
      <c r="E56" s="1" t="str" cm="1">
        <f t="array" ref="E56">_xlfn.LET(_xlpm.result,RANK(_xlfn.XLOOKUP($A56,$A$2:$A$30,_xlfn.XLOOKUP(E$33,$B$1:$P$1,$B$2:$P$30)),$B$2:$P$30),IF(_xlpm.result&gt;150,"",_xlpm.result))</f>
        <v/>
      </c>
      <c r="F56" s="1" cm="1">
        <f t="array" ref="F56">_xlfn.LET(_xlpm.result,RANK(_xlfn.XLOOKUP($A56,$A$2:$A$30,_xlfn.XLOOKUP(F$33,$B$1:$P$1,$B$2:$P$30)),$B$2:$P$30),IF(_xlpm.result&gt;150,"",_xlpm.result))</f>
        <v>8</v>
      </c>
      <c r="G56" s="1" t="str" cm="1">
        <f t="array" ref="G56">_xlfn.LET(_xlpm.result,RANK(_xlfn.XLOOKUP($A56,$A$2:$A$30,_xlfn.XLOOKUP(G$33,$B$1:$P$1,$B$2:$P$30)),$B$2:$P$30),IF(_xlpm.result&gt;150,"",_xlpm.result))</f>
        <v/>
      </c>
      <c r="H56" s="1" cm="1">
        <f t="array" ref="H56">_xlfn.LET(_xlpm.result,RANK(_xlfn.XLOOKUP($A56,$A$2:$A$30,_xlfn.XLOOKUP(H$33,$B$1:$P$1,$B$2:$P$30)),$B$2:$P$30),IF(_xlpm.result&gt;150,"",_xlpm.result))</f>
        <v>11</v>
      </c>
      <c r="I56" s="1" cm="1">
        <f t="array" ref="I56">_xlfn.LET(_xlpm.result,RANK(_xlfn.XLOOKUP($A56,$A$2:$A$30,_xlfn.XLOOKUP(I$33,$B$1:$P$1,$B$2:$P$30)),$B$2:$P$30),IF(_xlpm.result&gt;150,"",_xlpm.result))</f>
        <v>109</v>
      </c>
      <c r="J56" s="1" cm="1">
        <f t="array" ref="J56">_xlfn.LET(_xlpm.result,RANK(_xlfn.XLOOKUP($A56,$A$2:$A$30,_xlfn.XLOOKUP(J$33,$B$1:$P$1,$B$2:$P$30)),$B$2:$P$30),IF(_xlpm.result&gt;150,"",_xlpm.result))</f>
        <v>48</v>
      </c>
      <c r="K56" s="1" cm="1">
        <f t="array" ref="K56">_xlfn.LET(_xlpm.result,RANK(_xlfn.XLOOKUP($A56,$A$2:$A$30,_xlfn.XLOOKUP(K$33,$B$1:$P$1,$B$2:$P$30)),$B$2:$P$30),IF(_xlpm.result&gt;150,"",_xlpm.result))</f>
        <v>41</v>
      </c>
      <c r="L56" s="1" cm="1">
        <f t="array" ref="L56">_xlfn.LET(_xlpm.result,RANK(_xlfn.XLOOKUP($A56,$A$2:$A$30,_xlfn.XLOOKUP(L$33,$B$1:$P$1,$B$2:$P$30)),$B$2:$P$30),IF(_xlpm.result&gt;150,"",_xlpm.result))</f>
        <v>63</v>
      </c>
      <c r="M56" s="1" cm="1">
        <f t="array" ref="M56">_xlfn.LET(_xlpm.result,RANK(_xlfn.XLOOKUP($A56,$A$2:$A$30,_xlfn.XLOOKUP(M$33,$B$1:$P$1,$B$2:$P$30)),$B$2:$P$30),IF(_xlpm.result&gt;150,"",_xlpm.result))</f>
        <v>28</v>
      </c>
      <c r="N56" s="1" cm="1">
        <f t="array" ref="N56">_xlfn.LET(_xlpm.result,RANK(_xlfn.XLOOKUP($A56,$A$2:$A$30,_xlfn.XLOOKUP(N$33,$B$1:$P$1,$B$2:$P$30)),$B$2:$P$30),IF(_xlpm.result&gt;150,"",_xlpm.result))</f>
        <v>11</v>
      </c>
      <c r="O56" s="1" t="str" cm="1">
        <f t="array" ref="O56">_xlfn.LET(_xlpm.result,RANK(_xlfn.XLOOKUP($A56,$A$2:$A$30,_xlfn.XLOOKUP(O$33,$B$1:$P$1,$B$2:$P$30)),$B$2:$P$30),IF(_xlpm.result&gt;150,"",_xlpm.result))</f>
        <v/>
      </c>
      <c r="P56" s="1" cm="1">
        <f t="array" ref="P56">_xlfn.LET(_xlpm.result,RANK(_xlfn.XLOOKUP($A56,$A$2:$A$30,_xlfn.XLOOKUP(P$33,$B$1:$P$1,$B$2:$P$30)),$B$2:$P$30),IF(_xlpm.result&gt;150,"",_xlpm.result))</f>
        <v>7</v>
      </c>
      <c r="Q56">
        <f t="shared" si="0"/>
        <v>12</v>
      </c>
      <c r="R56" s="10">
        <f t="shared" si="1"/>
        <v>5</v>
      </c>
      <c r="S56">
        <v>3</v>
      </c>
    </row>
    <row r="57" spans="1:19" x14ac:dyDescent="0.25">
      <c r="A57" t="s">
        <v>34</v>
      </c>
      <c r="B57" s="1" t="str" cm="1">
        <f t="array" ref="B57">_xlfn.LET(_xlpm.result,RANK(_xlfn.XLOOKUP($A57,$A$2:$A$30,_xlfn.XLOOKUP(B$33,$B$1:$P$1,$B$2:$P$30)),$B$2:$P$30),IF(_xlpm.result&gt;150,"",_xlpm.result))</f>
        <v/>
      </c>
      <c r="C57" s="1" cm="1">
        <f t="array" ref="C57">_xlfn.LET(_xlpm.result,RANK(_xlfn.XLOOKUP($A57,$A$2:$A$30,_xlfn.XLOOKUP(C$33,$B$1:$P$1,$B$2:$P$30)),$B$2:$P$30),IF(_xlpm.result&gt;150,"",_xlpm.result))</f>
        <v>69</v>
      </c>
      <c r="D57" s="1" t="str" cm="1">
        <f t="array" ref="D57">_xlfn.LET(_xlpm.result,RANK(_xlfn.XLOOKUP($A57,$A$2:$A$30,_xlfn.XLOOKUP(D$33,$B$1:$P$1,$B$2:$P$30)),$B$2:$P$30),IF(_xlpm.result&gt;150,"",_xlpm.result))</f>
        <v/>
      </c>
      <c r="E57" s="1" cm="1">
        <f t="array" ref="E57">_xlfn.LET(_xlpm.result,RANK(_xlfn.XLOOKUP($A57,$A$2:$A$30,_xlfn.XLOOKUP(E$33,$B$1:$P$1,$B$2:$P$30)),$B$2:$P$30),IF(_xlpm.result&gt;150,"",_xlpm.result))</f>
        <v>50</v>
      </c>
      <c r="F57" s="1" cm="1">
        <f t="array" ref="F57">_xlfn.LET(_xlpm.result,RANK(_xlfn.XLOOKUP($A57,$A$2:$A$30,_xlfn.XLOOKUP(F$33,$B$1:$P$1,$B$2:$P$30)),$B$2:$P$30),IF(_xlpm.result&gt;150,"",_xlpm.result))</f>
        <v>99</v>
      </c>
      <c r="G57" s="1" t="str" cm="1">
        <f t="array" ref="G57">_xlfn.LET(_xlpm.result,RANK(_xlfn.XLOOKUP($A57,$A$2:$A$30,_xlfn.XLOOKUP(G$33,$B$1:$P$1,$B$2:$P$30)),$B$2:$P$30),IF(_xlpm.result&gt;150,"",_xlpm.result))</f>
        <v/>
      </c>
      <c r="H57" s="1" t="str" cm="1">
        <f t="array" ref="H57">_xlfn.LET(_xlpm.result,RANK(_xlfn.XLOOKUP($A57,$A$2:$A$30,_xlfn.XLOOKUP(H$33,$B$1:$P$1,$B$2:$P$30)),$B$2:$P$30),IF(_xlpm.result&gt;150,"",_xlpm.result))</f>
        <v/>
      </c>
      <c r="I57" s="1" cm="1">
        <f t="array" ref="I57">_xlfn.LET(_xlpm.result,RANK(_xlfn.XLOOKUP($A57,$A$2:$A$30,_xlfn.XLOOKUP(I$33,$B$1:$P$1,$B$2:$P$30)),$B$2:$P$30),IF(_xlpm.result&gt;150,"",_xlpm.result))</f>
        <v>135</v>
      </c>
      <c r="J57" s="1" cm="1">
        <f t="array" ref="J57">_xlfn.LET(_xlpm.result,RANK(_xlfn.XLOOKUP($A57,$A$2:$A$30,_xlfn.XLOOKUP(J$33,$B$1:$P$1,$B$2:$P$30)),$B$2:$P$30),IF(_xlpm.result&gt;150,"",_xlpm.result))</f>
        <v>91</v>
      </c>
      <c r="K57" s="1" cm="1">
        <f t="array" ref="K57">_xlfn.LET(_xlpm.result,RANK(_xlfn.XLOOKUP($A57,$A$2:$A$30,_xlfn.XLOOKUP(K$33,$B$1:$P$1,$B$2:$P$30)),$B$2:$P$30),IF(_xlpm.result&gt;150,"",_xlpm.result))</f>
        <v>91</v>
      </c>
      <c r="L57" s="1" cm="1">
        <f t="array" ref="L57">_xlfn.LET(_xlpm.result,RANK(_xlfn.XLOOKUP($A57,$A$2:$A$30,_xlfn.XLOOKUP(L$33,$B$1:$P$1,$B$2:$P$30)),$B$2:$P$30),IF(_xlpm.result&gt;150,"",_xlpm.result))</f>
        <v>67</v>
      </c>
      <c r="M57" s="1" t="str" cm="1">
        <f t="array" ref="M57">_xlfn.LET(_xlpm.result,RANK(_xlfn.XLOOKUP($A57,$A$2:$A$30,_xlfn.XLOOKUP(M$33,$B$1:$P$1,$B$2:$P$30)),$B$2:$P$30),IF(_xlpm.result&gt;150,"",_xlpm.result))</f>
        <v/>
      </c>
      <c r="N57" s="1" cm="1">
        <f t="array" ref="N57">_xlfn.LET(_xlpm.result,RANK(_xlfn.XLOOKUP($A57,$A$2:$A$30,_xlfn.XLOOKUP(N$33,$B$1:$P$1,$B$2:$P$30)),$B$2:$P$30),IF(_xlpm.result&gt;150,"",_xlpm.result))</f>
        <v>4</v>
      </c>
      <c r="O57" s="1" cm="1">
        <f t="array" ref="O57">_xlfn.LET(_xlpm.result,RANK(_xlfn.XLOOKUP($A57,$A$2:$A$30,_xlfn.XLOOKUP(O$33,$B$1:$P$1,$B$2:$P$30)),$B$2:$P$30),IF(_xlpm.result&gt;150,"",_xlpm.result))</f>
        <v>135</v>
      </c>
      <c r="P57" s="1" cm="1">
        <f t="array" ref="P57">_xlfn.LET(_xlpm.result,RANK(_xlfn.XLOOKUP($A57,$A$2:$A$30,_xlfn.XLOOKUP(P$33,$B$1:$P$1,$B$2:$P$30)),$B$2:$P$30),IF(_xlpm.result&gt;150,"",_xlpm.result))</f>
        <v>50</v>
      </c>
      <c r="Q57">
        <f t="shared" si="0"/>
        <v>10</v>
      </c>
      <c r="R57" s="10">
        <f t="shared" si="1"/>
        <v>4</v>
      </c>
      <c r="S57">
        <v>2</v>
      </c>
    </row>
    <row r="58" spans="1:19" x14ac:dyDescent="0.25">
      <c r="A58" t="s">
        <v>21</v>
      </c>
      <c r="B58" s="1" cm="1">
        <f t="array" ref="B58">_xlfn.LET(_xlpm.result,RANK(_xlfn.XLOOKUP($A58,$A$2:$A$30,_xlfn.XLOOKUP(B$33,$B$1:$P$1,$B$2:$P$30)),$B$2:$P$30),IF(_xlpm.result&gt;150,"",_xlpm.result))</f>
        <v>113</v>
      </c>
      <c r="C58" s="1" cm="1">
        <f t="array" ref="C58">_xlfn.LET(_xlpm.result,RANK(_xlfn.XLOOKUP($A58,$A$2:$A$30,_xlfn.XLOOKUP(C$33,$B$1:$P$1,$B$2:$P$30)),$B$2:$P$30),IF(_xlpm.result&gt;150,"",_xlpm.result))</f>
        <v>23</v>
      </c>
      <c r="D58" s="1" cm="1">
        <f t="array" ref="D58">_xlfn.LET(_xlpm.result,RANK(_xlfn.XLOOKUP($A58,$A$2:$A$30,_xlfn.XLOOKUP(D$33,$B$1:$P$1,$B$2:$P$30)),$B$2:$P$30),IF(_xlpm.result&gt;150,"",_xlpm.result))</f>
        <v>83</v>
      </c>
      <c r="E58" s="1" t="str" cm="1">
        <f t="array" ref="E58">_xlfn.LET(_xlpm.result,RANK(_xlfn.XLOOKUP($A58,$A$2:$A$30,_xlfn.XLOOKUP(E$33,$B$1:$P$1,$B$2:$P$30)),$B$2:$P$30),IF(_xlpm.result&gt;150,"",_xlpm.result))</f>
        <v/>
      </c>
      <c r="F58" s="1" cm="1">
        <f t="array" ref="F58">_xlfn.LET(_xlpm.result,RANK(_xlfn.XLOOKUP($A58,$A$2:$A$30,_xlfn.XLOOKUP(F$33,$B$1:$P$1,$B$2:$P$30)),$B$2:$P$30),IF(_xlpm.result&gt;150,"",_xlpm.result))</f>
        <v>13</v>
      </c>
      <c r="G58" s="1" cm="1">
        <f t="array" ref="G58">_xlfn.LET(_xlpm.result,RANK(_xlfn.XLOOKUP($A58,$A$2:$A$30,_xlfn.XLOOKUP(G$33,$B$1:$P$1,$B$2:$P$30)),$B$2:$P$30),IF(_xlpm.result&gt;150,"",_xlpm.result))</f>
        <v>2</v>
      </c>
      <c r="H58" s="1" cm="1">
        <f t="array" ref="H58">_xlfn.LET(_xlpm.result,RANK(_xlfn.XLOOKUP($A58,$A$2:$A$30,_xlfn.XLOOKUP(H$33,$B$1:$P$1,$B$2:$P$30)),$B$2:$P$30),IF(_xlpm.result&gt;150,"",_xlpm.result))</f>
        <v>50</v>
      </c>
      <c r="I58" s="1" cm="1">
        <f t="array" ref="I58">_xlfn.LET(_xlpm.result,RANK(_xlfn.XLOOKUP($A58,$A$2:$A$30,_xlfn.XLOOKUP(I$33,$B$1:$P$1,$B$2:$P$30)),$B$2:$P$30),IF(_xlpm.result&gt;150,"",_xlpm.result))</f>
        <v>2</v>
      </c>
      <c r="J58" s="1" cm="1">
        <f t="array" ref="J58">_xlfn.LET(_xlpm.result,RANK(_xlfn.XLOOKUP($A58,$A$2:$A$30,_xlfn.XLOOKUP(J$33,$B$1:$P$1,$B$2:$P$30)),$B$2:$P$30),IF(_xlpm.result&gt;150,"",_xlpm.result))</f>
        <v>1</v>
      </c>
      <c r="K58" s="1" cm="1">
        <f t="array" ref="K58">_xlfn.LET(_xlpm.result,RANK(_xlfn.XLOOKUP($A58,$A$2:$A$30,_xlfn.XLOOKUP(K$33,$B$1:$P$1,$B$2:$P$30)),$B$2:$P$30),IF(_xlpm.result&gt;150,"",_xlpm.result))</f>
        <v>34</v>
      </c>
      <c r="L58" s="1" cm="1">
        <f t="array" ref="L58">_xlfn.LET(_xlpm.result,RANK(_xlfn.XLOOKUP($A58,$A$2:$A$30,_xlfn.XLOOKUP(L$33,$B$1:$P$1,$B$2:$P$30)),$B$2:$P$30),IF(_xlpm.result&gt;150,"",_xlpm.result))</f>
        <v>19</v>
      </c>
      <c r="M58" s="1" cm="1">
        <f t="array" ref="M58">_xlfn.LET(_xlpm.result,RANK(_xlfn.XLOOKUP($A58,$A$2:$A$30,_xlfn.XLOOKUP(M$33,$B$1:$P$1,$B$2:$P$30)),$B$2:$P$30),IF(_xlpm.result&gt;150,"",_xlpm.result))</f>
        <v>34</v>
      </c>
      <c r="N58" s="1" cm="1">
        <f t="array" ref="N58">_xlfn.LET(_xlpm.result,RANK(_xlfn.XLOOKUP($A58,$A$2:$A$30,_xlfn.XLOOKUP(N$33,$B$1:$P$1,$B$2:$P$30)),$B$2:$P$30),IF(_xlpm.result&gt;150,"",_xlpm.result))</f>
        <v>14</v>
      </c>
      <c r="O58" s="1" cm="1">
        <f t="array" ref="O58">_xlfn.LET(_xlpm.result,RANK(_xlfn.XLOOKUP($A58,$A$2:$A$30,_xlfn.XLOOKUP(O$33,$B$1:$P$1,$B$2:$P$30)),$B$2:$P$30),IF(_xlpm.result&gt;150,"",_xlpm.result))</f>
        <v>142</v>
      </c>
      <c r="P58" s="1" cm="1">
        <f t="array" ref="P58">_xlfn.LET(_xlpm.result,RANK(_xlfn.XLOOKUP($A58,$A$2:$A$30,_xlfn.XLOOKUP(P$33,$B$1:$P$1,$B$2:$P$30)),$B$2:$P$30),IF(_xlpm.result&gt;150,"",_xlpm.result))</f>
        <v>19</v>
      </c>
      <c r="Q58">
        <f t="shared" si="0"/>
        <v>14</v>
      </c>
      <c r="R58" s="10">
        <f t="shared" si="1"/>
        <v>1</v>
      </c>
      <c r="S58">
        <v>1</v>
      </c>
    </row>
    <row r="59" spans="1:19" x14ac:dyDescent="0.25">
      <c r="A59" t="s">
        <v>49</v>
      </c>
      <c r="B59" s="1" t="str" cm="1">
        <f t="array" ref="B59">_xlfn.LET(_xlpm.result,RANK(_xlfn.XLOOKUP($A59,$A$2:$A$30,_xlfn.XLOOKUP(B$33,$B$1:$P$1,$B$2:$P$30)),$B$2:$P$30),IF(_xlpm.result&gt;150,"",_xlpm.result))</f>
        <v/>
      </c>
      <c r="C59" s="1" t="str" cm="1">
        <f t="array" ref="C59">_xlfn.LET(_xlpm.result,RANK(_xlfn.XLOOKUP($A59,$A$2:$A$30,_xlfn.XLOOKUP(C$33,$B$1:$P$1,$B$2:$P$30)),$B$2:$P$30),IF(_xlpm.result&gt;150,"",_xlpm.result))</f>
        <v/>
      </c>
      <c r="D59" s="1" t="str" cm="1">
        <f t="array" ref="D59">_xlfn.LET(_xlpm.result,RANK(_xlfn.XLOOKUP($A59,$A$2:$A$30,_xlfn.XLOOKUP(D$33,$B$1:$P$1,$B$2:$P$30)),$B$2:$P$30),IF(_xlpm.result&gt;150,"",_xlpm.result))</f>
        <v/>
      </c>
      <c r="E59" s="1" t="str" cm="1">
        <f t="array" ref="E59">_xlfn.LET(_xlpm.result,RANK(_xlfn.XLOOKUP($A59,$A$2:$A$30,_xlfn.XLOOKUP(E$33,$B$1:$P$1,$B$2:$P$30)),$B$2:$P$30),IF(_xlpm.result&gt;150,"",_xlpm.result))</f>
        <v/>
      </c>
      <c r="F59" s="1" t="str" cm="1">
        <f t="array" ref="F59">_xlfn.LET(_xlpm.result,RANK(_xlfn.XLOOKUP($A59,$A$2:$A$30,_xlfn.XLOOKUP(F$33,$B$1:$P$1,$B$2:$P$30)),$B$2:$P$30),IF(_xlpm.result&gt;150,"",_xlpm.result))</f>
        <v/>
      </c>
      <c r="G59" s="1" t="str" cm="1">
        <f t="array" ref="G59">_xlfn.LET(_xlpm.result,RANK(_xlfn.XLOOKUP($A59,$A$2:$A$30,_xlfn.XLOOKUP(G$33,$B$1:$P$1,$B$2:$P$30)),$B$2:$P$30),IF(_xlpm.result&gt;150,"",_xlpm.result))</f>
        <v/>
      </c>
      <c r="H59" s="1" t="str" cm="1">
        <f t="array" ref="H59">_xlfn.LET(_xlpm.result,RANK(_xlfn.XLOOKUP($A59,$A$2:$A$30,_xlfn.XLOOKUP(H$33,$B$1:$P$1,$B$2:$P$30)),$B$2:$P$30),IF(_xlpm.result&gt;150,"",_xlpm.result))</f>
        <v/>
      </c>
      <c r="I59" s="1" t="str" cm="1">
        <f t="array" ref="I59">_xlfn.LET(_xlpm.result,RANK(_xlfn.XLOOKUP($A59,$A$2:$A$30,_xlfn.XLOOKUP(I$33,$B$1:$P$1,$B$2:$P$30)),$B$2:$P$30),IF(_xlpm.result&gt;150,"",_xlpm.result))</f>
        <v/>
      </c>
      <c r="J59" s="1" t="str" cm="1">
        <f t="array" ref="J59">_xlfn.LET(_xlpm.result,RANK(_xlfn.XLOOKUP($A59,$A$2:$A$30,_xlfn.XLOOKUP(J$33,$B$1:$P$1,$B$2:$P$30)),$B$2:$P$30),IF(_xlpm.result&gt;150,"",_xlpm.result))</f>
        <v/>
      </c>
      <c r="K59" s="1" t="str" cm="1">
        <f t="array" ref="K59">_xlfn.LET(_xlpm.result,RANK(_xlfn.XLOOKUP($A59,$A$2:$A$30,_xlfn.XLOOKUP(K$33,$B$1:$P$1,$B$2:$P$30)),$B$2:$P$30),IF(_xlpm.result&gt;150,"",_xlpm.result))</f>
        <v/>
      </c>
      <c r="L59" s="1" t="str" cm="1">
        <f t="array" ref="L59">_xlfn.LET(_xlpm.result,RANK(_xlfn.XLOOKUP($A59,$A$2:$A$30,_xlfn.XLOOKUP(L$33,$B$1:$P$1,$B$2:$P$30)),$B$2:$P$30),IF(_xlpm.result&gt;150,"",_xlpm.result))</f>
        <v/>
      </c>
      <c r="M59" s="1" t="str" cm="1">
        <f t="array" ref="M59">_xlfn.LET(_xlpm.result,RANK(_xlfn.XLOOKUP($A59,$A$2:$A$30,_xlfn.XLOOKUP(M$33,$B$1:$P$1,$B$2:$P$30)),$B$2:$P$30),IF(_xlpm.result&gt;150,"",_xlpm.result))</f>
        <v/>
      </c>
      <c r="N59" s="1" t="str" cm="1">
        <f t="array" ref="N59">_xlfn.LET(_xlpm.result,RANK(_xlfn.XLOOKUP($A59,$A$2:$A$30,_xlfn.XLOOKUP(N$33,$B$1:$P$1,$B$2:$P$30)),$B$2:$P$30),IF(_xlpm.result&gt;150,"",_xlpm.result))</f>
        <v/>
      </c>
      <c r="O59" s="1" t="str" cm="1">
        <f t="array" ref="O59">_xlfn.LET(_xlpm.result,RANK(_xlfn.XLOOKUP($A59,$A$2:$A$30,_xlfn.XLOOKUP(O$33,$B$1:$P$1,$B$2:$P$30)),$B$2:$P$30),IF(_xlpm.result&gt;150,"",_xlpm.result))</f>
        <v/>
      </c>
      <c r="P59" s="1" t="str" cm="1">
        <f t="array" ref="P59">_xlfn.LET(_xlpm.result,RANK(_xlfn.XLOOKUP($A59,$A$2:$A$30,_xlfn.XLOOKUP(P$33,$B$1:$P$1,$B$2:$P$30)),$B$2:$P$30),IF(_xlpm.result&gt;150,"",_xlpm.result))</f>
        <v/>
      </c>
      <c r="Q59">
        <f t="shared" si="0"/>
        <v>0</v>
      </c>
      <c r="R59" s="10">
        <f t="shared" si="1"/>
        <v>0</v>
      </c>
    </row>
    <row r="60" spans="1:19" x14ac:dyDescent="0.25">
      <c r="A60" t="s">
        <v>23</v>
      </c>
      <c r="B60" s="1" t="str" cm="1">
        <f t="array" ref="B60">_xlfn.LET(_xlpm.result,RANK(_xlfn.XLOOKUP($A60,$A$2:$A$30,_xlfn.XLOOKUP(B$33,$B$1:$P$1,$B$2:$P$30)),$B$2:$P$30),IF(_xlpm.result&gt;150,"",_xlpm.result))</f>
        <v/>
      </c>
      <c r="C60" s="1" t="str" cm="1">
        <f t="array" ref="C60">_xlfn.LET(_xlpm.result,RANK(_xlfn.XLOOKUP($A60,$A$2:$A$30,_xlfn.XLOOKUP(C$33,$B$1:$P$1,$B$2:$P$30)),$B$2:$P$30),IF(_xlpm.result&gt;150,"",_xlpm.result))</f>
        <v/>
      </c>
      <c r="D60" s="1" t="str" cm="1">
        <f t="array" ref="D60">_xlfn.LET(_xlpm.result,RANK(_xlfn.XLOOKUP($A60,$A$2:$A$30,_xlfn.XLOOKUP(D$33,$B$1:$P$1,$B$2:$P$30)),$B$2:$P$30),IF(_xlpm.result&gt;150,"",_xlpm.result))</f>
        <v/>
      </c>
      <c r="E60" s="1" t="str" cm="1">
        <f t="array" ref="E60">_xlfn.LET(_xlpm.result,RANK(_xlfn.XLOOKUP($A60,$A$2:$A$30,_xlfn.XLOOKUP(E$33,$B$1:$P$1,$B$2:$P$30)),$B$2:$P$30),IF(_xlpm.result&gt;150,"",_xlpm.result))</f>
        <v/>
      </c>
      <c r="F60" s="1" t="str" cm="1">
        <f t="array" ref="F60">_xlfn.LET(_xlpm.result,RANK(_xlfn.XLOOKUP($A60,$A$2:$A$30,_xlfn.XLOOKUP(F$33,$B$1:$P$1,$B$2:$P$30)),$B$2:$P$30),IF(_xlpm.result&gt;150,"",_xlpm.result))</f>
        <v/>
      </c>
      <c r="G60" s="1" t="str" cm="1">
        <f t="array" ref="G60">_xlfn.LET(_xlpm.result,RANK(_xlfn.XLOOKUP($A60,$A$2:$A$30,_xlfn.XLOOKUP(G$33,$B$1:$P$1,$B$2:$P$30)),$B$2:$P$30),IF(_xlpm.result&gt;150,"",_xlpm.result))</f>
        <v/>
      </c>
      <c r="H60" s="1" t="str" cm="1">
        <f t="array" ref="H60">_xlfn.LET(_xlpm.result,RANK(_xlfn.XLOOKUP($A60,$A$2:$A$30,_xlfn.XLOOKUP(H$33,$B$1:$P$1,$B$2:$P$30)),$B$2:$P$30),IF(_xlpm.result&gt;150,"",_xlpm.result))</f>
        <v/>
      </c>
      <c r="I60" s="1" t="str" cm="1">
        <f t="array" ref="I60">_xlfn.LET(_xlpm.result,RANK(_xlfn.XLOOKUP($A60,$A$2:$A$30,_xlfn.XLOOKUP(I$33,$B$1:$P$1,$B$2:$P$30)),$B$2:$P$30),IF(_xlpm.result&gt;150,"",_xlpm.result))</f>
        <v/>
      </c>
      <c r="J60" s="1" t="str" cm="1">
        <f t="array" ref="J60">_xlfn.LET(_xlpm.result,RANK(_xlfn.XLOOKUP($A60,$A$2:$A$30,_xlfn.XLOOKUP(J$33,$B$1:$P$1,$B$2:$P$30)),$B$2:$P$30),IF(_xlpm.result&gt;150,"",_xlpm.result))</f>
        <v/>
      </c>
      <c r="K60" s="1" t="str" cm="1">
        <f t="array" ref="K60">_xlfn.LET(_xlpm.result,RANK(_xlfn.XLOOKUP($A60,$A$2:$A$30,_xlfn.XLOOKUP(K$33,$B$1:$P$1,$B$2:$P$30)),$B$2:$P$30),IF(_xlpm.result&gt;150,"",_xlpm.result))</f>
        <v/>
      </c>
      <c r="L60" s="1" t="str" cm="1">
        <f t="array" ref="L60">_xlfn.LET(_xlpm.result,RANK(_xlfn.XLOOKUP($A60,$A$2:$A$30,_xlfn.XLOOKUP(L$33,$B$1:$P$1,$B$2:$P$30)),$B$2:$P$30),IF(_xlpm.result&gt;150,"",_xlpm.result))</f>
        <v/>
      </c>
      <c r="M60" s="1" t="str" cm="1">
        <f t="array" ref="M60">_xlfn.LET(_xlpm.result,RANK(_xlfn.XLOOKUP($A60,$A$2:$A$30,_xlfn.XLOOKUP(M$33,$B$1:$P$1,$B$2:$P$30)),$B$2:$P$30),IF(_xlpm.result&gt;150,"",_xlpm.result))</f>
        <v/>
      </c>
      <c r="N60" s="1" t="str" cm="1">
        <f t="array" ref="N60">_xlfn.LET(_xlpm.result,RANK(_xlfn.XLOOKUP($A60,$A$2:$A$30,_xlfn.XLOOKUP(N$33,$B$1:$P$1,$B$2:$P$30)),$B$2:$P$30),IF(_xlpm.result&gt;150,"",_xlpm.result))</f>
        <v/>
      </c>
      <c r="O60" s="1" t="str" cm="1">
        <f t="array" ref="O60">_xlfn.LET(_xlpm.result,RANK(_xlfn.XLOOKUP($A60,$A$2:$A$30,_xlfn.XLOOKUP(O$33,$B$1:$P$1,$B$2:$P$30)),$B$2:$P$30),IF(_xlpm.result&gt;150,"",_xlpm.result))</f>
        <v/>
      </c>
      <c r="P60" s="1" t="str" cm="1">
        <f t="array" ref="P60">_xlfn.LET(_xlpm.result,RANK(_xlfn.XLOOKUP($A60,$A$2:$A$30,_xlfn.XLOOKUP(P$33,$B$1:$P$1,$B$2:$P$30)),$B$2:$P$30),IF(_xlpm.result&gt;150,"",_xlpm.result))</f>
        <v/>
      </c>
      <c r="Q60">
        <f t="shared" si="0"/>
        <v>0</v>
      </c>
      <c r="R60" s="10">
        <f t="shared" si="1"/>
        <v>0</v>
      </c>
    </row>
    <row r="61" spans="1:19" x14ac:dyDescent="0.25">
      <c r="A61" t="s">
        <v>43</v>
      </c>
      <c r="B61" s="1" t="str" cm="1">
        <f t="array" ref="B61">_xlfn.LET(_xlpm.result,RANK(_xlfn.XLOOKUP($A61,$A$2:$A$30,_xlfn.XLOOKUP(B$33,$B$1:$P$1,$B$2:$P$30)),$B$2:$P$30),IF(_xlpm.result&gt;150,"",_xlpm.result))</f>
        <v/>
      </c>
      <c r="C61" s="1" t="str" cm="1">
        <f t="array" ref="C61">_xlfn.LET(_xlpm.result,RANK(_xlfn.XLOOKUP($A61,$A$2:$A$30,_xlfn.XLOOKUP(C$33,$B$1:$P$1,$B$2:$P$30)),$B$2:$P$30),IF(_xlpm.result&gt;150,"",_xlpm.result))</f>
        <v/>
      </c>
      <c r="D61" s="1" t="str" cm="1">
        <f t="array" ref="D61">_xlfn.LET(_xlpm.result,RANK(_xlfn.XLOOKUP($A61,$A$2:$A$30,_xlfn.XLOOKUP(D$33,$B$1:$P$1,$B$2:$P$30)),$B$2:$P$30),IF(_xlpm.result&gt;150,"",_xlpm.result))</f>
        <v/>
      </c>
      <c r="E61" s="1" t="str" cm="1">
        <f t="array" ref="E61">_xlfn.LET(_xlpm.result,RANK(_xlfn.XLOOKUP($A61,$A$2:$A$30,_xlfn.XLOOKUP(E$33,$B$1:$P$1,$B$2:$P$30)),$B$2:$P$30),IF(_xlpm.result&gt;150,"",_xlpm.result))</f>
        <v/>
      </c>
      <c r="F61" s="1" t="str" cm="1">
        <f t="array" ref="F61">_xlfn.LET(_xlpm.result,RANK(_xlfn.XLOOKUP($A61,$A$2:$A$30,_xlfn.XLOOKUP(F$33,$B$1:$P$1,$B$2:$P$30)),$B$2:$P$30),IF(_xlpm.result&gt;150,"",_xlpm.result))</f>
        <v/>
      </c>
      <c r="G61" s="1" t="str" cm="1">
        <f t="array" ref="G61">_xlfn.LET(_xlpm.result,RANK(_xlfn.XLOOKUP($A61,$A$2:$A$30,_xlfn.XLOOKUP(G$33,$B$1:$P$1,$B$2:$P$30)),$B$2:$P$30),IF(_xlpm.result&gt;150,"",_xlpm.result))</f>
        <v/>
      </c>
      <c r="H61" s="1" t="str" cm="1">
        <f t="array" ref="H61">_xlfn.LET(_xlpm.result,RANK(_xlfn.XLOOKUP($A61,$A$2:$A$30,_xlfn.XLOOKUP(H$33,$B$1:$P$1,$B$2:$P$30)),$B$2:$P$30),IF(_xlpm.result&gt;150,"",_xlpm.result))</f>
        <v/>
      </c>
      <c r="I61" s="1" t="str" cm="1">
        <f t="array" ref="I61">_xlfn.LET(_xlpm.result,RANK(_xlfn.XLOOKUP($A61,$A$2:$A$30,_xlfn.XLOOKUP(I$33,$B$1:$P$1,$B$2:$P$30)),$B$2:$P$30),IF(_xlpm.result&gt;150,"",_xlpm.result))</f>
        <v/>
      </c>
      <c r="J61" s="1" t="str" cm="1">
        <f t="array" ref="J61">_xlfn.LET(_xlpm.result,RANK(_xlfn.XLOOKUP($A61,$A$2:$A$30,_xlfn.XLOOKUP(J$33,$B$1:$P$1,$B$2:$P$30)),$B$2:$P$30),IF(_xlpm.result&gt;150,"",_xlpm.result))</f>
        <v/>
      </c>
      <c r="K61" s="1" t="str" cm="1">
        <f t="array" ref="K61">_xlfn.LET(_xlpm.result,RANK(_xlfn.XLOOKUP($A61,$A$2:$A$30,_xlfn.XLOOKUP(K$33,$B$1:$P$1,$B$2:$P$30)),$B$2:$P$30),IF(_xlpm.result&gt;150,"",_xlpm.result))</f>
        <v/>
      </c>
      <c r="L61" s="1" t="str" cm="1">
        <f t="array" ref="L61">_xlfn.LET(_xlpm.result,RANK(_xlfn.XLOOKUP($A61,$A$2:$A$30,_xlfn.XLOOKUP(L$33,$B$1:$P$1,$B$2:$P$30)),$B$2:$P$30),IF(_xlpm.result&gt;150,"",_xlpm.result))</f>
        <v/>
      </c>
      <c r="M61" s="1" t="str" cm="1">
        <f t="array" ref="M61">_xlfn.LET(_xlpm.result,RANK(_xlfn.XLOOKUP($A61,$A$2:$A$30,_xlfn.XLOOKUP(M$33,$B$1:$P$1,$B$2:$P$30)),$B$2:$P$30),IF(_xlpm.result&gt;150,"",_xlpm.result))</f>
        <v/>
      </c>
      <c r="N61" s="1" t="str" cm="1">
        <f t="array" ref="N61">_xlfn.LET(_xlpm.result,RANK(_xlfn.XLOOKUP($A61,$A$2:$A$30,_xlfn.XLOOKUP(N$33,$B$1:$P$1,$B$2:$P$30)),$B$2:$P$30),IF(_xlpm.result&gt;150,"",_xlpm.result))</f>
        <v/>
      </c>
      <c r="O61" s="1" t="str" cm="1">
        <f t="array" ref="O61">_xlfn.LET(_xlpm.result,RANK(_xlfn.XLOOKUP($A61,$A$2:$A$30,_xlfn.XLOOKUP(O$33,$B$1:$P$1,$B$2:$P$30)),$B$2:$P$30),IF(_xlpm.result&gt;150,"",_xlpm.result))</f>
        <v/>
      </c>
      <c r="P61" s="1" t="str" cm="1">
        <f t="array" ref="P61">_xlfn.LET(_xlpm.result,RANK(_xlfn.XLOOKUP($A61,$A$2:$A$30,_xlfn.XLOOKUP(P$33,$B$1:$P$1,$B$2:$P$30)),$B$2:$P$30),IF(_xlpm.result&gt;150,"",_xlpm.result))</f>
        <v/>
      </c>
      <c r="Q61">
        <f t="shared" si="0"/>
        <v>0</v>
      </c>
      <c r="R61" s="10">
        <f t="shared" si="1"/>
        <v>0</v>
      </c>
    </row>
    <row r="62" spans="1:19" x14ac:dyDescent="0.25">
      <c r="A62" t="s">
        <v>38</v>
      </c>
      <c r="B62" s="1" t="str" cm="1">
        <f t="array" ref="B62">_xlfn.LET(_xlpm.result,RANK(_xlfn.XLOOKUP($A62,$A$2:$A$30,_xlfn.XLOOKUP(B$33,$B$1:$P$1,$B$2:$P$30)),$B$2:$P$30),IF(_xlpm.result&gt;150,"",_xlpm.result))</f>
        <v/>
      </c>
      <c r="C62" s="1" t="str" cm="1">
        <f t="array" ref="C62">_xlfn.LET(_xlpm.result,RANK(_xlfn.XLOOKUP($A62,$A$2:$A$30,_xlfn.XLOOKUP(C$33,$B$1:$P$1,$B$2:$P$30)),$B$2:$P$30),IF(_xlpm.result&gt;150,"",_xlpm.result))</f>
        <v/>
      </c>
      <c r="D62" s="1" t="str" cm="1">
        <f t="array" ref="D62">_xlfn.LET(_xlpm.result,RANK(_xlfn.XLOOKUP($A62,$A$2:$A$30,_xlfn.XLOOKUP(D$33,$B$1:$P$1,$B$2:$P$30)),$B$2:$P$30),IF(_xlpm.result&gt;150,"",_xlpm.result))</f>
        <v/>
      </c>
      <c r="E62" s="1" t="str" cm="1">
        <f t="array" ref="E62">_xlfn.LET(_xlpm.result,RANK(_xlfn.XLOOKUP($A62,$A$2:$A$30,_xlfn.XLOOKUP(E$33,$B$1:$P$1,$B$2:$P$30)),$B$2:$P$30),IF(_xlpm.result&gt;150,"",_xlpm.result))</f>
        <v/>
      </c>
      <c r="F62" s="1" t="str" cm="1">
        <f t="array" ref="F62">_xlfn.LET(_xlpm.result,RANK(_xlfn.XLOOKUP($A62,$A$2:$A$30,_xlfn.XLOOKUP(F$33,$B$1:$P$1,$B$2:$P$30)),$B$2:$P$30),IF(_xlpm.result&gt;150,"",_xlpm.result))</f>
        <v/>
      </c>
      <c r="G62" s="1" t="str" cm="1">
        <f t="array" ref="G62">_xlfn.LET(_xlpm.result,RANK(_xlfn.XLOOKUP($A62,$A$2:$A$30,_xlfn.XLOOKUP(G$33,$B$1:$P$1,$B$2:$P$30)),$B$2:$P$30),IF(_xlpm.result&gt;150,"",_xlpm.result))</f>
        <v/>
      </c>
      <c r="H62" s="1" t="str" cm="1">
        <f t="array" ref="H62">_xlfn.LET(_xlpm.result,RANK(_xlfn.XLOOKUP($A62,$A$2:$A$30,_xlfn.XLOOKUP(H$33,$B$1:$P$1,$B$2:$P$30)),$B$2:$P$30),IF(_xlpm.result&gt;150,"",_xlpm.result))</f>
        <v/>
      </c>
      <c r="I62" s="1" t="str" cm="1">
        <f t="array" ref="I62">_xlfn.LET(_xlpm.result,RANK(_xlfn.XLOOKUP($A62,$A$2:$A$30,_xlfn.XLOOKUP(I$33,$B$1:$P$1,$B$2:$P$30)),$B$2:$P$30),IF(_xlpm.result&gt;150,"",_xlpm.result))</f>
        <v/>
      </c>
      <c r="J62" s="1" t="str" cm="1">
        <f t="array" ref="J62">_xlfn.LET(_xlpm.result,RANK(_xlfn.XLOOKUP($A62,$A$2:$A$30,_xlfn.XLOOKUP(J$33,$B$1:$P$1,$B$2:$P$30)),$B$2:$P$30),IF(_xlpm.result&gt;150,"",_xlpm.result))</f>
        <v/>
      </c>
      <c r="K62" s="1" t="str" cm="1">
        <f t="array" ref="K62">_xlfn.LET(_xlpm.result,RANK(_xlfn.XLOOKUP($A62,$A$2:$A$30,_xlfn.XLOOKUP(K$33,$B$1:$P$1,$B$2:$P$30)),$B$2:$P$30),IF(_xlpm.result&gt;150,"",_xlpm.result))</f>
        <v/>
      </c>
      <c r="L62" s="1" t="str" cm="1">
        <f t="array" ref="L62">_xlfn.LET(_xlpm.result,RANK(_xlfn.XLOOKUP($A62,$A$2:$A$30,_xlfn.XLOOKUP(L$33,$B$1:$P$1,$B$2:$P$30)),$B$2:$P$30),IF(_xlpm.result&gt;150,"",_xlpm.result))</f>
        <v/>
      </c>
      <c r="M62" s="1" t="str" cm="1">
        <f t="array" ref="M62">_xlfn.LET(_xlpm.result,RANK(_xlfn.XLOOKUP($A62,$A$2:$A$30,_xlfn.XLOOKUP(M$33,$B$1:$P$1,$B$2:$P$30)),$B$2:$P$30),IF(_xlpm.result&gt;150,"",_xlpm.result))</f>
        <v/>
      </c>
      <c r="N62" s="1" t="str" cm="1">
        <f t="array" ref="N62">_xlfn.LET(_xlpm.result,RANK(_xlfn.XLOOKUP($A62,$A$2:$A$30,_xlfn.XLOOKUP(N$33,$B$1:$P$1,$B$2:$P$30)),$B$2:$P$30),IF(_xlpm.result&gt;150,"",_xlpm.result))</f>
        <v/>
      </c>
      <c r="O62" s="1" t="str" cm="1">
        <f t="array" ref="O62">_xlfn.LET(_xlpm.result,RANK(_xlfn.XLOOKUP($A62,$A$2:$A$30,_xlfn.XLOOKUP(O$33,$B$1:$P$1,$B$2:$P$30)),$B$2:$P$30),IF(_xlpm.result&gt;150,"",_xlpm.result))</f>
        <v/>
      </c>
      <c r="P62" s="1" t="str" cm="1">
        <f t="array" ref="P62">_xlfn.LET(_xlpm.result,RANK(_xlfn.XLOOKUP($A62,$A$2:$A$30,_xlfn.XLOOKUP(P$33,$B$1:$P$1,$B$2:$P$30)),$B$2:$P$30),IF(_xlpm.result&gt;150,"",_xlpm.result))</f>
        <v/>
      </c>
      <c r="Q62">
        <f t="shared" si="0"/>
        <v>0</v>
      </c>
      <c r="R62" s="10">
        <f t="shared" si="1"/>
        <v>0</v>
      </c>
    </row>
    <row r="63" spans="1:19" x14ac:dyDescent="0.25">
      <c r="B63">
        <v>41</v>
      </c>
    </row>
  </sheetData>
  <autoFilter ref="A33:R33" xr:uid="{67B212D8-D887-4C46-8EC3-54AF175377AE}">
    <sortState xmlns:xlrd2="http://schemas.microsoft.com/office/spreadsheetml/2017/richdata2" ref="A34:R62">
      <sortCondition descending="1" ref="R33"/>
    </sortState>
  </autoFilter>
  <conditionalFormatting sqref="B2:P2"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P3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P4"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P5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P6"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P7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P8"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P9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P10"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P11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P12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P13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P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P15"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P16"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P17"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P18"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P19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P20"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P21"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P22"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P23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P24"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P25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P26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P27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P28"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9:P29"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P30"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4:P62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77A0-7D21-425B-A240-22D447E1FEA2}">
  <dimension ref="A1:S99"/>
  <sheetViews>
    <sheetView topLeftCell="A66" zoomScale="85" zoomScaleNormal="85" workbookViewId="0">
      <selection activeCell="C90" sqref="C90"/>
    </sheetView>
  </sheetViews>
  <sheetFormatPr defaultRowHeight="15" x14ac:dyDescent="0.25"/>
  <cols>
    <col min="1" max="1" width="24.28515625" customWidth="1"/>
    <col min="2" max="6" width="9.42578125" bestFit="1" customWidth="1"/>
    <col min="7" max="13" width="10.42578125" bestFit="1" customWidth="1"/>
    <col min="14" max="14" width="10.7109375" bestFit="1" customWidth="1"/>
    <col min="15" max="15" width="10.42578125" bestFit="1" customWidth="1"/>
    <col min="16" max="16" width="10.5703125" bestFit="1" customWidth="1"/>
  </cols>
  <sheetData>
    <row r="1" spans="1:15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</row>
    <row r="2" spans="1:15" x14ac:dyDescent="0.25">
      <c r="A2" t="s">
        <v>19</v>
      </c>
      <c r="B2">
        <v>8</v>
      </c>
      <c r="C2">
        <v>-2.2999999999999998</v>
      </c>
      <c r="D2">
        <v>-5.6</v>
      </c>
      <c r="F2">
        <v>-1.4</v>
      </c>
      <c r="G2">
        <v>-1.9</v>
      </c>
      <c r="H2">
        <v>-2.8</v>
      </c>
      <c r="I2">
        <v>-0.5</v>
      </c>
      <c r="J2">
        <v>-1.8</v>
      </c>
      <c r="K2">
        <v>-3.9</v>
      </c>
      <c r="L2">
        <v>-0.9</v>
      </c>
      <c r="M2">
        <v>1</v>
      </c>
      <c r="N2">
        <v>5.8</v>
      </c>
      <c r="O2">
        <v>-3.9</v>
      </c>
    </row>
    <row r="3" spans="1:15" x14ac:dyDescent="0.25">
      <c r="A3" t="s">
        <v>20</v>
      </c>
      <c r="C3">
        <v>-6.9</v>
      </c>
      <c r="D3">
        <v>-3.8</v>
      </c>
      <c r="E3">
        <v>1.4</v>
      </c>
      <c r="F3">
        <v>-1.4</v>
      </c>
      <c r="G3">
        <v>-3.3</v>
      </c>
      <c r="H3">
        <v>2.5999999999999899</v>
      </c>
      <c r="I3">
        <v>4.2</v>
      </c>
      <c r="J3">
        <v>2.7</v>
      </c>
      <c r="K3">
        <v>-2.9</v>
      </c>
      <c r="L3">
        <v>-2.8</v>
      </c>
      <c r="M3">
        <v>-1</v>
      </c>
      <c r="N3">
        <v>-4.9000000000000004</v>
      </c>
      <c r="O3">
        <v>4.2</v>
      </c>
    </row>
    <row r="4" spans="1:15" x14ac:dyDescent="0.25">
      <c r="A4" t="s">
        <v>21</v>
      </c>
      <c r="B4">
        <v>0.6</v>
      </c>
      <c r="C4">
        <v>-2.4</v>
      </c>
      <c r="E4">
        <v>1.7</v>
      </c>
      <c r="F4">
        <v>3.9</v>
      </c>
      <c r="G4">
        <v>-0.5</v>
      </c>
      <c r="H4">
        <v>4.5999999999999996</v>
      </c>
      <c r="I4">
        <v>5.2</v>
      </c>
      <c r="J4">
        <v>7.3</v>
      </c>
      <c r="K4">
        <v>9.9999999999999895E-2</v>
      </c>
      <c r="L4">
        <v>7.3</v>
      </c>
      <c r="M4">
        <v>1.1000000000000001</v>
      </c>
      <c r="N4">
        <v>-4.0999999999999996</v>
      </c>
      <c r="O4">
        <v>9.9999999999999895E-2</v>
      </c>
    </row>
    <row r="5" spans="1:15" x14ac:dyDescent="0.25">
      <c r="A5" t="s">
        <v>22</v>
      </c>
      <c r="B5">
        <v>5.5</v>
      </c>
      <c r="C5">
        <v>6.9</v>
      </c>
      <c r="E5">
        <v>9.5</v>
      </c>
      <c r="F5">
        <v>-1.19999999999999</v>
      </c>
      <c r="G5">
        <v>8.3000000000000007</v>
      </c>
      <c r="H5">
        <v>4.0999999999999996</v>
      </c>
      <c r="I5">
        <v>5</v>
      </c>
      <c r="J5">
        <v>4.5</v>
      </c>
      <c r="K5">
        <v>11.7</v>
      </c>
      <c r="L5">
        <v>5.5</v>
      </c>
      <c r="M5">
        <v>9</v>
      </c>
      <c r="N5">
        <v>0.1</v>
      </c>
      <c r="O5">
        <v>9.6</v>
      </c>
    </row>
    <row r="6" spans="1:15" x14ac:dyDescent="0.25">
      <c r="A6" t="s">
        <v>23</v>
      </c>
      <c r="B6">
        <v>-1.19999999999999</v>
      </c>
      <c r="C6">
        <v>-5</v>
      </c>
      <c r="D6">
        <v>0.1</v>
      </c>
      <c r="E6">
        <v>-9.5</v>
      </c>
      <c r="F6">
        <v>-9.1999999999999993</v>
      </c>
      <c r="G6">
        <v>1.6</v>
      </c>
      <c r="H6">
        <v>-2.5999999999999899</v>
      </c>
      <c r="I6">
        <v>-6.3999999999999897</v>
      </c>
      <c r="J6">
        <v>-7.5</v>
      </c>
      <c r="L6">
        <v>1.6</v>
      </c>
      <c r="M6">
        <v>-5.3999999999999897</v>
      </c>
      <c r="N6">
        <v>-5.5</v>
      </c>
      <c r="O6">
        <v>-5.3999999999999897</v>
      </c>
    </row>
    <row r="7" spans="1:15" x14ac:dyDescent="0.25">
      <c r="A7" t="s">
        <v>24</v>
      </c>
      <c r="C7">
        <v>-2.8</v>
      </c>
      <c r="D7">
        <v>5</v>
      </c>
      <c r="E7">
        <v>-1.7</v>
      </c>
      <c r="F7">
        <v>5.6</v>
      </c>
      <c r="G7">
        <v>4.7</v>
      </c>
      <c r="H7">
        <v>-2.2000000000000002</v>
      </c>
      <c r="I7">
        <v>-1.6</v>
      </c>
      <c r="J7">
        <v>-6</v>
      </c>
      <c r="K7">
        <v>-5.8</v>
      </c>
      <c r="L7">
        <v>2.8999999999999901</v>
      </c>
      <c r="M7">
        <v>-5.8</v>
      </c>
      <c r="N7">
        <v>-3</v>
      </c>
      <c r="O7">
        <v>-6.9</v>
      </c>
    </row>
    <row r="8" spans="1:15" x14ac:dyDescent="0.25">
      <c r="A8" t="s">
        <v>25</v>
      </c>
      <c r="B8">
        <v>-12.5</v>
      </c>
      <c r="C8">
        <v>-11.399999999999901</v>
      </c>
      <c r="D8">
        <v>-7.2</v>
      </c>
      <c r="E8">
        <v>-2.0999999999999899</v>
      </c>
      <c r="F8">
        <v>-5.6</v>
      </c>
      <c r="H8">
        <v>-7.2</v>
      </c>
      <c r="I8">
        <v>-6.2</v>
      </c>
      <c r="J8">
        <v>-7.3</v>
      </c>
      <c r="K8">
        <v>-11.7</v>
      </c>
      <c r="L8">
        <v>-7.3</v>
      </c>
      <c r="M8">
        <v>-3.4</v>
      </c>
      <c r="N8">
        <v>-5.8</v>
      </c>
      <c r="O8">
        <v>-2.7</v>
      </c>
    </row>
    <row r="9" spans="1:15" x14ac:dyDescent="0.25">
      <c r="A9" t="s">
        <v>26</v>
      </c>
      <c r="B9">
        <v>-5.0999999999999996</v>
      </c>
      <c r="C9">
        <v>-4.5</v>
      </c>
      <c r="D9">
        <v>-0.69999999999999896</v>
      </c>
      <c r="E9">
        <v>-3.4999999999999898</v>
      </c>
      <c r="G9">
        <v>0.6</v>
      </c>
      <c r="H9">
        <v>-4.5999999999999996</v>
      </c>
      <c r="I9">
        <v>-1.3999999999999899</v>
      </c>
      <c r="J9">
        <v>-5.8999999999999897</v>
      </c>
      <c r="K9">
        <v>4.9000000000000004</v>
      </c>
      <c r="L9">
        <v>-2.8999999999999901</v>
      </c>
      <c r="M9">
        <v>-9</v>
      </c>
      <c r="N9">
        <v>-4.5</v>
      </c>
      <c r="O9">
        <v>2.7</v>
      </c>
    </row>
    <row r="10" spans="1:15" x14ac:dyDescent="0.25">
      <c r="A10" t="s">
        <v>27</v>
      </c>
      <c r="B10">
        <v>5.0999999999999996</v>
      </c>
      <c r="C10">
        <v>5</v>
      </c>
      <c r="D10">
        <v>-1.2</v>
      </c>
      <c r="E10">
        <v>-1.9</v>
      </c>
      <c r="F10">
        <v>1.4</v>
      </c>
      <c r="H10">
        <v>3.1</v>
      </c>
      <c r="I10">
        <v>-4.3999999999999897</v>
      </c>
      <c r="J10">
        <v>-5.6999999999999904</v>
      </c>
      <c r="K10">
        <v>-5.3</v>
      </c>
      <c r="L10">
        <v>-0.6</v>
      </c>
      <c r="M10">
        <v>-3</v>
      </c>
      <c r="N10">
        <v>-1.2</v>
      </c>
      <c r="O10">
        <v>6.3</v>
      </c>
    </row>
    <row r="11" spans="1:15" x14ac:dyDescent="0.25">
      <c r="A11" t="s">
        <v>29</v>
      </c>
      <c r="B11">
        <v>12.5</v>
      </c>
      <c r="C11">
        <v>-0.39999999999999902</v>
      </c>
      <c r="D11">
        <v>4.9000000000000004</v>
      </c>
      <c r="F11">
        <v>4.7</v>
      </c>
      <c r="G11">
        <v>4.0999999999999996</v>
      </c>
      <c r="H11">
        <v>0.9</v>
      </c>
      <c r="I11">
        <v>11.6</v>
      </c>
      <c r="J11">
        <v>1.1000000000000001</v>
      </c>
      <c r="K11">
        <v>5.3</v>
      </c>
      <c r="L11">
        <v>2.8</v>
      </c>
      <c r="M11">
        <v>5.3</v>
      </c>
      <c r="N11">
        <v>4.7</v>
      </c>
      <c r="O11">
        <v>6.9</v>
      </c>
    </row>
    <row r="12" spans="1:15" x14ac:dyDescent="0.25">
      <c r="A12" t="s">
        <v>30</v>
      </c>
      <c r="C12">
        <v>11.399999999999901</v>
      </c>
      <c r="D12">
        <v>5.6</v>
      </c>
      <c r="E12">
        <v>4.1999999999999904</v>
      </c>
      <c r="F12">
        <v>9.1999999999999993</v>
      </c>
      <c r="G12">
        <v>-0.2</v>
      </c>
      <c r="H12">
        <v>10.5</v>
      </c>
      <c r="I12">
        <v>3.5999999999999899</v>
      </c>
      <c r="J12">
        <v>-1.1000000000000001</v>
      </c>
      <c r="K12">
        <v>5.8</v>
      </c>
      <c r="L12">
        <v>2.2999999999999998</v>
      </c>
      <c r="M12">
        <v>5.8</v>
      </c>
      <c r="N12">
        <v>4.0999999999999996</v>
      </c>
      <c r="O12">
        <v>3.5999999999999899</v>
      </c>
    </row>
    <row r="13" spans="1:15" x14ac:dyDescent="0.25">
      <c r="A13" t="s">
        <v>33</v>
      </c>
      <c r="B13">
        <v>-6.6</v>
      </c>
      <c r="C13">
        <v>-1.4</v>
      </c>
      <c r="D13">
        <v>-3.4</v>
      </c>
      <c r="F13">
        <v>2.2000000000000002</v>
      </c>
      <c r="G13">
        <v>-0.4</v>
      </c>
      <c r="H13">
        <v>-3.9</v>
      </c>
      <c r="I13">
        <v>0.5</v>
      </c>
      <c r="J13">
        <v>8.5</v>
      </c>
      <c r="K13">
        <v>-1.8</v>
      </c>
      <c r="L13">
        <v>4.2</v>
      </c>
      <c r="M13">
        <v>-2.8</v>
      </c>
      <c r="N13">
        <v>-1.8</v>
      </c>
      <c r="O13">
        <v>8.5</v>
      </c>
    </row>
    <row r="14" spans="1:15" x14ac:dyDescent="0.25">
      <c r="A14" t="s">
        <v>34</v>
      </c>
      <c r="B14">
        <v>6.6</v>
      </c>
      <c r="C14">
        <v>0.39999999999999902</v>
      </c>
      <c r="D14">
        <v>8.8000000000000007</v>
      </c>
      <c r="E14">
        <v>4.5</v>
      </c>
      <c r="F14">
        <v>1.19999999999999</v>
      </c>
      <c r="H14">
        <v>3.8</v>
      </c>
      <c r="I14">
        <v>4.8</v>
      </c>
      <c r="J14">
        <v>5.6999999999999904</v>
      </c>
      <c r="K14">
        <v>6.1999999999999904</v>
      </c>
      <c r="L14">
        <v>2.69999999999999</v>
      </c>
      <c r="M14">
        <v>15.1</v>
      </c>
      <c r="N14">
        <v>3.8</v>
      </c>
      <c r="O14">
        <v>8.8000000000000007</v>
      </c>
    </row>
    <row r="15" spans="1:15" x14ac:dyDescent="0.25">
      <c r="A15" t="s">
        <v>35</v>
      </c>
      <c r="B15">
        <v>-4</v>
      </c>
      <c r="C15">
        <v>6.3</v>
      </c>
      <c r="D15">
        <v>-8.8000000000000007</v>
      </c>
      <c r="F15">
        <v>-2.2000000000000002</v>
      </c>
      <c r="G15">
        <v>-5</v>
      </c>
      <c r="H15">
        <v>-3.1</v>
      </c>
      <c r="I15">
        <v>1.3999999999999899</v>
      </c>
      <c r="J15">
        <v>-6.1</v>
      </c>
      <c r="K15">
        <v>-5</v>
      </c>
      <c r="L15">
        <v>-7.5</v>
      </c>
      <c r="M15">
        <v>-2.6</v>
      </c>
      <c r="N15">
        <v>3.2</v>
      </c>
      <c r="O15">
        <v>-8.8000000000000007</v>
      </c>
    </row>
    <row r="16" spans="1:15" x14ac:dyDescent="0.25">
      <c r="A16" t="s">
        <v>36</v>
      </c>
      <c r="B16">
        <v>1.7999999999999901</v>
      </c>
      <c r="C16">
        <v>6.8</v>
      </c>
      <c r="D16">
        <v>2.0999999999999899</v>
      </c>
      <c r="E16">
        <v>2.4</v>
      </c>
      <c r="F16">
        <v>12.4</v>
      </c>
      <c r="G16">
        <v>3</v>
      </c>
      <c r="H16">
        <v>3.9</v>
      </c>
      <c r="J16">
        <v>6.1</v>
      </c>
      <c r="K16">
        <v>-1.4</v>
      </c>
      <c r="L16">
        <v>-2.69999999999999</v>
      </c>
      <c r="M16">
        <v>3</v>
      </c>
      <c r="N16">
        <v>3.5</v>
      </c>
      <c r="O16">
        <v>1.1000000000000001</v>
      </c>
    </row>
    <row r="17" spans="1:19" x14ac:dyDescent="0.25">
      <c r="A17" t="s">
        <v>38</v>
      </c>
      <c r="B17">
        <v>1.19999999999999</v>
      </c>
      <c r="C17">
        <v>-6.8</v>
      </c>
      <c r="D17">
        <v>0.69999999999999896</v>
      </c>
      <c r="E17">
        <v>-1.4</v>
      </c>
      <c r="F17">
        <v>-3.9</v>
      </c>
      <c r="G17">
        <v>-8.3000000000000007</v>
      </c>
      <c r="H17">
        <v>-5</v>
      </c>
      <c r="J17">
        <v>2.8</v>
      </c>
      <c r="K17">
        <v>1.3</v>
      </c>
      <c r="L17">
        <v>-3.8</v>
      </c>
      <c r="M17">
        <v>3.4</v>
      </c>
      <c r="N17">
        <v>-4.2</v>
      </c>
      <c r="O17">
        <v>-2.8</v>
      </c>
    </row>
    <row r="18" spans="1:19" x14ac:dyDescent="0.25">
      <c r="A18" t="s">
        <v>39</v>
      </c>
      <c r="B18">
        <v>5.0999999999999996</v>
      </c>
      <c r="D18">
        <v>-3.8</v>
      </c>
      <c r="E18">
        <v>-2.4</v>
      </c>
      <c r="F18">
        <v>-4.7</v>
      </c>
      <c r="G18">
        <v>0.5</v>
      </c>
      <c r="H18">
        <v>2.2000000000000002</v>
      </c>
      <c r="I18">
        <v>-3.5999999999999899</v>
      </c>
      <c r="J18">
        <v>9.9999999999999895E-2</v>
      </c>
      <c r="K18">
        <v>-0.6</v>
      </c>
      <c r="L18">
        <v>0.6</v>
      </c>
      <c r="M18">
        <v>6.9</v>
      </c>
      <c r="N18">
        <v>-4.7</v>
      </c>
      <c r="O18">
        <v>-3.5999999999999899</v>
      </c>
    </row>
    <row r="19" spans="1:19" x14ac:dyDescent="0.25">
      <c r="A19" t="s">
        <v>40</v>
      </c>
      <c r="B19">
        <v>-5.5</v>
      </c>
      <c r="C19">
        <v>5.6</v>
      </c>
      <c r="D19">
        <v>8.4</v>
      </c>
      <c r="E19">
        <v>3.4999999999999898</v>
      </c>
      <c r="F19">
        <v>1.4</v>
      </c>
      <c r="G19">
        <v>-1.4</v>
      </c>
      <c r="H19">
        <v>4.0999999999999996</v>
      </c>
      <c r="I19">
        <v>6.2</v>
      </c>
      <c r="J19">
        <v>5.3</v>
      </c>
      <c r="L19">
        <v>-5.5</v>
      </c>
      <c r="M19">
        <v>-1.1000000000000001</v>
      </c>
      <c r="N19">
        <v>4.0999999999999996</v>
      </c>
      <c r="O19">
        <v>2.8</v>
      </c>
    </row>
    <row r="20" spans="1:19" x14ac:dyDescent="0.25">
      <c r="A20" t="s">
        <v>41</v>
      </c>
      <c r="B20">
        <v>-0.29999999999999899</v>
      </c>
      <c r="C20">
        <v>-5.6</v>
      </c>
      <c r="D20">
        <v>-5</v>
      </c>
      <c r="E20">
        <v>-7</v>
      </c>
      <c r="F20">
        <v>-9.1</v>
      </c>
      <c r="G20">
        <v>-1.6</v>
      </c>
      <c r="I20">
        <v>-4.2</v>
      </c>
      <c r="J20">
        <v>-2.8</v>
      </c>
      <c r="K20">
        <v>-7</v>
      </c>
      <c r="L20">
        <v>-1.6</v>
      </c>
      <c r="M20">
        <v>-1.5</v>
      </c>
      <c r="N20">
        <v>2.8</v>
      </c>
      <c r="O20">
        <v>-4.2</v>
      </c>
    </row>
    <row r="21" spans="1:19" x14ac:dyDescent="0.25">
      <c r="A21" t="s">
        <v>42</v>
      </c>
      <c r="B21">
        <v>0.29999999999999899</v>
      </c>
      <c r="C21">
        <v>-10.7</v>
      </c>
      <c r="D21">
        <v>-8.1999999999999993</v>
      </c>
      <c r="E21">
        <v>-10.7</v>
      </c>
      <c r="F21">
        <v>-7.7</v>
      </c>
      <c r="G21">
        <v>-4.7</v>
      </c>
      <c r="H21">
        <v>-10.5</v>
      </c>
      <c r="I21">
        <v>-11.6</v>
      </c>
      <c r="J21">
        <v>-5.3</v>
      </c>
      <c r="L21">
        <v>-7.5</v>
      </c>
      <c r="M21">
        <v>-6.9</v>
      </c>
      <c r="N21">
        <v>-3.2</v>
      </c>
      <c r="O21">
        <v>-6.3</v>
      </c>
    </row>
    <row r="22" spans="1:19" x14ac:dyDescent="0.25">
      <c r="A22" t="s">
        <v>43</v>
      </c>
      <c r="B22">
        <v>-5.0999999999999996</v>
      </c>
      <c r="C22">
        <v>-7</v>
      </c>
      <c r="D22">
        <v>-0.1</v>
      </c>
      <c r="E22">
        <v>2.0999999999999899</v>
      </c>
      <c r="G22">
        <v>-0.6</v>
      </c>
      <c r="H22">
        <v>-4.0999999999999996</v>
      </c>
      <c r="I22">
        <v>-5.2</v>
      </c>
      <c r="J22">
        <v>-2.7</v>
      </c>
      <c r="K22">
        <v>-1.3</v>
      </c>
      <c r="L22">
        <v>-4.2</v>
      </c>
      <c r="M22">
        <v>1.5</v>
      </c>
      <c r="N22">
        <v>-4.0999999999999996</v>
      </c>
      <c r="O22">
        <v>-9.6</v>
      </c>
    </row>
    <row r="23" spans="1:19" x14ac:dyDescent="0.25">
      <c r="A23" t="s">
        <v>44</v>
      </c>
      <c r="B23">
        <v>2.5</v>
      </c>
      <c r="C23">
        <v>10.7</v>
      </c>
      <c r="D23">
        <v>3.8</v>
      </c>
      <c r="E23">
        <v>10.7</v>
      </c>
      <c r="G23">
        <v>0.2</v>
      </c>
      <c r="H23">
        <v>-0.9</v>
      </c>
      <c r="I23">
        <v>4.3999999999999897</v>
      </c>
      <c r="J23">
        <v>6</v>
      </c>
      <c r="K23">
        <v>1.4</v>
      </c>
      <c r="L23">
        <v>7.5</v>
      </c>
      <c r="M23">
        <v>3.19999999999999</v>
      </c>
      <c r="N23">
        <v>-0.1</v>
      </c>
      <c r="O23">
        <v>3.19999999999999</v>
      </c>
    </row>
    <row r="24" spans="1:19" x14ac:dyDescent="0.25">
      <c r="A24" t="s">
        <v>45</v>
      </c>
      <c r="C24">
        <v>4.5</v>
      </c>
      <c r="D24">
        <v>7.2</v>
      </c>
      <c r="E24">
        <v>-4.1999999999999904</v>
      </c>
      <c r="F24">
        <v>-0.9</v>
      </c>
      <c r="G24">
        <v>-3</v>
      </c>
      <c r="H24">
        <v>7.2</v>
      </c>
      <c r="I24">
        <v>1.6</v>
      </c>
      <c r="J24">
        <v>-4.5</v>
      </c>
      <c r="K24">
        <v>-9.9999999999999895E-2</v>
      </c>
      <c r="L24">
        <v>3.8</v>
      </c>
      <c r="M24">
        <v>-5.3</v>
      </c>
      <c r="N24">
        <v>4.5</v>
      </c>
      <c r="O24">
        <v>-9.9999999999999895E-2</v>
      </c>
    </row>
    <row r="25" spans="1:19" x14ac:dyDescent="0.25">
      <c r="A25" t="s">
        <v>46</v>
      </c>
      <c r="B25">
        <v>-1.0999999999999901</v>
      </c>
      <c r="C25">
        <v>1</v>
      </c>
      <c r="D25">
        <v>3.8</v>
      </c>
      <c r="E25">
        <v>1.9</v>
      </c>
      <c r="F25">
        <v>7.7</v>
      </c>
      <c r="G25">
        <v>-1.0999999999999901</v>
      </c>
      <c r="H25">
        <v>2.8</v>
      </c>
      <c r="I25">
        <v>6.3999999999999897</v>
      </c>
      <c r="J25">
        <v>5.8999999999999897</v>
      </c>
      <c r="L25">
        <v>10.8</v>
      </c>
      <c r="M25">
        <v>0.5</v>
      </c>
      <c r="N25">
        <v>3</v>
      </c>
      <c r="O25">
        <v>0.9</v>
      </c>
      <c r="Q25" t="s">
        <v>59</v>
      </c>
    </row>
    <row r="26" spans="1:19" x14ac:dyDescent="0.25">
      <c r="A26" t="s">
        <v>47</v>
      </c>
      <c r="B26">
        <v>9.9999999999999895E-2</v>
      </c>
      <c r="C26">
        <v>1.4</v>
      </c>
      <c r="D26">
        <v>1</v>
      </c>
      <c r="F26">
        <v>-0.7</v>
      </c>
      <c r="G26">
        <v>1.9</v>
      </c>
      <c r="H26">
        <v>-2</v>
      </c>
      <c r="I26">
        <v>9.9</v>
      </c>
      <c r="J26">
        <v>-9.9999999999999895E-2</v>
      </c>
      <c r="K26">
        <v>2.9</v>
      </c>
      <c r="L26">
        <v>-0.4</v>
      </c>
      <c r="M26">
        <v>-2</v>
      </c>
      <c r="N26">
        <v>5.5</v>
      </c>
      <c r="O26">
        <v>-0.9</v>
      </c>
    </row>
    <row r="27" spans="1:19" x14ac:dyDescent="0.25">
      <c r="A27" t="s">
        <v>48</v>
      </c>
      <c r="B27">
        <v>-9.9999999999999895E-2</v>
      </c>
      <c r="C27">
        <v>-1</v>
      </c>
      <c r="D27" s="13">
        <v>-4.9000000000000004</v>
      </c>
      <c r="E27">
        <v>7</v>
      </c>
      <c r="G27">
        <v>1.4</v>
      </c>
      <c r="H27">
        <v>-4.0999999999999996</v>
      </c>
      <c r="I27">
        <v>-2.0999999999999899</v>
      </c>
      <c r="J27">
        <v>1.8</v>
      </c>
      <c r="K27">
        <v>7</v>
      </c>
      <c r="L27">
        <v>2.8</v>
      </c>
      <c r="M27">
        <v>5.3999999999999897</v>
      </c>
      <c r="N27">
        <v>4.2</v>
      </c>
      <c r="O27">
        <v>5.3999999999999897</v>
      </c>
    </row>
    <row r="28" spans="1:19" x14ac:dyDescent="0.25">
      <c r="A28" t="s">
        <v>49</v>
      </c>
      <c r="B28">
        <v>-8</v>
      </c>
      <c r="C28">
        <v>-6.3</v>
      </c>
      <c r="D28">
        <v>-8.4</v>
      </c>
      <c r="E28">
        <v>-10.3</v>
      </c>
      <c r="F28">
        <v>-12.4</v>
      </c>
      <c r="H28">
        <v>-8.9</v>
      </c>
      <c r="I28">
        <v>-9.9</v>
      </c>
      <c r="J28">
        <v>-8.5</v>
      </c>
      <c r="K28">
        <v>-4.9000000000000004</v>
      </c>
      <c r="L28">
        <v>-10.8</v>
      </c>
      <c r="M28">
        <v>-15.1</v>
      </c>
      <c r="N28">
        <v>-2.8</v>
      </c>
      <c r="O28">
        <v>-8.5</v>
      </c>
    </row>
    <row r="29" spans="1:19" x14ac:dyDescent="0.25">
      <c r="A29" t="s">
        <v>50</v>
      </c>
      <c r="B29">
        <v>-1.7999999999999901</v>
      </c>
      <c r="C29">
        <v>2.8</v>
      </c>
      <c r="D29">
        <v>1.2</v>
      </c>
      <c r="E29">
        <v>-4.5</v>
      </c>
      <c r="F29">
        <v>0.7</v>
      </c>
      <c r="G29">
        <v>-4.0999999999999996</v>
      </c>
      <c r="H29">
        <v>5</v>
      </c>
      <c r="J29">
        <v>-0.69999999999999896</v>
      </c>
      <c r="K29">
        <v>0.6</v>
      </c>
      <c r="L29">
        <v>7.5</v>
      </c>
      <c r="M29">
        <v>-3.19999999999999</v>
      </c>
      <c r="N29">
        <v>1.2</v>
      </c>
      <c r="O29">
        <v>-3.19999999999999</v>
      </c>
    </row>
    <row r="31" spans="1:19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1:19" x14ac:dyDescent="0.25">
      <c r="A32" t="s">
        <v>0</v>
      </c>
      <c r="B32" t="s">
        <v>5</v>
      </c>
      <c r="C32" t="s">
        <v>6</v>
      </c>
      <c r="D32" t="s">
        <v>7</v>
      </c>
      <c r="E32" t="s">
        <v>8</v>
      </c>
      <c r="F32" t="s">
        <v>9</v>
      </c>
      <c r="G32" t="s">
        <v>10</v>
      </c>
      <c r="H32" t="s">
        <v>11</v>
      </c>
      <c r="I32" t="s">
        <v>12</v>
      </c>
      <c r="J32" t="s">
        <v>13</v>
      </c>
      <c r="K32" t="s">
        <v>14</v>
      </c>
      <c r="L32" t="s">
        <v>15</v>
      </c>
      <c r="M32" t="s">
        <v>16</v>
      </c>
      <c r="N32" t="s">
        <v>17</v>
      </c>
      <c r="O32" t="s">
        <v>18</v>
      </c>
      <c r="P32" t="s">
        <v>53</v>
      </c>
      <c r="Q32" t="s">
        <v>54</v>
      </c>
    </row>
    <row r="33" spans="1:18" x14ac:dyDescent="0.25">
      <c r="A33" t="s">
        <v>23</v>
      </c>
      <c r="B33" s="1" t="str" cm="1">
        <f t="array" ref="B33">IFERROR(_xlfn.LET(_xlpm.result,RANK(_xlfn.XLOOKUP($A33,$A$2:$A$29,_xlfn.XLOOKUP(B$32,$B$1:$O$1,$B$2:$O$29)),$B$2:$O$29),IF(_xlpm.result&gt;150,"",_xlpm.result)),"")</f>
        <v/>
      </c>
      <c r="C33" s="1" t="str" cm="1">
        <f t="array" ref="C33">IFERROR(_xlfn.LET(_xlpm.result,RANK(_xlfn.XLOOKUP($A33,$A$2:$A$29,_xlfn.XLOOKUP(C$32,$B$1:$O$1,$B$2:$O$29)),$B$2:$O$29),IF(_xlpm.result&gt;150,"",_xlpm.result)),"")</f>
        <v/>
      </c>
      <c r="D33" s="1" t="str" cm="1">
        <f t="array" ref="D33">IFERROR(_xlfn.LET(_xlpm.result,RANK(_xlfn.XLOOKUP($A33,$A$2:$A$29,_xlfn.XLOOKUP(D$32,$B$1:$O$1,$B$2:$O$29)),$B$2:$O$29),IF(_xlpm.result&gt;150,"",_xlpm.result)),"")</f>
        <v/>
      </c>
      <c r="E33" s="1" t="str" cm="1">
        <f t="array" ref="E33">IFERROR(_xlfn.LET(_xlpm.result,RANK(_xlfn.XLOOKUP($A33,$A$2:$A$29,_xlfn.XLOOKUP(E$32,$B$1:$O$1,$B$2:$O$29)),$B$2:$O$29),IF(_xlpm.result&gt;150,"",_xlpm.result)),"")</f>
        <v/>
      </c>
      <c r="F33" s="1" t="str" cm="1">
        <f t="array" ref="F33">IFERROR(_xlfn.LET(_xlpm.result,RANK(_xlfn.XLOOKUP($A33,$A$2:$A$29,_xlfn.XLOOKUP(F$32,$B$1:$O$1,$B$2:$O$29)),$B$2:$O$29),IF(_xlpm.result&gt;150,"",_xlpm.result)),"")</f>
        <v/>
      </c>
      <c r="G33" s="1" cm="1">
        <f t="array" ref="G33">IFERROR(_xlfn.LET(_xlpm.result,RANK(_xlfn.XLOOKUP($A33,$A$2:$A$29,_xlfn.XLOOKUP(G$32,$B$1:$O$1,$B$2:$O$29)),$B$2:$O$29),IF(_xlpm.result&gt;150,"",_xlpm.result)),"")</f>
        <v>133</v>
      </c>
      <c r="H33" s="1" t="str" cm="1">
        <f t="array" ref="H33">IFERROR(_xlfn.LET(_xlpm.result,RANK(_xlfn.XLOOKUP($A33,$A$2:$A$29,_xlfn.XLOOKUP(H$32,$B$1:$O$1,$B$2:$O$29)),$B$2:$O$29),IF(_xlpm.result&gt;150,"",_xlpm.result)),"")</f>
        <v/>
      </c>
      <c r="I33" s="1" t="str" cm="1">
        <f t="array" ref="I33">IFERROR(_xlfn.LET(_xlpm.result,RANK(_xlfn.XLOOKUP($A33,$A$2:$A$29,_xlfn.XLOOKUP(I$32,$B$1:$O$1,$B$2:$O$29)),$B$2:$O$29),IF(_xlpm.result&gt;150,"",_xlpm.result)),"")</f>
        <v/>
      </c>
      <c r="J33" s="1" t="str" cm="1">
        <f t="array" ref="J33">IFERROR(_xlfn.LET(_xlpm.result,RANK(_xlfn.XLOOKUP($A33,$A$2:$A$29,_xlfn.XLOOKUP(J$32,$B$1:$O$1,$B$2:$O$29)),$B$2:$O$29),IF(_xlpm.result&gt;150,"",_xlpm.result)),"")</f>
        <v/>
      </c>
      <c r="K33" s="1" t="str" cm="1">
        <f t="array" ref="K33">IFERROR(_xlfn.LET(_xlpm.result,RANK(_xlfn.XLOOKUP($A33,$A$2:$A$29,_xlfn.XLOOKUP(K$32,$B$1:$O$1,$B$2:$O$29)),$B$2:$O$29),IF(_xlpm.result&gt;150,"",_xlpm.result)),"")</f>
        <v/>
      </c>
      <c r="L33" s="1" cm="1">
        <f t="array" ref="L33">IFERROR(_xlfn.LET(_xlpm.result,RANK(_xlfn.XLOOKUP($A33,$A$2:$A$29,_xlfn.XLOOKUP(L$32,$B$1:$O$1,$B$2:$O$29)),$B$2:$O$29),IF(_xlpm.result&gt;150,"",_xlpm.result)),"")</f>
        <v>133</v>
      </c>
      <c r="M33" s="1" t="str" cm="1">
        <f t="array" ref="M33">IFERROR(_xlfn.LET(_xlpm.result,RANK(_xlfn.XLOOKUP($A33,$A$2:$A$29,_xlfn.XLOOKUP(M$32,$B$1:$O$1,$B$2:$O$29)),$B$2:$O$29),IF(_xlpm.result&gt;150,"",_xlpm.result)),"")</f>
        <v/>
      </c>
      <c r="N33" s="1" t="str" cm="1">
        <f t="array" ref="N33">IFERROR(_xlfn.LET(_xlpm.result,RANK(_xlfn.XLOOKUP($A33,$A$2:$A$29,_xlfn.XLOOKUP(N$32,$B$1:$O$1,$B$2:$O$29)),$B$2:$O$29),IF(_xlpm.result&gt;150,"",_xlpm.result)),"")</f>
        <v/>
      </c>
      <c r="O33" s="1" t="str" cm="1">
        <f t="array" ref="O33">IFERROR(_xlfn.LET(_xlpm.result,RANK(_xlfn.XLOOKUP($A33,$A$2:$A$29,_xlfn.XLOOKUP(O$32,$B$1:$O$1,$B$2:$O$29)),$B$2:$O$29),IF(_xlpm.result&gt;150,"",_xlpm.result)),"")</f>
        <v/>
      </c>
      <c r="P33">
        <f t="shared" ref="P33:P60" si="0">COUNT(B33:O33)</f>
        <v>2</v>
      </c>
      <c r="Q33" s="10">
        <f t="shared" ref="Q33:Q60" si="1">MIN(B33:O33)</f>
        <v>133</v>
      </c>
    </row>
    <row r="34" spans="1:18" x14ac:dyDescent="0.25">
      <c r="A34" t="s">
        <v>43</v>
      </c>
      <c r="B34" s="1" t="str" cm="1">
        <f t="array" ref="B34">IFERROR(_xlfn.LET(_xlpm.result,RANK(_xlfn.XLOOKUP($A34,$A$2:$A$29,_xlfn.XLOOKUP(B$32,$B$1:$O$1,$B$2:$O$29)),$B$2:$O$29),IF(_xlpm.result&gt;150,"",_xlpm.result)),"")</f>
        <v/>
      </c>
      <c r="C34" s="1" t="str" cm="1">
        <f t="array" ref="C34">IFERROR(_xlfn.LET(_xlpm.result,RANK(_xlfn.XLOOKUP($A34,$A$2:$A$29,_xlfn.XLOOKUP(C$32,$B$1:$O$1,$B$2:$O$29)),$B$2:$O$29),IF(_xlpm.result&gt;150,"",_xlpm.result)),"")</f>
        <v/>
      </c>
      <c r="D34" s="1" t="str" cm="1">
        <f t="array" ref="D34">IFERROR(_xlfn.LET(_xlpm.result,RANK(_xlfn.XLOOKUP($A34,$A$2:$A$29,_xlfn.XLOOKUP(D$32,$B$1:$O$1,$B$2:$O$29)),$B$2:$O$29),IF(_xlpm.result&gt;150,"",_xlpm.result)),"")</f>
        <v/>
      </c>
      <c r="E34" s="1" cm="1">
        <f t="array" ref="E34">IFERROR(_xlfn.LET(_xlpm.result,RANK(_xlfn.XLOOKUP($A34,$A$2:$A$29,_xlfn.XLOOKUP(E$32,$B$1:$O$1,$B$2:$O$29)),$B$2:$O$29),IF(_xlpm.result&gt;150,"",_xlpm.result)),"")</f>
        <v>126</v>
      </c>
      <c r="F34" s="1" t="str" cm="1">
        <f t="array" ref="F34">IFERROR(_xlfn.LET(_xlpm.result,RANK(_xlfn.XLOOKUP($A34,$A$2:$A$29,_xlfn.XLOOKUP(F$32,$B$1:$O$1,$B$2:$O$29)),$B$2:$O$29),IF(_xlpm.result&gt;150,"",_xlpm.result)),"")</f>
        <v/>
      </c>
      <c r="G34" s="1" t="str" cm="1">
        <f t="array" ref="G34">IFERROR(_xlfn.LET(_xlpm.result,RANK(_xlfn.XLOOKUP($A34,$A$2:$A$29,_xlfn.XLOOKUP(G$32,$B$1:$O$1,$B$2:$O$29)),$B$2:$O$29),IF(_xlpm.result&gt;150,"",_xlpm.result)),"")</f>
        <v/>
      </c>
      <c r="H34" s="1" t="str" cm="1">
        <f t="array" ref="H34">IFERROR(_xlfn.LET(_xlpm.result,RANK(_xlfn.XLOOKUP($A34,$A$2:$A$29,_xlfn.XLOOKUP(H$32,$B$1:$O$1,$B$2:$O$29)),$B$2:$O$29),IF(_xlpm.result&gt;150,"",_xlpm.result)),"")</f>
        <v/>
      </c>
      <c r="I34" s="1" t="str" cm="1">
        <f t="array" ref="I34">IFERROR(_xlfn.LET(_xlpm.result,RANK(_xlfn.XLOOKUP($A34,$A$2:$A$29,_xlfn.XLOOKUP(I$32,$B$1:$O$1,$B$2:$O$29)),$B$2:$O$29),IF(_xlpm.result&gt;150,"",_xlpm.result)),"")</f>
        <v/>
      </c>
      <c r="J34" s="1" t="str" cm="1">
        <f t="array" ref="J34">IFERROR(_xlfn.LET(_xlpm.result,RANK(_xlfn.XLOOKUP($A34,$A$2:$A$29,_xlfn.XLOOKUP(J$32,$B$1:$O$1,$B$2:$O$29)),$B$2:$O$29),IF(_xlpm.result&gt;150,"",_xlpm.result)),"")</f>
        <v/>
      </c>
      <c r="K34" s="1" t="str" cm="1">
        <f t="array" ref="K34">IFERROR(_xlfn.LET(_xlpm.result,RANK(_xlfn.XLOOKUP($A34,$A$2:$A$29,_xlfn.XLOOKUP(K$32,$B$1:$O$1,$B$2:$O$29)),$B$2:$O$29),IF(_xlpm.result&gt;150,"",_xlpm.result)),"")</f>
        <v/>
      </c>
      <c r="L34" s="1" t="str" cm="1">
        <f t="array" ref="L34">IFERROR(_xlfn.LET(_xlpm.result,RANK(_xlfn.XLOOKUP($A34,$A$2:$A$29,_xlfn.XLOOKUP(L$32,$B$1:$O$1,$B$2:$O$29)),$B$2:$O$29),IF(_xlpm.result&gt;150,"",_xlpm.result)),"")</f>
        <v/>
      </c>
      <c r="M34" s="1" cm="1">
        <f t="array" ref="M34">IFERROR(_xlfn.LET(_xlpm.result,RANK(_xlfn.XLOOKUP($A34,$A$2:$A$29,_xlfn.XLOOKUP(M$32,$B$1:$O$1,$B$2:$O$29)),$B$2:$O$29),IF(_xlpm.result&gt;150,"",_xlpm.result)),"")</f>
        <v>136</v>
      </c>
      <c r="N34" s="1" t="str" cm="1">
        <f t="array" ref="N34">IFERROR(_xlfn.LET(_xlpm.result,RANK(_xlfn.XLOOKUP($A34,$A$2:$A$29,_xlfn.XLOOKUP(N$32,$B$1:$O$1,$B$2:$O$29)),$B$2:$O$29),IF(_xlpm.result&gt;150,"",_xlpm.result)),"")</f>
        <v/>
      </c>
      <c r="O34" s="1" t="str" cm="1">
        <f t="array" ref="O34">IFERROR(_xlfn.LET(_xlpm.result,RANK(_xlfn.XLOOKUP($A34,$A$2:$A$29,_xlfn.XLOOKUP(O$32,$B$1:$O$1,$B$2:$O$29)),$B$2:$O$29),IF(_xlpm.result&gt;150,"",_xlpm.result)),"")</f>
        <v/>
      </c>
      <c r="P34">
        <f t="shared" si="0"/>
        <v>2</v>
      </c>
      <c r="Q34" s="10">
        <f t="shared" si="1"/>
        <v>126</v>
      </c>
    </row>
    <row r="35" spans="1:18" x14ac:dyDescent="0.25">
      <c r="A35" t="s">
        <v>41</v>
      </c>
      <c r="B35" s="1" t="str" cm="1">
        <f t="array" ref="B35">IFERROR(_xlfn.LET(_xlpm.result,RANK(_xlfn.XLOOKUP($A35,$A$2:$A$29,_xlfn.XLOOKUP(B$32,$B$1:$O$1,$B$2:$O$29)),$B$2:$O$29),IF(_xlpm.result&gt;150,"",_xlpm.result)),"")</f>
        <v/>
      </c>
      <c r="C35" s="1" t="str" cm="1">
        <f t="array" ref="C35">IFERROR(_xlfn.LET(_xlpm.result,RANK(_xlfn.XLOOKUP($A35,$A$2:$A$29,_xlfn.XLOOKUP(C$32,$B$1:$O$1,$B$2:$O$29)),$B$2:$O$29),IF(_xlpm.result&gt;150,"",_xlpm.result)),"")</f>
        <v/>
      </c>
      <c r="D35" s="1" t="str" cm="1">
        <f t="array" ref="D35">IFERROR(_xlfn.LET(_xlpm.result,RANK(_xlfn.XLOOKUP($A35,$A$2:$A$29,_xlfn.XLOOKUP(D$32,$B$1:$O$1,$B$2:$O$29)),$B$2:$O$29),IF(_xlpm.result&gt;150,"",_xlpm.result)),"")</f>
        <v/>
      </c>
      <c r="E35" s="1" t="str" cm="1">
        <f t="array" ref="E35">IFERROR(_xlfn.LET(_xlpm.result,RANK(_xlfn.XLOOKUP($A35,$A$2:$A$29,_xlfn.XLOOKUP(E$32,$B$1:$O$1,$B$2:$O$29)),$B$2:$O$29),IF(_xlpm.result&gt;150,"",_xlpm.result)),"")</f>
        <v/>
      </c>
      <c r="F35" s="1" t="str" cm="1">
        <f t="array" ref="F35">IFERROR(_xlfn.LET(_xlpm.result,RANK(_xlfn.XLOOKUP($A35,$A$2:$A$29,_xlfn.XLOOKUP(F$32,$B$1:$O$1,$B$2:$O$29)),$B$2:$O$29),IF(_xlpm.result&gt;150,"",_xlpm.result)),"")</f>
        <v/>
      </c>
      <c r="G35" s="1" t="str" cm="1">
        <f t="array" ref="G35">IFERROR(_xlfn.LET(_xlpm.result,RANK(_xlfn.XLOOKUP($A35,$A$2:$A$29,_xlfn.XLOOKUP(G$32,$B$1:$O$1,$B$2:$O$29)),$B$2:$O$29),IF(_xlpm.result&gt;150,"",_xlpm.result)),"")</f>
        <v/>
      </c>
      <c r="H35" s="1" t="str" cm="1">
        <f t="array" ref="H35">IFERROR(_xlfn.LET(_xlpm.result,RANK(_xlfn.XLOOKUP($A35,$A$2:$A$29,_xlfn.XLOOKUP(H$32,$B$1:$O$1,$B$2:$O$29)),$B$2:$O$29),IF(_xlpm.result&gt;150,"",_xlpm.result)),"")</f>
        <v/>
      </c>
      <c r="I35" s="1" t="str" cm="1">
        <f t="array" ref="I35">IFERROR(_xlfn.LET(_xlpm.result,RANK(_xlfn.XLOOKUP($A35,$A$2:$A$29,_xlfn.XLOOKUP(I$32,$B$1:$O$1,$B$2:$O$29)),$B$2:$O$29),IF(_xlpm.result&gt;150,"",_xlpm.result)),"")</f>
        <v/>
      </c>
      <c r="J35" s="1" t="str" cm="1">
        <f t="array" ref="J35">IFERROR(_xlfn.LET(_xlpm.result,RANK(_xlfn.XLOOKUP($A35,$A$2:$A$29,_xlfn.XLOOKUP(J$32,$B$1:$O$1,$B$2:$O$29)),$B$2:$O$29),IF(_xlpm.result&gt;150,"",_xlpm.result)),"")</f>
        <v/>
      </c>
      <c r="K35" s="1" t="str" cm="1">
        <f t="array" ref="K35">IFERROR(_xlfn.LET(_xlpm.result,RANK(_xlfn.XLOOKUP($A35,$A$2:$A$29,_xlfn.XLOOKUP(K$32,$B$1:$O$1,$B$2:$O$29)),$B$2:$O$29),IF(_xlpm.result&gt;150,"",_xlpm.result)),"")</f>
        <v/>
      </c>
      <c r="L35" s="1" t="str" cm="1">
        <f t="array" ref="L35">IFERROR(_xlfn.LET(_xlpm.result,RANK(_xlfn.XLOOKUP($A35,$A$2:$A$29,_xlfn.XLOOKUP(L$32,$B$1:$O$1,$B$2:$O$29)),$B$2:$O$29),IF(_xlpm.result&gt;150,"",_xlpm.result)),"")</f>
        <v/>
      </c>
      <c r="M35" s="1" t="str" cm="1">
        <f t="array" ref="M35">IFERROR(_xlfn.LET(_xlpm.result,RANK(_xlfn.XLOOKUP($A35,$A$2:$A$29,_xlfn.XLOOKUP(M$32,$B$1:$O$1,$B$2:$O$29)),$B$2:$O$29),IF(_xlpm.result&gt;150,"",_xlpm.result)),"")</f>
        <v/>
      </c>
      <c r="N35" s="1" cm="1">
        <f t="array" ref="N35">IFERROR(_xlfn.LET(_xlpm.result,RANK(_xlfn.XLOOKUP($A35,$A$2:$A$29,_xlfn.XLOOKUP(N$32,$B$1:$O$1,$B$2:$O$29)),$B$2:$O$29),IF(_xlpm.result&gt;150,"",_xlpm.result)),"")</f>
        <v>110</v>
      </c>
      <c r="O35" s="1" t="str" cm="1">
        <f t="array" ref="O35">IFERROR(_xlfn.LET(_xlpm.result,RANK(_xlfn.XLOOKUP($A35,$A$2:$A$29,_xlfn.XLOOKUP(O$32,$B$1:$O$1,$B$2:$O$29)),$B$2:$O$29),IF(_xlpm.result&gt;150,"",_xlpm.result)),"")</f>
        <v/>
      </c>
      <c r="P35">
        <f t="shared" si="0"/>
        <v>1</v>
      </c>
      <c r="Q35" s="10">
        <f t="shared" si="1"/>
        <v>110</v>
      </c>
    </row>
    <row r="36" spans="1:18" x14ac:dyDescent="0.25">
      <c r="A36" t="s">
        <v>38</v>
      </c>
      <c r="B36" s="1" cm="1">
        <f t="array" ref="B36">IFERROR(_xlfn.LET(_xlpm.result,RANK(_xlfn.XLOOKUP($A36,$A$2:$A$29,_xlfn.XLOOKUP(B$32,$B$1:$O$1,$B$2:$O$29)),$B$2:$O$29),IF(_xlpm.result&gt;150,"",_xlpm.result)),"")</f>
        <v>147</v>
      </c>
      <c r="C36" s="1" t="str" cm="1">
        <f t="array" ref="C36">IFERROR(_xlfn.LET(_xlpm.result,RANK(_xlfn.XLOOKUP($A36,$A$2:$A$29,_xlfn.XLOOKUP(C$32,$B$1:$O$1,$B$2:$O$29)),$B$2:$O$29),IF(_xlpm.result&gt;150,"",_xlpm.result)),"")</f>
        <v/>
      </c>
      <c r="D36" s="1" t="str" cm="1">
        <f t="array" ref="D36">IFERROR(_xlfn.LET(_xlpm.result,RANK(_xlfn.XLOOKUP($A36,$A$2:$A$29,_xlfn.XLOOKUP(D$32,$B$1:$O$1,$B$2:$O$29)),$B$2:$O$29),IF(_xlpm.result&gt;150,"",_xlpm.result)),"")</f>
        <v/>
      </c>
      <c r="E36" s="1" t="str" cm="1">
        <f t="array" ref="E36">IFERROR(_xlfn.LET(_xlpm.result,RANK(_xlfn.XLOOKUP($A36,$A$2:$A$29,_xlfn.XLOOKUP(E$32,$B$1:$O$1,$B$2:$O$29)),$B$2:$O$29),IF(_xlpm.result&gt;150,"",_xlpm.result)),"")</f>
        <v/>
      </c>
      <c r="F36" s="1" t="str" cm="1">
        <f t="array" ref="F36">IFERROR(_xlfn.LET(_xlpm.result,RANK(_xlfn.XLOOKUP($A36,$A$2:$A$29,_xlfn.XLOOKUP(F$32,$B$1:$O$1,$B$2:$O$29)),$B$2:$O$29),IF(_xlpm.result&gt;150,"",_xlpm.result)),"")</f>
        <v/>
      </c>
      <c r="G36" s="1" t="str" cm="1">
        <f t="array" ref="G36">IFERROR(_xlfn.LET(_xlpm.result,RANK(_xlfn.XLOOKUP($A36,$A$2:$A$29,_xlfn.XLOOKUP(G$32,$B$1:$O$1,$B$2:$O$29)),$B$2:$O$29),IF(_xlpm.result&gt;150,"",_xlpm.result)),"")</f>
        <v/>
      </c>
      <c r="H36" s="1" t="str" cm="1">
        <f t="array" ref="H36">IFERROR(_xlfn.LET(_xlpm.result,RANK(_xlfn.XLOOKUP($A36,$A$2:$A$29,_xlfn.XLOOKUP(H$32,$B$1:$O$1,$B$2:$O$29)),$B$2:$O$29),IF(_xlpm.result&gt;150,"",_xlpm.result)),"")</f>
        <v/>
      </c>
      <c r="I36" s="1" t="str" cm="1">
        <f t="array" ref="I36">IFERROR(_xlfn.LET(_xlpm.result,RANK(_xlfn.XLOOKUP($A36,$A$2:$A$29,_xlfn.XLOOKUP(I$32,$B$1:$O$1,$B$2:$O$29)),$B$2:$O$29),IF(_xlpm.result&gt;150,"",_xlpm.result)),"")</f>
        <v/>
      </c>
      <c r="J36" s="1" cm="1">
        <f t="array" ref="J36">IFERROR(_xlfn.LET(_xlpm.result,RANK(_xlfn.XLOOKUP($A36,$A$2:$A$29,_xlfn.XLOOKUP(J$32,$B$1:$O$1,$B$2:$O$29)),$B$2:$O$29),IF(_xlpm.result&gt;150,"",_xlpm.result)),"")</f>
        <v>110</v>
      </c>
      <c r="K36" s="1" cm="1">
        <f t="array" ref="K36">IFERROR(_xlfn.LET(_xlpm.result,RANK(_xlfn.XLOOKUP($A36,$A$2:$A$29,_xlfn.XLOOKUP(K$32,$B$1:$O$1,$B$2:$O$29)),$B$2:$O$29),IF(_xlpm.result&gt;150,"",_xlpm.result)),"")</f>
        <v>144</v>
      </c>
      <c r="L36" s="1" t="str" cm="1">
        <f t="array" ref="L36">IFERROR(_xlfn.LET(_xlpm.result,RANK(_xlfn.XLOOKUP($A36,$A$2:$A$29,_xlfn.XLOOKUP(L$32,$B$1:$O$1,$B$2:$O$29)),$B$2:$O$29),IF(_xlpm.result&gt;150,"",_xlpm.result)),"")</f>
        <v/>
      </c>
      <c r="M36" s="1" cm="1">
        <f t="array" ref="M36">IFERROR(_xlfn.LET(_xlpm.result,RANK(_xlfn.XLOOKUP($A36,$A$2:$A$29,_xlfn.XLOOKUP(M$32,$B$1:$O$1,$B$2:$O$29)),$B$2:$O$29),IF(_xlpm.result&gt;150,"",_xlpm.result)),"")</f>
        <v>100</v>
      </c>
      <c r="N36" s="1" t="str" cm="1">
        <f t="array" ref="N36">IFERROR(_xlfn.LET(_xlpm.result,RANK(_xlfn.XLOOKUP($A36,$A$2:$A$29,_xlfn.XLOOKUP(N$32,$B$1:$O$1,$B$2:$O$29)),$B$2:$O$29),IF(_xlpm.result&gt;150,"",_xlpm.result)),"")</f>
        <v/>
      </c>
      <c r="O36" s="1" t="str" cm="1">
        <f t="array" ref="O36">IFERROR(_xlfn.LET(_xlpm.result,RANK(_xlfn.XLOOKUP($A36,$A$2:$A$29,_xlfn.XLOOKUP(O$32,$B$1:$O$1,$B$2:$O$29)),$B$2:$O$29),IF(_xlpm.result&gt;150,"",_xlpm.result)),"")</f>
        <v/>
      </c>
      <c r="P36">
        <f t="shared" si="0"/>
        <v>4</v>
      </c>
      <c r="Q36" s="10">
        <f t="shared" si="1"/>
        <v>100</v>
      </c>
    </row>
    <row r="37" spans="1:18" x14ac:dyDescent="0.25">
      <c r="A37" t="s">
        <v>20</v>
      </c>
      <c r="B37" s="1" t="str" cm="1">
        <f t="array" ref="B37">IFERROR(_xlfn.LET(_xlpm.result,RANK(_xlfn.XLOOKUP($A37,$A$2:$A$29,_xlfn.XLOOKUP(B$32,$B$1:$O$1,$B$2:$O$29)),$B$2:$O$29),IF(_xlpm.result&gt;150,"",_xlpm.result)),"")</f>
        <v/>
      </c>
      <c r="C37" s="1" t="str" cm="1">
        <f t="array" ref="C37">IFERROR(_xlfn.LET(_xlpm.result,RANK(_xlfn.XLOOKUP($A37,$A$2:$A$29,_xlfn.XLOOKUP(C$32,$B$1:$O$1,$B$2:$O$29)),$B$2:$O$29),IF(_xlpm.result&gt;150,"",_xlpm.result)),"")</f>
        <v/>
      </c>
      <c r="D37" s="1" t="str" cm="1">
        <f t="array" ref="D37">IFERROR(_xlfn.LET(_xlpm.result,RANK(_xlfn.XLOOKUP($A37,$A$2:$A$29,_xlfn.XLOOKUP(D$32,$B$1:$O$1,$B$2:$O$29)),$B$2:$O$29),IF(_xlpm.result&gt;150,"",_xlpm.result)),"")</f>
        <v/>
      </c>
      <c r="E37" s="1" cm="1">
        <f t="array" ref="E37">IFERROR(_xlfn.LET(_xlpm.result,RANK(_xlfn.XLOOKUP($A37,$A$2:$A$29,_xlfn.XLOOKUP(E$32,$B$1:$O$1,$B$2:$O$29)),$B$2:$O$29),IF(_xlpm.result&gt;150,"",_xlpm.result)),"")</f>
        <v>137</v>
      </c>
      <c r="F37" s="1" t="str" cm="1">
        <f t="array" ref="F37">IFERROR(_xlfn.LET(_xlpm.result,RANK(_xlfn.XLOOKUP($A37,$A$2:$A$29,_xlfn.XLOOKUP(F$32,$B$1:$O$1,$B$2:$O$29)),$B$2:$O$29),IF(_xlpm.result&gt;150,"",_xlpm.result)),"")</f>
        <v/>
      </c>
      <c r="G37" s="1" t="str" cm="1">
        <f t="array" ref="G37">IFERROR(_xlfn.LET(_xlpm.result,RANK(_xlfn.XLOOKUP($A37,$A$2:$A$29,_xlfn.XLOOKUP(G$32,$B$1:$O$1,$B$2:$O$29)),$B$2:$O$29),IF(_xlpm.result&gt;150,"",_xlpm.result)),"")</f>
        <v/>
      </c>
      <c r="H37" s="1" cm="1">
        <f t="array" ref="H37">IFERROR(_xlfn.LET(_xlpm.result,RANK(_xlfn.XLOOKUP($A37,$A$2:$A$29,_xlfn.XLOOKUP(H$32,$B$1:$O$1,$B$2:$O$29)),$B$2:$O$29),IF(_xlpm.result&gt;150,"",_xlpm.result)),"")</f>
        <v>120</v>
      </c>
      <c r="I37" s="1" cm="1">
        <f t="array" ref="I37">IFERROR(_xlfn.LET(_xlpm.result,RANK(_xlfn.XLOOKUP($A37,$A$2:$A$29,_xlfn.XLOOKUP(I$32,$B$1:$O$1,$B$2:$O$29)),$B$2:$O$29),IF(_xlpm.result&gt;150,"",_xlpm.result)),"")</f>
        <v>79</v>
      </c>
      <c r="J37" s="1" cm="1">
        <f t="array" ref="J37">IFERROR(_xlfn.LET(_xlpm.result,RANK(_xlfn.XLOOKUP($A37,$A$2:$A$29,_xlfn.XLOOKUP(J$32,$B$1:$O$1,$B$2:$O$29)),$B$2:$O$29),IF(_xlpm.result&gt;150,"",_xlpm.result)),"")</f>
        <v>117</v>
      </c>
      <c r="K37" s="1" t="str" cm="1">
        <f t="array" ref="K37">IFERROR(_xlfn.LET(_xlpm.result,RANK(_xlfn.XLOOKUP($A37,$A$2:$A$29,_xlfn.XLOOKUP(K$32,$B$1:$O$1,$B$2:$O$29)),$B$2:$O$29),IF(_xlpm.result&gt;150,"",_xlpm.result)),"")</f>
        <v/>
      </c>
      <c r="L37" s="1" t="str" cm="1">
        <f t="array" ref="L37">IFERROR(_xlfn.LET(_xlpm.result,RANK(_xlfn.XLOOKUP($A37,$A$2:$A$29,_xlfn.XLOOKUP(L$32,$B$1:$O$1,$B$2:$O$29)),$B$2:$O$29),IF(_xlpm.result&gt;150,"",_xlpm.result)),"")</f>
        <v/>
      </c>
      <c r="M37" s="1" t="str" cm="1">
        <f t="array" ref="M37">IFERROR(_xlfn.LET(_xlpm.result,RANK(_xlfn.XLOOKUP($A37,$A$2:$A$29,_xlfn.XLOOKUP(M$32,$B$1:$O$1,$B$2:$O$29)),$B$2:$O$29),IF(_xlpm.result&gt;150,"",_xlpm.result)),"")</f>
        <v/>
      </c>
      <c r="N37" s="1" t="str" cm="1">
        <f t="array" ref="N37">IFERROR(_xlfn.LET(_xlpm.result,RANK(_xlfn.XLOOKUP($A37,$A$2:$A$29,_xlfn.XLOOKUP(N$32,$B$1:$O$1,$B$2:$O$29)),$B$2:$O$29),IF(_xlpm.result&gt;150,"",_xlpm.result)),"")</f>
        <v/>
      </c>
      <c r="O37" s="1" cm="1">
        <f t="array" ref="O37">IFERROR(_xlfn.LET(_xlpm.result,RANK(_xlfn.XLOOKUP($A37,$A$2:$A$29,_xlfn.XLOOKUP(O$32,$B$1:$O$1,$B$2:$O$29)),$B$2:$O$29),IF(_xlpm.result&gt;150,"",_xlpm.result)),"")</f>
        <v>79</v>
      </c>
      <c r="P37">
        <f t="shared" si="0"/>
        <v>5</v>
      </c>
      <c r="Q37" s="10">
        <f t="shared" si="1"/>
        <v>79</v>
      </c>
    </row>
    <row r="38" spans="1:18" x14ac:dyDescent="0.25">
      <c r="A38" t="s">
        <v>26</v>
      </c>
      <c r="B38" s="1" t="str" cm="1">
        <f t="array" ref="B38">IFERROR(_xlfn.LET(_xlpm.result,RANK(_xlfn.XLOOKUP($A38,$A$2:$A$29,_xlfn.XLOOKUP(B$32,$B$1:$O$1,$B$2:$O$29)),$B$2:$O$29),IF(_xlpm.result&gt;150,"",_xlpm.result)),"")</f>
        <v/>
      </c>
      <c r="C38" s="1" t="str" cm="1">
        <f t="array" ref="C38">IFERROR(_xlfn.LET(_xlpm.result,RANK(_xlfn.XLOOKUP($A38,$A$2:$A$29,_xlfn.XLOOKUP(C$32,$B$1:$O$1,$B$2:$O$29)),$B$2:$O$29),IF(_xlpm.result&gt;150,"",_xlpm.result)),"")</f>
        <v/>
      </c>
      <c r="D38" s="1" t="str" cm="1">
        <f t="array" ref="D38">IFERROR(_xlfn.LET(_xlpm.result,RANK(_xlfn.XLOOKUP($A38,$A$2:$A$29,_xlfn.XLOOKUP(D$32,$B$1:$O$1,$B$2:$O$29)),$B$2:$O$29),IF(_xlpm.result&gt;150,"",_xlpm.result)),"")</f>
        <v/>
      </c>
      <c r="E38" s="1" t="str" cm="1">
        <f t="array" ref="E38">IFERROR(_xlfn.LET(_xlpm.result,RANK(_xlfn.XLOOKUP($A38,$A$2:$A$29,_xlfn.XLOOKUP(E$32,$B$1:$O$1,$B$2:$O$29)),$B$2:$O$29),IF(_xlpm.result&gt;150,"",_xlpm.result)),"")</f>
        <v/>
      </c>
      <c r="F38" s="1" t="str" cm="1">
        <f t="array" ref="F38">IFERROR(_xlfn.LET(_xlpm.result,RANK(_xlfn.XLOOKUP($A38,$A$2:$A$29,_xlfn.XLOOKUP(F$32,$B$1:$O$1,$B$2:$O$29)),$B$2:$O$29),IF(_xlpm.result&gt;150,"",_xlpm.result)),"")</f>
        <v/>
      </c>
      <c r="G38" s="1" t="str" cm="1">
        <f t="array" ref="G38">IFERROR(_xlfn.LET(_xlpm.result,RANK(_xlfn.XLOOKUP($A38,$A$2:$A$29,_xlfn.XLOOKUP(G$32,$B$1:$O$1,$B$2:$O$29)),$B$2:$O$29),IF(_xlpm.result&gt;150,"",_xlpm.result)),"")</f>
        <v/>
      </c>
      <c r="H38" s="1" t="str" cm="1">
        <f t="array" ref="H38">IFERROR(_xlfn.LET(_xlpm.result,RANK(_xlfn.XLOOKUP($A38,$A$2:$A$29,_xlfn.XLOOKUP(H$32,$B$1:$O$1,$B$2:$O$29)),$B$2:$O$29),IF(_xlpm.result&gt;150,"",_xlpm.result)),"")</f>
        <v/>
      </c>
      <c r="I38" s="1" t="str" cm="1">
        <f t="array" ref="I38">IFERROR(_xlfn.LET(_xlpm.result,RANK(_xlfn.XLOOKUP($A38,$A$2:$A$29,_xlfn.XLOOKUP(I$32,$B$1:$O$1,$B$2:$O$29)),$B$2:$O$29),IF(_xlpm.result&gt;150,"",_xlpm.result)),"")</f>
        <v/>
      </c>
      <c r="J38" s="1" t="str" cm="1">
        <f t="array" ref="J38">IFERROR(_xlfn.LET(_xlpm.result,RANK(_xlfn.XLOOKUP($A38,$A$2:$A$29,_xlfn.XLOOKUP(J$32,$B$1:$O$1,$B$2:$O$29)),$B$2:$O$29),IF(_xlpm.result&gt;150,"",_xlpm.result)),"")</f>
        <v/>
      </c>
      <c r="K38" s="1" cm="1">
        <f t="array" ref="K38">IFERROR(_xlfn.LET(_xlpm.result,RANK(_xlfn.XLOOKUP($A38,$A$2:$A$29,_xlfn.XLOOKUP(K$32,$B$1:$O$1,$B$2:$O$29)),$B$2:$O$29),IF(_xlpm.result&gt;150,"",_xlpm.result)),"")</f>
        <v>67</v>
      </c>
      <c r="L38" s="1" t="str" cm="1">
        <f t="array" ref="L38">IFERROR(_xlfn.LET(_xlpm.result,RANK(_xlfn.XLOOKUP($A38,$A$2:$A$29,_xlfn.XLOOKUP(L$32,$B$1:$O$1,$B$2:$O$29)),$B$2:$O$29),IF(_xlpm.result&gt;150,"",_xlpm.result)),"")</f>
        <v/>
      </c>
      <c r="M38" s="1" t="str" cm="1">
        <f t="array" ref="M38">IFERROR(_xlfn.LET(_xlpm.result,RANK(_xlfn.XLOOKUP($A38,$A$2:$A$29,_xlfn.XLOOKUP(M$32,$B$1:$O$1,$B$2:$O$29)),$B$2:$O$29),IF(_xlpm.result&gt;150,"",_xlpm.result)),"")</f>
        <v/>
      </c>
      <c r="N38" s="1" t="str" cm="1">
        <f t="array" ref="N38">IFERROR(_xlfn.LET(_xlpm.result,RANK(_xlfn.XLOOKUP($A38,$A$2:$A$29,_xlfn.XLOOKUP(N$32,$B$1:$O$1,$B$2:$O$29)),$B$2:$O$29),IF(_xlpm.result&gt;150,"",_xlpm.result)),"")</f>
        <v/>
      </c>
      <c r="O38" s="1" cm="1">
        <f t="array" ref="O38">IFERROR(_xlfn.LET(_xlpm.result,RANK(_xlfn.XLOOKUP($A38,$A$2:$A$29,_xlfn.XLOOKUP(O$32,$B$1:$O$1,$B$2:$O$29)),$B$2:$O$29),IF(_xlpm.result&gt;150,"",_xlpm.result)),"")</f>
        <v>117</v>
      </c>
      <c r="P38">
        <f t="shared" si="0"/>
        <v>2</v>
      </c>
      <c r="Q38" s="10">
        <f t="shared" si="1"/>
        <v>67</v>
      </c>
    </row>
    <row r="39" spans="1:18" x14ac:dyDescent="0.25">
      <c r="A39" t="s">
        <v>24</v>
      </c>
      <c r="B39" s="1" t="str" cm="1">
        <f t="array" ref="B39">IFERROR(_xlfn.LET(_xlpm.result,RANK(_xlfn.XLOOKUP($A39,$A$2:$A$29,_xlfn.XLOOKUP(B$32,$B$1:$O$1,$B$2:$O$29)),$B$2:$O$29),IF(_xlpm.result&gt;150,"",_xlpm.result)),"")</f>
        <v/>
      </c>
      <c r="C39" s="1" t="str" cm="1">
        <f t="array" ref="C39">IFERROR(_xlfn.LET(_xlpm.result,RANK(_xlfn.XLOOKUP($A39,$A$2:$A$29,_xlfn.XLOOKUP(C$32,$B$1:$O$1,$B$2:$O$29)),$B$2:$O$29),IF(_xlpm.result&gt;150,"",_xlpm.result)),"")</f>
        <v/>
      </c>
      <c r="D39" s="1" cm="1">
        <f t="array" ref="D39">IFERROR(_xlfn.LET(_xlpm.result,RANK(_xlfn.XLOOKUP($A39,$A$2:$A$29,_xlfn.XLOOKUP(D$32,$B$1:$O$1,$B$2:$O$29)),$B$2:$O$29),IF(_xlpm.result&gt;150,"",_xlpm.result)),"")</f>
        <v>63</v>
      </c>
      <c r="E39" s="1" t="str" cm="1">
        <f t="array" ref="E39">IFERROR(_xlfn.LET(_xlpm.result,RANK(_xlfn.XLOOKUP($A39,$A$2:$A$29,_xlfn.XLOOKUP(E$32,$B$1:$O$1,$B$2:$O$29)),$B$2:$O$29),IF(_xlpm.result&gt;150,"",_xlpm.result)),"")</f>
        <v/>
      </c>
      <c r="F39" s="1" cm="1">
        <f t="array" ref="F39">IFERROR(_xlfn.LET(_xlpm.result,RANK(_xlfn.XLOOKUP($A39,$A$2:$A$29,_xlfn.XLOOKUP(F$32,$B$1:$O$1,$B$2:$O$29)),$B$2:$O$29),IF(_xlpm.result&gt;150,"",_xlpm.result)),"")</f>
        <v>49</v>
      </c>
      <c r="G39" s="1" cm="1">
        <f t="array" ref="G39">IFERROR(_xlfn.LET(_xlpm.result,RANK(_xlfn.XLOOKUP($A39,$A$2:$A$29,_xlfn.XLOOKUP(G$32,$B$1:$O$1,$B$2:$O$29)),$B$2:$O$29),IF(_xlpm.result&gt;150,"",_xlpm.result)),"")</f>
        <v>70</v>
      </c>
      <c r="H39" s="1" t="str" cm="1">
        <f t="array" ref="H39">IFERROR(_xlfn.LET(_xlpm.result,RANK(_xlfn.XLOOKUP($A39,$A$2:$A$29,_xlfn.XLOOKUP(H$32,$B$1:$O$1,$B$2:$O$29)),$B$2:$O$29),IF(_xlpm.result&gt;150,"",_xlpm.result)),"")</f>
        <v/>
      </c>
      <c r="I39" s="1" t="str" cm="1">
        <f t="array" ref="I39">IFERROR(_xlfn.LET(_xlpm.result,RANK(_xlfn.XLOOKUP($A39,$A$2:$A$29,_xlfn.XLOOKUP(I$32,$B$1:$O$1,$B$2:$O$29)),$B$2:$O$29),IF(_xlpm.result&gt;150,"",_xlpm.result)),"")</f>
        <v/>
      </c>
      <c r="J39" s="1" t="str" cm="1">
        <f t="array" ref="J39">IFERROR(_xlfn.LET(_xlpm.result,RANK(_xlfn.XLOOKUP($A39,$A$2:$A$29,_xlfn.XLOOKUP(J$32,$B$1:$O$1,$B$2:$O$29)),$B$2:$O$29),IF(_xlpm.result&gt;150,"",_xlpm.result)),"")</f>
        <v/>
      </c>
      <c r="K39" s="1" t="str" cm="1">
        <f t="array" ref="K39">IFERROR(_xlfn.LET(_xlpm.result,RANK(_xlfn.XLOOKUP($A39,$A$2:$A$29,_xlfn.XLOOKUP(K$32,$B$1:$O$1,$B$2:$O$29)),$B$2:$O$29),IF(_xlpm.result&gt;150,"",_xlpm.result)),"")</f>
        <v/>
      </c>
      <c r="L39" s="1" cm="1">
        <f t="array" ref="L39">IFERROR(_xlfn.LET(_xlpm.result,RANK(_xlfn.XLOOKUP($A39,$A$2:$A$29,_xlfn.XLOOKUP(L$32,$B$1:$O$1,$B$2:$O$29)),$B$2:$O$29),IF(_xlpm.result&gt;150,"",_xlpm.result)),"")</f>
        <v>109</v>
      </c>
      <c r="M39" s="1" t="str" cm="1">
        <f t="array" ref="M39">IFERROR(_xlfn.LET(_xlpm.result,RANK(_xlfn.XLOOKUP($A39,$A$2:$A$29,_xlfn.XLOOKUP(M$32,$B$1:$O$1,$B$2:$O$29)),$B$2:$O$29),IF(_xlpm.result&gt;150,"",_xlpm.result)),"")</f>
        <v/>
      </c>
      <c r="N39" s="1" t="str" cm="1">
        <f t="array" ref="N39">IFERROR(_xlfn.LET(_xlpm.result,RANK(_xlfn.XLOOKUP($A39,$A$2:$A$29,_xlfn.XLOOKUP(N$32,$B$1:$O$1,$B$2:$O$29)),$B$2:$O$29),IF(_xlpm.result&gt;150,"",_xlpm.result)),"")</f>
        <v/>
      </c>
      <c r="O39" s="1" t="str" cm="1">
        <f t="array" ref="O39">IFERROR(_xlfn.LET(_xlpm.result,RANK(_xlfn.XLOOKUP($A39,$A$2:$A$29,_xlfn.XLOOKUP(O$32,$B$1:$O$1,$B$2:$O$29)),$B$2:$O$29),IF(_xlpm.result&gt;150,"",_xlpm.result)),"")</f>
        <v/>
      </c>
      <c r="P39">
        <f t="shared" si="0"/>
        <v>4</v>
      </c>
      <c r="Q39" s="10">
        <f t="shared" si="1"/>
        <v>49</v>
      </c>
    </row>
    <row r="40" spans="1:18" ht="21" x14ac:dyDescent="0.35">
      <c r="A40" t="s">
        <v>27</v>
      </c>
      <c r="B40" s="1" cm="1">
        <f t="array" ref="B40">IFERROR(_xlfn.LET(_xlpm.result,RANK(_xlfn.XLOOKUP($A40,$A$2:$A$29,_xlfn.XLOOKUP(B$32,$B$1:$O$1,$B$2:$O$29)),$B$2:$O$29),IF(_xlpm.result&gt;150,"",_xlpm.result)),"")</f>
        <v>61</v>
      </c>
      <c r="C40" s="1" cm="1">
        <f t="array" ref="C40">IFERROR(_xlfn.LET(_xlpm.result,RANK(_xlfn.XLOOKUP($A40,$A$2:$A$29,_xlfn.XLOOKUP(C$32,$B$1:$O$1,$B$2:$O$29)),$B$2:$O$29),IF(_xlpm.result&gt;150,"",_xlpm.result)),"")</f>
        <v>63</v>
      </c>
      <c r="D40" s="1" t="str" cm="1">
        <f t="array" ref="D40">IFERROR(_xlfn.LET(_xlpm.result,RANK(_xlfn.XLOOKUP($A40,$A$2:$A$29,_xlfn.XLOOKUP(D$32,$B$1:$O$1,$B$2:$O$29)),$B$2:$O$29),IF(_xlpm.result&gt;150,"",_xlpm.result)),"")</f>
        <v/>
      </c>
      <c r="E40" s="1" t="str" cm="1">
        <f t="array" ref="E40">IFERROR(_xlfn.LET(_xlpm.result,RANK(_xlfn.XLOOKUP($A40,$A$2:$A$29,_xlfn.XLOOKUP(E$32,$B$1:$O$1,$B$2:$O$29)),$B$2:$O$29),IF(_xlpm.result&gt;150,"",_xlpm.result)),"")</f>
        <v/>
      </c>
      <c r="F40" s="1" cm="1">
        <f t="array" ref="F40">IFERROR(_xlfn.LET(_xlpm.result,RANK(_xlfn.XLOOKUP($A40,$A$2:$A$29,_xlfn.XLOOKUP(F$32,$B$1:$O$1,$B$2:$O$29)),$B$2:$O$29),IF(_xlpm.result&gt;150,"",_xlpm.result)),"")</f>
        <v>137</v>
      </c>
      <c r="G40" s="1" t="str" cm="1">
        <f t="array" ref="G40">IFERROR(_xlfn.LET(_xlpm.result,RANK(_xlfn.XLOOKUP($A40,$A$2:$A$29,_xlfn.XLOOKUP(G$32,$B$1:$O$1,$B$2:$O$29)),$B$2:$O$29),IF(_xlpm.result&gt;150,"",_xlpm.result)),"")</f>
        <v/>
      </c>
      <c r="H40" s="1" cm="1">
        <f t="array" ref="H40">IFERROR(_xlfn.LET(_xlpm.result,RANK(_xlfn.XLOOKUP($A40,$A$2:$A$29,_xlfn.XLOOKUP(H$32,$B$1:$O$1,$B$2:$O$29)),$B$2:$O$29),IF(_xlpm.result&gt;150,"",_xlpm.result)),"")</f>
        <v>104</v>
      </c>
      <c r="I40" s="1" t="str" cm="1">
        <f t="array" ref="I40">IFERROR(_xlfn.LET(_xlpm.result,RANK(_xlfn.XLOOKUP($A40,$A$2:$A$29,_xlfn.XLOOKUP(I$32,$B$1:$O$1,$B$2:$O$29)),$B$2:$O$29),IF(_xlpm.result&gt;150,"",_xlpm.result)),"")</f>
        <v/>
      </c>
      <c r="J40" s="1" t="str" cm="1">
        <f t="array" ref="J40">IFERROR(_xlfn.LET(_xlpm.result,RANK(_xlfn.XLOOKUP($A40,$A$2:$A$29,_xlfn.XLOOKUP(J$32,$B$1:$O$1,$B$2:$O$29)),$B$2:$O$29),IF(_xlpm.result&gt;150,"",_xlpm.result)),"")</f>
        <v/>
      </c>
      <c r="K40" s="1" t="str" cm="1">
        <f t="array" ref="K40">IFERROR(_xlfn.LET(_xlpm.result,RANK(_xlfn.XLOOKUP($A40,$A$2:$A$29,_xlfn.XLOOKUP(K$32,$B$1:$O$1,$B$2:$O$29)),$B$2:$O$29),IF(_xlpm.result&gt;150,"",_xlpm.result)),"")</f>
        <v/>
      </c>
      <c r="L40" s="1" t="str" cm="1">
        <f t="array" ref="L40">IFERROR(_xlfn.LET(_xlpm.result,RANK(_xlfn.XLOOKUP($A40,$A$2:$A$29,_xlfn.XLOOKUP(L$32,$B$1:$O$1,$B$2:$O$29)),$B$2:$O$29),IF(_xlpm.result&gt;150,"",_xlpm.result)),"")</f>
        <v/>
      </c>
      <c r="M40" s="1" t="str" cm="1">
        <f t="array" ref="M40">IFERROR(_xlfn.LET(_xlpm.result,RANK(_xlfn.XLOOKUP($A40,$A$2:$A$29,_xlfn.XLOOKUP(M$32,$B$1:$O$1,$B$2:$O$29)),$B$2:$O$29),IF(_xlpm.result&gt;150,"",_xlpm.result)),"")</f>
        <v/>
      </c>
      <c r="N40" s="1" t="str" cm="1">
        <f t="array" ref="N40">IFERROR(_xlfn.LET(_xlpm.result,RANK(_xlfn.XLOOKUP($A40,$A$2:$A$29,_xlfn.XLOOKUP(N$32,$B$1:$O$1,$B$2:$O$29)),$B$2:$O$29),IF(_xlpm.result&gt;150,"",_xlpm.result)),"")</f>
        <v/>
      </c>
      <c r="O40" s="12" cm="1">
        <f t="array" ref="O40">IFERROR(_xlfn.LET(_xlpm.result,RANK(_xlfn.XLOOKUP($A40,$A$2:$A$29,_xlfn.XLOOKUP(O$32,$B$1:$O$1,$B$2:$O$29)),$B$2:$O$29),IF(_xlpm.result&gt;150,"",_xlpm.result)),"")</f>
        <v>38</v>
      </c>
      <c r="P40">
        <f t="shared" si="0"/>
        <v>5</v>
      </c>
      <c r="Q40" s="10">
        <f t="shared" si="1"/>
        <v>38</v>
      </c>
    </row>
    <row r="41" spans="1:18" x14ac:dyDescent="0.25">
      <c r="A41" t="s">
        <v>35</v>
      </c>
      <c r="B41" s="1" t="str" cm="1">
        <f t="array" ref="B41">IFERROR(_xlfn.LET(_xlpm.result,RANK(_xlfn.XLOOKUP($A41,$A$2:$A$29,_xlfn.XLOOKUP(B$32,$B$1:$O$1,$B$2:$O$29)),$B$2:$O$29),IF(_xlpm.result&gt;150,"",_xlpm.result)),"")</f>
        <v/>
      </c>
      <c r="C41" s="1" cm="1">
        <f t="array" ref="C41">IFERROR(_xlfn.LET(_xlpm.result,RANK(_xlfn.XLOOKUP($A41,$A$2:$A$29,_xlfn.XLOOKUP(C$32,$B$1:$O$1,$B$2:$O$29)),$B$2:$O$29),IF(_xlpm.result&gt;150,"",_xlpm.result)),"")</f>
        <v>38</v>
      </c>
      <c r="D41" s="1" t="str" cm="1">
        <f t="array" ref="D41">IFERROR(_xlfn.LET(_xlpm.result,RANK(_xlfn.XLOOKUP($A41,$A$2:$A$29,_xlfn.XLOOKUP(D$32,$B$1:$O$1,$B$2:$O$29)),$B$2:$O$29),IF(_xlpm.result&gt;150,"",_xlpm.result)),"")</f>
        <v/>
      </c>
      <c r="E41" s="1" t="str" cm="1">
        <f t="array" ref="E41">IFERROR(_xlfn.LET(_xlpm.result,RANK(_xlfn.XLOOKUP($A41,$A$2:$A$29,_xlfn.XLOOKUP(E$32,$B$1:$O$1,$B$2:$O$29)),$B$2:$O$29),IF(_xlpm.result&gt;150,"",_xlpm.result)),"")</f>
        <v/>
      </c>
      <c r="F41" s="1" t="str" cm="1">
        <f t="array" ref="F41">IFERROR(_xlfn.LET(_xlpm.result,RANK(_xlfn.XLOOKUP($A41,$A$2:$A$29,_xlfn.XLOOKUP(F$32,$B$1:$O$1,$B$2:$O$29)),$B$2:$O$29),IF(_xlpm.result&gt;150,"",_xlpm.result)),"")</f>
        <v/>
      </c>
      <c r="G41" s="1" t="str" cm="1">
        <f t="array" ref="G41">IFERROR(_xlfn.LET(_xlpm.result,RANK(_xlfn.XLOOKUP($A41,$A$2:$A$29,_xlfn.XLOOKUP(G$32,$B$1:$O$1,$B$2:$O$29)),$B$2:$O$29),IF(_xlpm.result&gt;150,"",_xlpm.result)),"")</f>
        <v/>
      </c>
      <c r="H41" s="1" t="str" cm="1">
        <f t="array" ref="H41">IFERROR(_xlfn.LET(_xlpm.result,RANK(_xlfn.XLOOKUP($A41,$A$2:$A$29,_xlfn.XLOOKUP(H$32,$B$1:$O$1,$B$2:$O$29)),$B$2:$O$29),IF(_xlpm.result&gt;150,"",_xlpm.result)),"")</f>
        <v/>
      </c>
      <c r="I41" s="1" cm="1">
        <f t="array" ref="I41">IFERROR(_xlfn.LET(_xlpm.result,RANK(_xlfn.XLOOKUP($A41,$A$2:$A$29,_xlfn.XLOOKUP(I$32,$B$1:$O$1,$B$2:$O$29)),$B$2:$O$29),IF(_xlpm.result&gt;150,"",_xlpm.result)),"")</f>
        <v>143</v>
      </c>
      <c r="J41" s="1" t="str" cm="1">
        <f t="array" ref="J41">IFERROR(_xlfn.LET(_xlpm.result,RANK(_xlfn.XLOOKUP($A41,$A$2:$A$29,_xlfn.XLOOKUP(J$32,$B$1:$O$1,$B$2:$O$29)),$B$2:$O$29),IF(_xlpm.result&gt;150,"",_xlpm.result)),"")</f>
        <v/>
      </c>
      <c r="K41" s="1" t="str" cm="1">
        <f t="array" ref="K41">IFERROR(_xlfn.LET(_xlpm.result,RANK(_xlfn.XLOOKUP($A41,$A$2:$A$29,_xlfn.XLOOKUP(K$32,$B$1:$O$1,$B$2:$O$29)),$B$2:$O$29),IF(_xlpm.result&gt;150,"",_xlpm.result)),"")</f>
        <v/>
      </c>
      <c r="L41" s="1" t="str" cm="1">
        <f t="array" ref="L41">IFERROR(_xlfn.LET(_xlpm.result,RANK(_xlfn.XLOOKUP($A41,$A$2:$A$29,_xlfn.XLOOKUP(L$32,$B$1:$O$1,$B$2:$O$29)),$B$2:$O$29),IF(_xlpm.result&gt;150,"",_xlpm.result)),"")</f>
        <v/>
      </c>
      <c r="M41" s="1" t="str" cm="1">
        <f t="array" ref="M41">IFERROR(_xlfn.LET(_xlpm.result,RANK(_xlfn.XLOOKUP($A41,$A$2:$A$29,_xlfn.XLOOKUP(M$32,$B$1:$O$1,$B$2:$O$29)),$B$2:$O$29),IF(_xlpm.result&gt;150,"",_xlpm.result)),"")</f>
        <v/>
      </c>
      <c r="N41" s="1" cm="1">
        <f t="array" ref="N41">IFERROR(_xlfn.LET(_xlpm.result,RANK(_xlfn.XLOOKUP($A41,$A$2:$A$29,_xlfn.XLOOKUP(N$32,$B$1:$O$1,$B$2:$O$29)),$B$2:$O$29),IF(_xlpm.result&gt;150,"",_xlpm.result)),"")</f>
        <v>101</v>
      </c>
      <c r="O41" s="1" t="str" cm="1">
        <f t="array" ref="O41">IFERROR(_xlfn.LET(_xlpm.result,RANK(_xlfn.XLOOKUP($A41,$A$2:$A$29,_xlfn.XLOOKUP(O$32,$B$1:$O$1,$B$2:$O$29)),$B$2:$O$29),IF(_xlpm.result&gt;150,"",_xlpm.result)),"")</f>
        <v/>
      </c>
      <c r="P41">
        <f t="shared" si="0"/>
        <v>3</v>
      </c>
      <c r="Q41" s="10">
        <f t="shared" si="1"/>
        <v>38</v>
      </c>
    </row>
    <row r="42" spans="1:18" ht="21" x14ac:dyDescent="0.35">
      <c r="A42" t="s">
        <v>39</v>
      </c>
      <c r="B42" s="1" cm="1">
        <f t="array" ref="B42">IFERROR(_xlfn.LET(_xlpm.result,RANK(_xlfn.XLOOKUP($A42,$A$2:$A$29,_xlfn.XLOOKUP(B$32,$B$1:$O$1,$B$2:$O$29)),$B$2:$O$29),IF(_xlpm.result&gt;150,"",_xlpm.result)),"")</f>
        <v>61</v>
      </c>
      <c r="C42" s="1" t="str" cm="1">
        <f t="array" ref="C42">IFERROR(_xlfn.LET(_xlpm.result,RANK(_xlfn.XLOOKUP($A42,$A$2:$A$29,_xlfn.XLOOKUP(C$32,$B$1:$O$1,$B$2:$O$29)),$B$2:$O$29),IF(_xlpm.result&gt;150,"",_xlpm.result)),"")</f>
        <v/>
      </c>
      <c r="D42" s="1" t="str" cm="1">
        <f t="array" ref="D42">IFERROR(_xlfn.LET(_xlpm.result,RANK(_xlfn.XLOOKUP($A42,$A$2:$A$29,_xlfn.XLOOKUP(D$32,$B$1:$O$1,$B$2:$O$29)),$B$2:$O$29),IF(_xlpm.result&gt;150,"",_xlpm.result)),"")</f>
        <v/>
      </c>
      <c r="E42" s="1" t="str" cm="1">
        <f t="array" ref="E42">IFERROR(_xlfn.LET(_xlpm.result,RANK(_xlfn.XLOOKUP($A42,$A$2:$A$29,_xlfn.XLOOKUP(E$32,$B$1:$O$1,$B$2:$O$29)),$B$2:$O$29),IF(_xlpm.result&gt;150,"",_xlpm.result)),"")</f>
        <v/>
      </c>
      <c r="F42" s="1" t="str" cm="1">
        <f t="array" ref="F42">IFERROR(_xlfn.LET(_xlpm.result,RANK(_xlfn.XLOOKUP($A42,$A$2:$A$29,_xlfn.XLOOKUP(F$32,$B$1:$O$1,$B$2:$O$29)),$B$2:$O$29),IF(_xlpm.result&gt;150,"",_xlpm.result)),"")</f>
        <v/>
      </c>
      <c r="G42" s="1" t="str" cm="1">
        <f t="array" ref="G42">IFERROR(_xlfn.LET(_xlpm.result,RANK(_xlfn.XLOOKUP($A42,$A$2:$A$29,_xlfn.XLOOKUP(G$32,$B$1:$O$1,$B$2:$O$29)),$B$2:$O$29),IF(_xlpm.result&gt;150,"",_xlpm.result)),"")</f>
        <v/>
      </c>
      <c r="H42" s="1" cm="1">
        <f t="array" ref="H42">IFERROR(_xlfn.LET(_xlpm.result,RANK(_xlfn.XLOOKUP($A42,$A$2:$A$29,_xlfn.XLOOKUP(H$32,$B$1:$O$1,$B$2:$O$29)),$B$2:$O$29),IF(_xlpm.result&gt;150,"",_xlpm.result)),"")</f>
        <v>124</v>
      </c>
      <c r="I42" s="1" t="str" cm="1">
        <f t="array" ref="I42">IFERROR(_xlfn.LET(_xlpm.result,RANK(_xlfn.XLOOKUP($A42,$A$2:$A$29,_xlfn.XLOOKUP(I$32,$B$1:$O$1,$B$2:$O$29)),$B$2:$O$29),IF(_xlpm.result&gt;150,"",_xlpm.result)),"")</f>
        <v/>
      </c>
      <c r="J42" s="1" t="str" cm="1">
        <f t="array" ref="J42">IFERROR(_xlfn.LET(_xlpm.result,RANK(_xlfn.XLOOKUP($A42,$A$2:$A$29,_xlfn.XLOOKUP(J$32,$B$1:$O$1,$B$2:$O$29)),$B$2:$O$29),IF(_xlpm.result&gt;150,"",_xlpm.result)),"")</f>
        <v/>
      </c>
      <c r="K42" s="1" t="str" cm="1">
        <f t="array" ref="K42">IFERROR(_xlfn.LET(_xlpm.result,RANK(_xlfn.XLOOKUP($A42,$A$2:$A$29,_xlfn.XLOOKUP(K$32,$B$1:$O$1,$B$2:$O$29)),$B$2:$O$29),IF(_xlpm.result&gt;150,"",_xlpm.result)),"")</f>
        <v/>
      </c>
      <c r="L42" s="1" t="str" cm="1">
        <f t="array" ref="L42">IFERROR(_xlfn.LET(_xlpm.result,RANK(_xlfn.XLOOKUP($A42,$A$2:$A$29,_xlfn.XLOOKUP(L$32,$B$1:$O$1,$B$2:$O$29)),$B$2:$O$29),IF(_xlpm.result&gt;150,"",_xlpm.result)),"")</f>
        <v/>
      </c>
      <c r="M42" s="12" cm="1">
        <f t="array" ref="M42">IFERROR(_xlfn.LET(_xlpm.result,RANK(_xlfn.XLOOKUP($A42,$A$2:$A$29,_xlfn.XLOOKUP(M$32,$B$1:$O$1,$B$2:$O$29)),$B$2:$O$29),IF(_xlpm.result&gt;150,"",_xlpm.result)),"")</f>
        <v>32</v>
      </c>
      <c r="N42" s="1" t="str" cm="1">
        <f t="array" ref="N42">IFERROR(_xlfn.LET(_xlpm.result,RANK(_xlfn.XLOOKUP($A42,$A$2:$A$29,_xlfn.XLOOKUP(N$32,$B$1:$O$1,$B$2:$O$29)),$B$2:$O$29),IF(_xlpm.result&gt;150,"",_xlpm.result)),"")</f>
        <v/>
      </c>
      <c r="O42" s="1" t="str" cm="1">
        <f t="array" ref="O42">IFERROR(_xlfn.LET(_xlpm.result,RANK(_xlfn.XLOOKUP($A42,$A$2:$A$29,_xlfn.XLOOKUP(O$32,$B$1:$O$1,$B$2:$O$29)),$B$2:$O$29),IF(_xlpm.result&gt;150,"",_xlpm.result)),"")</f>
        <v/>
      </c>
      <c r="P42">
        <f t="shared" si="0"/>
        <v>3</v>
      </c>
      <c r="Q42" s="10">
        <f t="shared" si="1"/>
        <v>32</v>
      </c>
    </row>
    <row r="43" spans="1:18" ht="21" x14ac:dyDescent="0.35">
      <c r="A43" t="s">
        <v>48</v>
      </c>
      <c r="B43" s="1" t="str" cm="1">
        <f t="array" ref="B43">IFERROR(_xlfn.LET(_xlpm.result,RANK(_xlfn.XLOOKUP($A43,$A$2:$A$29,_xlfn.XLOOKUP(B$32,$B$1:$O$1,$B$2:$O$29)),$B$2:$O$29),IF(_xlpm.result&gt;150,"",_xlpm.result)),"")</f>
        <v/>
      </c>
      <c r="C43" s="1" t="str" cm="1">
        <f t="array" ref="C43">IFERROR(_xlfn.LET(_xlpm.result,RANK(_xlfn.XLOOKUP($A43,$A$2:$A$29,_xlfn.XLOOKUP(C$32,$B$1:$O$1,$B$2:$O$29)),$B$2:$O$29),IF(_xlpm.result&gt;150,"",_xlpm.result)),"")</f>
        <v/>
      </c>
      <c r="D43" s="1" t="str" cm="1">
        <f t="array" ref="D43">IFERROR(_xlfn.LET(_xlpm.result,RANK(_xlfn.XLOOKUP($A43,$A$2:$A$29,_xlfn.XLOOKUP(D$32,$B$1:$O$1,$B$2:$O$29)),$B$2:$O$29),IF(_xlpm.result&gt;150,"",_xlpm.result)),"")</f>
        <v/>
      </c>
      <c r="E43" s="1" cm="1">
        <f t="array" ref="E43">IFERROR(_xlfn.LET(_xlpm.result,RANK(_xlfn.XLOOKUP($A43,$A$2:$A$29,_xlfn.XLOOKUP(E$32,$B$1:$O$1,$B$2:$O$29)),$B$2:$O$29),IF(_xlpm.result&gt;150,"",_xlpm.result)),"")</f>
        <v>30</v>
      </c>
      <c r="F43" s="1" t="str" cm="1">
        <f t="array" ref="F43">IFERROR(_xlfn.LET(_xlpm.result,RANK(_xlfn.XLOOKUP($A43,$A$2:$A$29,_xlfn.XLOOKUP(F$32,$B$1:$O$1,$B$2:$O$29)),$B$2:$O$29),IF(_xlpm.result&gt;150,"",_xlpm.result)),"")</f>
        <v/>
      </c>
      <c r="G43" s="1" cm="1">
        <f t="array" ref="G43">IFERROR(_xlfn.LET(_xlpm.result,RANK(_xlfn.XLOOKUP($A43,$A$2:$A$29,_xlfn.XLOOKUP(G$32,$B$1:$O$1,$B$2:$O$29)),$B$2:$O$29),IF(_xlpm.result&gt;150,"",_xlpm.result)),"")</f>
        <v>137</v>
      </c>
      <c r="H43" s="1" t="str" cm="1">
        <f t="array" ref="H43">IFERROR(_xlfn.LET(_xlpm.result,RANK(_xlfn.XLOOKUP($A43,$A$2:$A$29,_xlfn.XLOOKUP(H$32,$B$1:$O$1,$B$2:$O$29)),$B$2:$O$29),IF(_xlpm.result&gt;150,"",_xlpm.result)),"")</f>
        <v/>
      </c>
      <c r="I43" s="1" t="str" cm="1">
        <f t="array" ref="I43">IFERROR(_xlfn.LET(_xlpm.result,RANK(_xlfn.XLOOKUP($A43,$A$2:$A$29,_xlfn.XLOOKUP(I$32,$B$1:$O$1,$B$2:$O$29)),$B$2:$O$29),IF(_xlpm.result&gt;150,"",_xlpm.result)),"")</f>
        <v/>
      </c>
      <c r="J43" s="1" cm="1">
        <f t="array" ref="J43">IFERROR(_xlfn.LET(_xlpm.result,RANK(_xlfn.XLOOKUP($A43,$A$2:$A$29,_xlfn.XLOOKUP(J$32,$B$1:$O$1,$B$2:$O$29)),$B$2:$O$29),IF(_xlpm.result&gt;150,"",_xlpm.result)),"")</f>
        <v>130</v>
      </c>
      <c r="K43" s="12" cm="1">
        <f t="array" ref="K43">IFERROR(_xlfn.LET(_xlpm.result,RANK(_xlfn.XLOOKUP($A43,$A$2:$A$29,_xlfn.XLOOKUP(K$32,$B$1:$O$1,$B$2:$O$29)),$B$2:$O$29),IF(_xlpm.result&gt;150,"",_xlpm.result)),"")</f>
        <v>30</v>
      </c>
      <c r="L43" s="1" cm="1">
        <f t="array" ref="L43">IFERROR(_xlfn.LET(_xlpm.result,RANK(_xlfn.XLOOKUP($A43,$A$2:$A$29,_xlfn.XLOOKUP(L$32,$B$1:$O$1,$B$2:$O$29)),$B$2:$O$29),IF(_xlpm.result&gt;150,"",_xlpm.result)),"")</f>
        <v>110</v>
      </c>
      <c r="M43" s="1" cm="1">
        <f t="array" ref="M43">IFERROR(_xlfn.LET(_xlpm.result,RANK(_xlfn.XLOOKUP($A43,$A$2:$A$29,_xlfn.XLOOKUP(M$32,$B$1:$O$1,$B$2:$O$29)),$B$2:$O$29),IF(_xlpm.result&gt;150,"",_xlpm.result)),"")</f>
        <v>55</v>
      </c>
      <c r="N43" s="1" cm="1">
        <f t="array" ref="N43">IFERROR(_xlfn.LET(_xlpm.result,RANK(_xlfn.XLOOKUP($A43,$A$2:$A$29,_xlfn.XLOOKUP(N$32,$B$1:$O$1,$B$2:$O$29)),$B$2:$O$29),IF(_xlpm.result&gt;150,"",_xlpm.result)),"")</f>
        <v>79</v>
      </c>
      <c r="O43" s="1" cm="1">
        <f t="array" ref="O43">IFERROR(_xlfn.LET(_xlpm.result,RANK(_xlfn.XLOOKUP($A43,$A$2:$A$29,_xlfn.XLOOKUP(O$32,$B$1:$O$1,$B$2:$O$29)),$B$2:$O$29),IF(_xlpm.result&gt;150,"",_xlpm.result)),"")</f>
        <v>55</v>
      </c>
      <c r="P43">
        <f t="shared" si="0"/>
        <v>8</v>
      </c>
      <c r="Q43" s="10">
        <f t="shared" si="1"/>
        <v>30</v>
      </c>
    </row>
    <row r="44" spans="1:18" s="16" customFormat="1" ht="21" x14ac:dyDescent="0.35">
      <c r="A44" t="s">
        <v>45</v>
      </c>
      <c r="B44" s="1" t="str" cm="1">
        <f t="array" ref="B44">IFERROR(_xlfn.LET(_xlpm.result,RANK(_xlfn.XLOOKUP($A44,$A$2:$A$29,_xlfn.XLOOKUP(B$32,$B$1:$O$1,$B$2:$O$29)),$B$2:$O$29),IF(_xlpm.result&gt;150,"",_xlpm.result)),"")</f>
        <v/>
      </c>
      <c r="C44" s="1" cm="1">
        <f t="array" ref="C44">IFERROR(_xlfn.LET(_xlpm.result,RANK(_xlfn.XLOOKUP($A44,$A$2:$A$29,_xlfn.XLOOKUP(C$32,$B$1:$O$1,$B$2:$O$29)),$B$2:$O$29),IF(_xlpm.result&gt;150,"",_xlpm.result)),"")</f>
        <v>74</v>
      </c>
      <c r="D44" s="1" cm="1">
        <f t="array" ref="D44">IFERROR(_xlfn.LET(_xlpm.result,RANK(_xlfn.XLOOKUP($A44,$A$2:$A$29,_xlfn.XLOOKUP(D$32,$B$1:$O$1,$B$2:$O$29)),$B$2:$O$29),IF(_xlpm.result&gt;150,"",_xlpm.result)),"")</f>
        <v>28</v>
      </c>
      <c r="E44" s="1" t="str" cm="1">
        <f t="array" ref="E44">IFERROR(_xlfn.LET(_xlpm.result,RANK(_xlfn.XLOOKUP($A44,$A$2:$A$29,_xlfn.XLOOKUP(E$32,$B$1:$O$1,$B$2:$O$29)),$B$2:$O$29),IF(_xlpm.result&gt;150,"",_xlpm.result)),"")</f>
        <v/>
      </c>
      <c r="F44" s="1" t="str" cm="1">
        <f t="array" ref="F44">IFERROR(_xlfn.LET(_xlpm.result,RANK(_xlfn.XLOOKUP($A44,$A$2:$A$29,_xlfn.XLOOKUP(F$32,$B$1:$O$1,$B$2:$O$29)),$B$2:$O$29),IF(_xlpm.result&gt;150,"",_xlpm.result)),"")</f>
        <v/>
      </c>
      <c r="G44" s="1" t="str" cm="1">
        <f t="array" ref="G44">IFERROR(_xlfn.LET(_xlpm.result,RANK(_xlfn.XLOOKUP($A44,$A$2:$A$29,_xlfn.XLOOKUP(G$32,$B$1:$O$1,$B$2:$O$29)),$B$2:$O$29),IF(_xlpm.result&gt;150,"",_xlpm.result)),"")</f>
        <v/>
      </c>
      <c r="H44" s="12" cm="1">
        <f t="array" ref="H44">IFERROR(_xlfn.LET(_xlpm.result,RANK(_xlfn.XLOOKUP($A44,$A$2:$A$29,_xlfn.XLOOKUP(H$32,$B$1:$O$1,$B$2:$O$29)),$B$2:$O$29),IF(_xlpm.result&gt;150,"",_xlpm.result)),"")</f>
        <v>28</v>
      </c>
      <c r="I44" s="1" cm="1">
        <f t="array" ref="I44">IFERROR(_xlfn.LET(_xlpm.result,RANK(_xlfn.XLOOKUP($A44,$A$2:$A$29,_xlfn.XLOOKUP(I$32,$B$1:$O$1,$B$2:$O$29)),$B$2:$O$29),IF(_xlpm.result&gt;150,"",_xlpm.result)),"")</f>
        <v>133</v>
      </c>
      <c r="J44" s="1" t="str" cm="1">
        <f t="array" ref="J44">IFERROR(_xlfn.LET(_xlpm.result,RANK(_xlfn.XLOOKUP($A44,$A$2:$A$29,_xlfn.XLOOKUP(J$32,$B$1:$O$1,$B$2:$O$29)),$B$2:$O$29),IF(_xlpm.result&gt;150,"",_xlpm.result)),"")</f>
        <v/>
      </c>
      <c r="K44" s="1" t="str" cm="1">
        <f t="array" ref="K44">IFERROR(_xlfn.LET(_xlpm.result,RANK(_xlfn.XLOOKUP($A44,$A$2:$A$29,_xlfn.XLOOKUP(K$32,$B$1:$O$1,$B$2:$O$29)),$B$2:$O$29),IF(_xlpm.result&gt;150,"",_xlpm.result)),"")</f>
        <v/>
      </c>
      <c r="L44" s="1" cm="1">
        <f t="array" ref="L44">IFERROR(_xlfn.LET(_xlpm.result,RANK(_xlfn.XLOOKUP($A44,$A$2:$A$29,_xlfn.XLOOKUP(L$32,$B$1:$O$1,$B$2:$O$29)),$B$2:$O$29),IF(_xlpm.result&gt;150,"",_xlpm.result)),"")</f>
        <v>91</v>
      </c>
      <c r="M44" s="1" t="str" cm="1">
        <f t="array" ref="M44">IFERROR(_xlfn.LET(_xlpm.result,RANK(_xlfn.XLOOKUP($A44,$A$2:$A$29,_xlfn.XLOOKUP(M$32,$B$1:$O$1,$B$2:$O$29)),$B$2:$O$29),IF(_xlpm.result&gt;150,"",_xlpm.result)),"")</f>
        <v/>
      </c>
      <c r="N44" s="1" cm="1">
        <f t="array" ref="N44">IFERROR(_xlfn.LET(_xlpm.result,RANK(_xlfn.XLOOKUP($A44,$A$2:$A$29,_xlfn.XLOOKUP(N$32,$B$1:$O$1,$B$2:$O$29)),$B$2:$O$29),IF(_xlpm.result&gt;150,"",_xlpm.result)),"")</f>
        <v>74</v>
      </c>
      <c r="O44" s="1" t="str" cm="1">
        <f t="array" ref="O44">IFERROR(_xlfn.LET(_xlpm.result,RANK(_xlfn.XLOOKUP($A44,$A$2:$A$29,_xlfn.XLOOKUP(O$32,$B$1:$O$1,$B$2:$O$29)),$B$2:$O$29),IF(_xlpm.result&gt;150,"",_xlpm.result)),"")</f>
        <v/>
      </c>
      <c r="P44">
        <f t="shared" si="0"/>
        <v>6</v>
      </c>
      <c r="Q44" s="10">
        <f t="shared" si="1"/>
        <v>28</v>
      </c>
      <c r="R44">
        <v>14</v>
      </c>
    </row>
    <row r="45" spans="1:18" ht="21" x14ac:dyDescent="0.35">
      <c r="A45" t="s">
        <v>21</v>
      </c>
      <c r="B45" s="1" t="str" cm="1">
        <f t="array" ref="B45">IFERROR(_xlfn.LET(_xlpm.result,RANK(_xlfn.XLOOKUP($A45,$A$2:$A$29,_xlfn.XLOOKUP(B$32,$B$1:$O$1,$B$2:$O$29)),$B$2:$O$29),IF(_xlpm.result&gt;150,"",_xlpm.result)),"")</f>
        <v/>
      </c>
      <c r="C45" s="1" t="str" cm="1">
        <f t="array" ref="C45">IFERROR(_xlfn.LET(_xlpm.result,RANK(_xlfn.XLOOKUP($A45,$A$2:$A$29,_xlfn.XLOOKUP(C$32,$B$1:$O$1,$B$2:$O$29)),$B$2:$O$29),IF(_xlpm.result&gt;150,"",_xlpm.result)),"")</f>
        <v/>
      </c>
      <c r="D45" s="1" t="str" cm="1">
        <f t="array" ref="D45">IFERROR(_xlfn.LET(_xlpm.result,RANK(_xlfn.XLOOKUP($A45,$A$2:$A$29,_xlfn.XLOOKUP(D$32,$B$1:$O$1,$B$2:$O$29)),$B$2:$O$29),IF(_xlpm.result&gt;150,"",_xlpm.result)),"")</f>
        <v/>
      </c>
      <c r="E45" s="1" cm="1">
        <f t="array" ref="E45">IFERROR(_xlfn.LET(_xlpm.result,RANK(_xlfn.XLOOKUP($A45,$A$2:$A$29,_xlfn.XLOOKUP(E$32,$B$1:$O$1,$B$2:$O$29)),$B$2:$O$29),IF(_xlpm.result&gt;150,"",_xlpm.result)),"")</f>
        <v>132</v>
      </c>
      <c r="F45" s="1" cm="1">
        <f t="array" ref="F45">IFERROR(_xlfn.LET(_xlpm.result,RANK(_xlfn.XLOOKUP($A45,$A$2:$A$29,_xlfn.XLOOKUP(F$32,$B$1:$O$1,$B$2:$O$29)),$B$2:$O$29),IF(_xlpm.result&gt;150,"",_xlpm.result)),"")</f>
        <v>89</v>
      </c>
      <c r="G45" s="1" t="str" cm="1">
        <f t="array" ref="G45">IFERROR(_xlfn.LET(_xlpm.result,RANK(_xlfn.XLOOKUP($A45,$A$2:$A$29,_xlfn.XLOOKUP(G$32,$B$1:$O$1,$B$2:$O$29)),$B$2:$O$29),IF(_xlpm.result&gt;150,"",_xlpm.result)),"")</f>
        <v/>
      </c>
      <c r="H45" s="1" cm="1">
        <f t="array" ref="H45">IFERROR(_xlfn.LET(_xlpm.result,RANK(_xlfn.XLOOKUP($A45,$A$2:$A$29,_xlfn.XLOOKUP(H$32,$B$1:$O$1,$B$2:$O$29)),$B$2:$O$29),IF(_xlpm.result&gt;150,"",_xlpm.result)),"")</f>
        <v>73</v>
      </c>
      <c r="I45" s="1" cm="1">
        <f t="array" ref="I45">IFERROR(_xlfn.LET(_xlpm.result,RANK(_xlfn.XLOOKUP($A45,$A$2:$A$29,_xlfn.XLOOKUP(I$32,$B$1:$O$1,$B$2:$O$29)),$B$2:$O$29),IF(_xlpm.result&gt;150,"",_xlpm.result)),"")</f>
        <v>60</v>
      </c>
      <c r="J45" s="12" cm="1">
        <f t="array" ref="J45">IFERROR(_xlfn.LET(_xlpm.result,RANK(_xlfn.XLOOKUP($A45,$A$2:$A$29,_xlfn.XLOOKUP(J$32,$B$1:$O$1,$B$2:$O$29)),$B$2:$O$29),IF(_xlpm.result&gt;150,"",_xlpm.result)),"")</f>
        <v>26</v>
      </c>
      <c r="K45" s="1" t="str" cm="1">
        <f t="array" ref="K45">IFERROR(_xlfn.LET(_xlpm.result,RANK(_xlfn.XLOOKUP($A45,$A$2:$A$29,_xlfn.XLOOKUP(K$32,$B$1:$O$1,$B$2:$O$29)),$B$2:$O$29),IF(_xlpm.result&gt;150,"",_xlpm.result)),"")</f>
        <v/>
      </c>
      <c r="L45" s="1" cm="1">
        <f t="array" ref="L45">IFERROR(_xlfn.LET(_xlpm.result,RANK(_xlfn.XLOOKUP($A45,$A$2:$A$29,_xlfn.XLOOKUP(L$32,$B$1:$O$1,$B$2:$O$29)),$B$2:$O$29),IF(_xlpm.result&gt;150,"",_xlpm.result)),"")</f>
        <v>26</v>
      </c>
      <c r="M45" s="1" cm="1">
        <f t="array" ref="M45">IFERROR(_xlfn.LET(_xlpm.result,RANK(_xlfn.XLOOKUP($A45,$A$2:$A$29,_xlfn.XLOOKUP(M$32,$B$1:$O$1,$B$2:$O$29)),$B$2:$O$29),IF(_xlpm.result&gt;150,"",_xlpm.result)),"")</f>
        <v>149</v>
      </c>
      <c r="N45" s="1" t="str" cm="1">
        <f t="array" ref="N45">IFERROR(_xlfn.LET(_xlpm.result,RANK(_xlfn.XLOOKUP($A45,$A$2:$A$29,_xlfn.XLOOKUP(N$32,$B$1:$O$1,$B$2:$O$29)),$B$2:$O$29),IF(_xlpm.result&gt;150,"",_xlpm.result)),"")</f>
        <v/>
      </c>
      <c r="O45" s="1" t="str" cm="1">
        <f t="array" ref="O45">IFERROR(_xlfn.LET(_xlpm.result,RANK(_xlfn.XLOOKUP($A45,$A$2:$A$29,_xlfn.XLOOKUP(O$32,$B$1:$O$1,$B$2:$O$29)),$B$2:$O$29),IF(_xlpm.result&gt;150,"",_xlpm.result)),"")</f>
        <v/>
      </c>
      <c r="P45">
        <f t="shared" si="0"/>
        <v>7</v>
      </c>
      <c r="Q45" s="10">
        <f t="shared" si="1"/>
        <v>26</v>
      </c>
      <c r="R45">
        <v>13</v>
      </c>
    </row>
    <row r="46" spans="1:18" s="16" customFormat="1" x14ac:dyDescent="0.25">
      <c r="A46" t="s">
        <v>50</v>
      </c>
      <c r="B46" s="1" t="str" cm="1">
        <f t="array" ref="B46">IFERROR(_xlfn.LET(_xlpm.result,RANK(_xlfn.XLOOKUP($A46,$A$2:$A$29,_xlfn.XLOOKUP(B$32,$B$1:$O$1,$B$2:$O$29)),$B$2:$O$29),IF(_xlpm.result&gt;150,"",_xlpm.result)),"")</f>
        <v/>
      </c>
      <c r="C46" s="1" cm="1">
        <f t="array" ref="C46">IFERROR(_xlfn.LET(_xlpm.result,RANK(_xlfn.XLOOKUP($A46,$A$2:$A$29,_xlfn.XLOOKUP(C$32,$B$1:$O$1,$B$2:$O$29)),$B$2:$O$29),IF(_xlpm.result&gt;150,"",_xlpm.result)),"")</f>
        <v>110</v>
      </c>
      <c r="D46" s="1" cm="1">
        <f t="array" ref="D46">IFERROR(_xlfn.LET(_xlpm.result,RANK(_xlfn.XLOOKUP($A46,$A$2:$A$29,_xlfn.XLOOKUP(D$32,$B$1:$O$1,$B$2:$O$29)),$B$2:$O$29),IF(_xlpm.result&gt;150,"",_xlpm.result)),"")</f>
        <v>145</v>
      </c>
      <c r="E46" s="1" t="str" cm="1">
        <f t="array" ref="E46">IFERROR(_xlfn.LET(_xlpm.result,RANK(_xlfn.XLOOKUP($A46,$A$2:$A$29,_xlfn.XLOOKUP(E$32,$B$1:$O$1,$B$2:$O$29)),$B$2:$O$29),IF(_xlpm.result&gt;150,"",_xlpm.result)),"")</f>
        <v/>
      </c>
      <c r="F46" s="1" t="str" cm="1">
        <f t="array" ref="F46">IFERROR(_xlfn.LET(_xlpm.result,RANK(_xlfn.XLOOKUP($A46,$A$2:$A$29,_xlfn.XLOOKUP(F$32,$B$1:$O$1,$B$2:$O$29)),$B$2:$O$29),IF(_xlpm.result&gt;150,"",_xlpm.result)),"")</f>
        <v/>
      </c>
      <c r="G46" s="1" t="str" cm="1">
        <f t="array" ref="G46">IFERROR(_xlfn.LET(_xlpm.result,RANK(_xlfn.XLOOKUP($A46,$A$2:$A$29,_xlfn.XLOOKUP(G$32,$B$1:$O$1,$B$2:$O$29)),$B$2:$O$29),IF(_xlpm.result&gt;150,"",_xlpm.result)),"")</f>
        <v/>
      </c>
      <c r="H46" s="1" cm="1">
        <f t="array" ref="H46">IFERROR(_xlfn.LET(_xlpm.result,RANK(_xlfn.XLOOKUP($A46,$A$2:$A$29,_xlfn.XLOOKUP(H$32,$B$1:$O$1,$B$2:$O$29)),$B$2:$O$29),IF(_xlpm.result&gt;150,"",_xlpm.result)),"")</f>
        <v>63</v>
      </c>
      <c r="I46" s="1" t="str" cm="1">
        <f t="array" ref="I46">IFERROR(_xlfn.LET(_xlpm.result,RANK(_xlfn.XLOOKUP($A46,$A$2:$A$29,_xlfn.XLOOKUP(I$32,$B$1:$O$1,$B$2:$O$29)),$B$2:$O$29),IF(_xlpm.result&gt;150,"",_xlpm.result)),"")</f>
        <v/>
      </c>
      <c r="J46" s="1" t="str" cm="1">
        <f t="array" ref="J46">IFERROR(_xlfn.LET(_xlpm.result,RANK(_xlfn.XLOOKUP($A46,$A$2:$A$29,_xlfn.XLOOKUP(J$32,$B$1:$O$1,$B$2:$O$29)),$B$2:$O$29),IF(_xlpm.result&gt;150,"",_xlpm.result)),"")</f>
        <v/>
      </c>
      <c r="K46" s="1" t="str" cm="1">
        <f t="array" ref="K46">IFERROR(_xlfn.LET(_xlpm.result,RANK(_xlfn.XLOOKUP($A46,$A$2:$A$29,_xlfn.XLOOKUP(K$32,$B$1:$O$1,$B$2:$O$29)),$B$2:$O$29),IF(_xlpm.result&gt;150,"",_xlpm.result)),"")</f>
        <v/>
      </c>
      <c r="L46" s="1" cm="1">
        <f t="array" ref="L46">IFERROR(_xlfn.LET(_xlpm.result,RANK(_xlfn.XLOOKUP($A46,$A$2:$A$29,_xlfn.XLOOKUP(L$32,$B$1:$O$1,$B$2:$O$29)),$B$2:$O$29),IF(_xlpm.result&gt;150,"",_xlpm.result)),"")</f>
        <v>24</v>
      </c>
      <c r="M46" s="1" t="str" cm="1">
        <f t="array" ref="M46">IFERROR(_xlfn.LET(_xlpm.result,RANK(_xlfn.XLOOKUP($A46,$A$2:$A$29,_xlfn.XLOOKUP(M$32,$B$1:$O$1,$B$2:$O$29)),$B$2:$O$29),IF(_xlpm.result&gt;150,"",_xlpm.result)),"")</f>
        <v/>
      </c>
      <c r="N46" s="1" cm="1">
        <f t="array" ref="N46">IFERROR(_xlfn.LET(_xlpm.result,RANK(_xlfn.XLOOKUP($A46,$A$2:$A$29,_xlfn.XLOOKUP(N$32,$B$1:$O$1,$B$2:$O$29)),$B$2:$O$29),IF(_xlpm.result&gt;150,"",_xlpm.result)),"")</f>
        <v>145</v>
      </c>
      <c r="O46" s="1" t="str" cm="1">
        <f t="array" ref="O46">IFERROR(_xlfn.LET(_xlpm.result,RANK(_xlfn.XLOOKUP($A46,$A$2:$A$29,_xlfn.XLOOKUP(O$32,$B$1:$O$1,$B$2:$O$29)),$B$2:$O$29),IF(_xlpm.result&gt;150,"",_xlpm.result)),"")</f>
        <v/>
      </c>
      <c r="P46">
        <f t="shared" si="0"/>
        <v>5</v>
      </c>
      <c r="Q46" s="10">
        <f t="shared" si="1"/>
        <v>24</v>
      </c>
      <c r="R46">
        <v>12</v>
      </c>
    </row>
    <row r="47" spans="1:18" ht="21" x14ac:dyDescent="0.35">
      <c r="A47" t="s">
        <v>19</v>
      </c>
      <c r="B47" s="1" cm="1">
        <f t="array" ref="B47">IFERROR(_xlfn.LET(_xlpm.result,RANK(_xlfn.XLOOKUP($A47,$A$2:$A$29,_xlfn.XLOOKUP(B$32,$B$1:$O$1,$B$2:$O$29)),$B$2:$O$29),IF(_xlpm.result&gt;150,"",_xlpm.result)),"")</f>
        <v>22</v>
      </c>
      <c r="C47" s="1" t="str" cm="1">
        <f t="array" ref="C47">IFERROR(_xlfn.LET(_xlpm.result,RANK(_xlfn.XLOOKUP($A47,$A$2:$A$29,_xlfn.XLOOKUP(C$32,$B$1:$O$1,$B$2:$O$29)),$B$2:$O$29),IF(_xlpm.result&gt;150,"",_xlpm.result)),"")</f>
        <v/>
      </c>
      <c r="D47" s="1" t="str" cm="1">
        <f t="array" ref="D47">IFERROR(_xlfn.LET(_xlpm.result,RANK(_xlfn.XLOOKUP($A47,$A$2:$A$29,_xlfn.XLOOKUP(D$32,$B$1:$O$1,$B$2:$O$29)),$B$2:$O$29),IF(_xlpm.result&gt;150,"",_xlpm.result)),"")</f>
        <v/>
      </c>
      <c r="E47" s="1" t="str" cm="1">
        <f t="array" ref="E47">IFERROR(_xlfn.LET(_xlpm.result,RANK(_xlfn.XLOOKUP($A47,$A$2:$A$29,_xlfn.XLOOKUP(E$32,$B$1:$O$1,$B$2:$O$29)),$B$2:$O$29),IF(_xlpm.result&gt;150,"",_xlpm.result)),"")</f>
        <v/>
      </c>
      <c r="F47" s="1" t="str" cm="1">
        <f t="array" ref="F47">IFERROR(_xlfn.LET(_xlpm.result,RANK(_xlfn.XLOOKUP($A47,$A$2:$A$29,_xlfn.XLOOKUP(F$32,$B$1:$O$1,$B$2:$O$29)),$B$2:$O$29),IF(_xlpm.result&gt;150,"",_xlpm.result)),"")</f>
        <v/>
      </c>
      <c r="G47" s="1" t="str" cm="1">
        <f t="array" ref="G47">IFERROR(_xlfn.LET(_xlpm.result,RANK(_xlfn.XLOOKUP($A47,$A$2:$A$29,_xlfn.XLOOKUP(G$32,$B$1:$O$1,$B$2:$O$29)),$B$2:$O$29),IF(_xlpm.result&gt;150,"",_xlpm.result)),"")</f>
        <v/>
      </c>
      <c r="H47" s="1" t="str" cm="1">
        <f t="array" ref="H47">IFERROR(_xlfn.LET(_xlpm.result,RANK(_xlfn.XLOOKUP($A47,$A$2:$A$29,_xlfn.XLOOKUP(H$32,$B$1:$O$1,$B$2:$O$29)),$B$2:$O$29),IF(_xlpm.result&gt;150,"",_xlpm.result)),"")</f>
        <v/>
      </c>
      <c r="I47" s="1" t="str" cm="1">
        <f t="array" ref="I47">IFERROR(_xlfn.LET(_xlpm.result,RANK(_xlfn.XLOOKUP($A47,$A$2:$A$29,_xlfn.XLOOKUP(I$32,$B$1:$O$1,$B$2:$O$29)),$B$2:$O$29),IF(_xlpm.result&gt;150,"",_xlpm.result)),"")</f>
        <v/>
      </c>
      <c r="J47" s="1" t="str" cm="1">
        <f t="array" ref="J47">IFERROR(_xlfn.LET(_xlpm.result,RANK(_xlfn.XLOOKUP($A47,$A$2:$A$29,_xlfn.XLOOKUP(J$32,$B$1:$O$1,$B$2:$O$29)),$B$2:$O$29),IF(_xlpm.result&gt;150,"",_xlpm.result)),"")</f>
        <v/>
      </c>
      <c r="K47" s="1" t="str" cm="1">
        <f t="array" ref="K47">IFERROR(_xlfn.LET(_xlpm.result,RANK(_xlfn.XLOOKUP($A47,$A$2:$A$29,_xlfn.XLOOKUP(K$32,$B$1:$O$1,$B$2:$O$29)),$B$2:$O$29),IF(_xlpm.result&gt;150,"",_xlpm.result)),"")</f>
        <v/>
      </c>
      <c r="L47" s="1" t="str" cm="1">
        <f t="array" ref="L47">IFERROR(_xlfn.LET(_xlpm.result,RANK(_xlfn.XLOOKUP($A47,$A$2:$A$29,_xlfn.XLOOKUP(L$32,$B$1:$O$1,$B$2:$O$29)),$B$2:$O$29),IF(_xlpm.result&gt;150,"",_xlpm.result)),"")</f>
        <v/>
      </c>
      <c r="M47" s="1" t="str" cm="1">
        <f t="array" ref="M47">IFERROR(_xlfn.LET(_xlpm.result,RANK(_xlfn.XLOOKUP($A47,$A$2:$A$29,_xlfn.XLOOKUP(M$32,$B$1:$O$1,$B$2:$O$29)),$B$2:$O$29),IF(_xlpm.result&gt;150,"",_xlpm.result)),"")</f>
        <v/>
      </c>
      <c r="N47" s="12" cm="1">
        <f t="array" ref="N47">IFERROR(_xlfn.LET(_xlpm.result,RANK(_xlfn.XLOOKUP($A47,$A$2:$A$29,_xlfn.XLOOKUP(N$32,$B$1:$O$1,$B$2:$O$29)),$B$2:$O$29),IF(_xlpm.result&gt;150,"",_xlpm.result)),"")</f>
        <v>45</v>
      </c>
      <c r="O47" s="1" t="str" cm="1">
        <f t="array" ref="O47">IFERROR(_xlfn.LET(_xlpm.result,RANK(_xlfn.XLOOKUP($A47,$A$2:$A$29,_xlfn.XLOOKUP(O$32,$B$1:$O$1,$B$2:$O$29)),$B$2:$O$29),IF(_xlpm.result&gt;150,"",_xlpm.result)),"")</f>
        <v/>
      </c>
      <c r="P47" s="2">
        <f t="shared" si="0"/>
        <v>2</v>
      </c>
      <c r="Q47" s="10">
        <f t="shared" si="1"/>
        <v>22</v>
      </c>
      <c r="R47">
        <v>11</v>
      </c>
    </row>
    <row r="48" spans="1:18" s="16" customFormat="1" x14ac:dyDescent="0.25">
      <c r="A48" t="s">
        <v>40</v>
      </c>
      <c r="B48" s="1" t="str" cm="1">
        <f t="array" ref="B48">IFERROR(_xlfn.LET(_xlpm.result,RANK(_xlfn.XLOOKUP($A48,$A$2:$A$29,_xlfn.XLOOKUP(B$32,$B$1:$O$1,$B$2:$O$29)),$B$2:$O$29),IF(_xlpm.result&gt;150,"",_xlpm.result)),"")</f>
        <v/>
      </c>
      <c r="C48" s="1" cm="1">
        <f t="array" ref="C48">IFERROR(_xlfn.LET(_xlpm.result,RANK(_xlfn.XLOOKUP($A48,$A$2:$A$29,_xlfn.XLOOKUP(C$32,$B$1:$O$1,$B$2:$O$29)),$B$2:$O$29),IF(_xlpm.result&gt;150,"",_xlpm.result)),"")</f>
        <v>49</v>
      </c>
      <c r="D48" s="1" cm="1">
        <f t="array" ref="D48">IFERROR(_xlfn.LET(_xlpm.result,RANK(_xlfn.XLOOKUP($A48,$A$2:$A$29,_xlfn.XLOOKUP(D$32,$B$1:$O$1,$B$2:$O$29)),$B$2:$O$29),IF(_xlpm.result&gt;150,"",_xlpm.result)),"")</f>
        <v>20</v>
      </c>
      <c r="E48" s="1" cm="1">
        <f t="array" ref="E48">IFERROR(_xlfn.LET(_xlpm.result,RANK(_xlfn.XLOOKUP($A48,$A$2:$A$29,_xlfn.XLOOKUP(E$32,$B$1:$O$1,$B$2:$O$29)),$B$2:$O$29),IF(_xlpm.result&gt;150,"",_xlpm.result)),"")</f>
        <v>99</v>
      </c>
      <c r="F48" s="1" cm="1">
        <f t="array" ref="F48">IFERROR(_xlfn.LET(_xlpm.result,RANK(_xlfn.XLOOKUP($A48,$A$2:$A$29,_xlfn.XLOOKUP(F$32,$B$1:$O$1,$B$2:$O$29)),$B$2:$O$29),IF(_xlpm.result&gt;150,"",_xlpm.result)),"")</f>
        <v>137</v>
      </c>
      <c r="G48" s="1" t="str" cm="1">
        <f t="array" ref="G48">IFERROR(_xlfn.LET(_xlpm.result,RANK(_xlfn.XLOOKUP($A48,$A$2:$A$29,_xlfn.XLOOKUP(G$32,$B$1:$O$1,$B$2:$O$29)),$B$2:$O$29),IF(_xlpm.result&gt;150,"",_xlpm.result)),"")</f>
        <v/>
      </c>
      <c r="H48" s="1" cm="1">
        <f t="array" ref="H48">IFERROR(_xlfn.LET(_xlpm.result,RANK(_xlfn.XLOOKUP($A48,$A$2:$A$29,_xlfn.XLOOKUP(H$32,$B$1:$O$1,$B$2:$O$29)),$B$2:$O$29),IF(_xlpm.result&gt;150,"",_xlpm.result)),"")</f>
        <v>84</v>
      </c>
      <c r="I48" s="1" cm="1">
        <f t="array" ref="I48">IFERROR(_xlfn.LET(_xlpm.result,RANK(_xlfn.XLOOKUP($A48,$A$2:$A$29,_xlfn.XLOOKUP(I$32,$B$1:$O$1,$B$2:$O$29)),$B$2:$O$29),IF(_xlpm.result&gt;150,"",_xlpm.result)),"")</f>
        <v>40</v>
      </c>
      <c r="J48" s="1" cm="1">
        <f t="array" ref="J48">IFERROR(_xlfn.LET(_xlpm.result,RANK(_xlfn.XLOOKUP($A48,$A$2:$A$29,_xlfn.XLOOKUP(J$32,$B$1:$O$1,$B$2:$O$29)),$B$2:$O$29),IF(_xlpm.result&gt;150,"",_xlpm.result)),"")</f>
        <v>57</v>
      </c>
      <c r="K48" s="1" t="str" cm="1">
        <f t="array" ref="K48">IFERROR(_xlfn.LET(_xlpm.result,RANK(_xlfn.XLOOKUP($A48,$A$2:$A$29,_xlfn.XLOOKUP(K$32,$B$1:$O$1,$B$2:$O$29)),$B$2:$O$29),IF(_xlpm.result&gt;150,"",_xlpm.result)),"")</f>
        <v/>
      </c>
      <c r="L48" s="1" t="str" cm="1">
        <f t="array" ref="L48">IFERROR(_xlfn.LET(_xlpm.result,RANK(_xlfn.XLOOKUP($A48,$A$2:$A$29,_xlfn.XLOOKUP(L$32,$B$1:$O$1,$B$2:$O$29)),$B$2:$O$29),IF(_xlpm.result&gt;150,"",_xlpm.result)),"")</f>
        <v/>
      </c>
      <c r="M48" s="1" t="str" cm="1">
        <f t="array" ref="M48">IFERROR(_xlfn.LET(_xlpm.result,RANK(_xlfn.XLOOKUP($A48,$A$2:$A$29,_xlfn.XLOOKUP(M$32,$B$1:$O$1,$B$2:$O$29)),$B$2:$O$29),IF(_xlpm.result&gt;150,"",_xlpm.result)),"")</f>
        <v/>
      </c>
      <c r="N48" s="1" cm="1">
        <f t="array" ref="N48">IFERROR(_xlfn.LET(_xlpm.result,RANK(_xlfn.XLOOKUP($A48,$A$2:$A$29,_xlfn.XLOOKUP(N$32,$B$1:$O$1,$B$2:$O$29)),$B$2:$O$29),IF(_xlpm.result&gt;150,"",_xlpm.result)),"")</f>
        <v>84</v>
      </c>
      <c r="O48" s="1" cm="1">
        <f t="array" ref="O48">IFERROR(_xlfn.LET(_xlpm.result,RANK(_xlfn.XLOOKUP($A48,$A$2:$A$29,_xlfn.XLOOKUP(O$32,$B$1:$O$1,$B$2:$O$29)),$B$2:$O$29),IF(_xlpm.result&gt;150,"",_xlpm.result)),"")</f>
        <v>110</v>
      </c>
      <c r="P48">
        <f t="shared" si="0"/>
        <v>9</v>
      </c>
      <c r="Q48" s="10">
        <f t="shared" si="1"/>
        <v>20</v>
      </c>
      <c r="R48">
        <v>10</v>
      </c>
    </row>
    <row r="49" spans="1:18" x14ac:dyDescent="0.25">
      <c r="A49" t="s">
        <v>33</v>
      </c>
      <c r="B49" s="1" t="str" cm="1">
        <f t="array" ref="B49">IFERROR(_xlfn.LET(_xlpm.result,RANK(_xlfn.XLOOKUP($A49,$A$2:$A$29,_xlfn.XLOOKUP(B$32,$B$1:$O$1,$B$2:$O$29)),$B$2:$O$29),IF(_xlpm.result&gt;150,"",_xlpm.result)),"")</f>
        <v/>
      </c>
      <c r="C49" s="1" t="str" cm="1">
        <f t="array" ref="C49">IFERROR(_xlfn.LET(_xlpm.result,RANK(_xlfn.XLOOKUP($A49,$A$2:$A$29,_xlfn.XLOOKUP(C$32,$B$1:$O$1,$B$2:$O$29)),$B$2:$O$29),IF(_xlpm.result&gt;150,"",_xlpm.result)),"")</f>
        <v/>
      </c>
      <c r="D49" s="1" t="str" cm="1">
        <f t="array" ref="D49">IFERROR(_xlfn.LET(_xlpm.result,RANK(_xlfn.XLOOKUP($A49,$A$2:$A$29,_xlfn.XLOOKUP(D$32,$B$1:$O$1,$B$2:$O$29)),$B$2:$O$29),IF(_xlpm.result&gt;150,"",_xlpm.result)),"")</f>
        <v/>
      </c>
      <c r="E49" s="1" t="str" cm="1">
        <f t="array" ref="E49">IFERROR(_xlfn.LET(_xlpm.result,RANK(_xlfn.XLOOKUP($A49,$A$2:$A$29,_xlfn.XLOOKUP(E$32,$B$1:$O$1,$B$2:$O$29)),$B$2:$O$29),IF(_xlpm.result&gt;150,"",_xlpm.result)),"")</f>
        <v/>
      </c>
      <c r="F49" s="1" cm="1">
        <f t="array" ref="F49">IFERROR(_xlfn.LET(_xlpm.result,RANK(_xlfn.XLOOKUP($A49,$A$2:$A$29,_xlfn.XLOOKUP(F$32,$B$1:$O$1,$B$2:$O$29)),$B$2:$O$29),IF(_xlpm.result&gt;150,"",_xlpm.result)),"")</f>
        <v>124</v>
      </c>
      <c r="G49" s="1" t="str" cm="1">
        <f t="array" ref="G49">IFERROR(_xlfn.LET(_xlpm.result,RANK(_xlfn.XLOOKUP($A49,$A$2:$A$29,_xlfn.XLOOKUP(G$32,$B$1:$O$1,$B$2:$O$29)),$B$2:$O$29),IF(_xlpm.result&gt;150,"",_xlpm.result)),"")</f>
        <v/>
      </c>
      <c r="H49" s="1" t="str" cm="1">
        <f t="array" ref="H49">IFERROR(_xlfn.LET(_xlpm.result,RANK(_xlfn.XLOOKUP($A49,$A$2:$A$29,_xlfn.XLOOKUP(H$32,$B$1:$O$1,$B$2:$O$29)),$B$2:$O$29),IF(_xlpm.result&gt;150,"",_xlpm.result)),"")</f>
        <v/>
      </c>
      <c r="I49" s="1" t="str" cm="1">
        <f t="array" ref="I49">IFERROR(_xlfn.LET(_xlpm.result,RANK(_xlfn.XLOOKUP($A49,$A$2:$A$29,_xlfn.XLOOKUP(I$32,$B$1:$O$1,$B$2:$O$29)),$B$2:$O$29),IF(_xlpm.result&gt;150,"",_xlpm.result)),"")</f>
        <v/>
      </c>
      <c r="J49" s="1" cm="1">
        <f t="array" ref="J49">IFERROR(_xlfn.LET(_xlpm.result,RANK(_xlfn.XLOOKUP($A49,$A$2:$A$29,_xlfn.XLOOKUP(J$32,$B$1:$O$1,$B$2:$O$29)),$B$2:$O$29),IF(_xlpm.result&gt;150,"",_xlpm.result)),"")</f>
        <v>18</v>
      </c>
      <c r="K49" s="1" t="str" cm="1">
        <f t="array" ref="K49">IFERROR(_xlfn.LET(_xlpm.result,RANK(_xlfn.XLOOKUP($A49,$A$2:$A$29,_xlfn.XLOOKUP(K$32,$B$1:$O$1,$B$2:$O$29)),$B$2:$O$29),IF(_xlpm.result&gt;150,"",_xlpm.result)),"")</f>
        <v/>
      </c>
      <c r="L49" s="1" cm="1">
        <f t="array" ref="L49">IFERROR(_xlfn.LET(_xlpm.result,RANK(_xlfn.XLOOKUP($A49,$A$2:$A$29,_xlfn.XLOOKUP(L$32,$B$1:$O$1,$B$2:$O$29)),$B$2:$O$29),IF(_xlpm.result&gt;150,"",_xlpm.result)),"")</f>
        <v>79</v>
      </c>
      <c r="M49" s="1" t="str" cm="1">
        <f t="array" ref="M49">IFERROR(_xlfn.LET(_xlpm.result,RANK(_xlfn.XLOOKUP($A49,$A$2:$A$29,_xlfn.XLOOKUP(M$32,$B$1:$O$1,$B$2:$O$29)),$B$2:$O$29),IF(_xlpm.result&gt;150,"",_xlpm.result)),"")</f>
        <v/>
      </c>
      <c r="N49" s="1" t="str" cm="1">
        <f t="array" ref="N49">IFERROR(_xlfn.LET(_xlpm.result,RANK(_xlfn.XLOOKUP($A49,$A$2:$A$29,_xlfn.XLOOKUP(N$32,$B$1:$O$1,$B$2:$O$29)),$B$2:$O$29),IF(_xlpm.result&gt;150,"",_xlpm.result)),"")</f>
        <v/>
      </c>
      <c r="O49" s="1" cm="1">
        <f t="array" ref="O49">IFERROR(_xlfn.LET(_xlpm.result,RANK(_xlfn.XLOOKUP($A49,$A$2:$A$29,_xlfn.XLOOKUP(O$32,$B$1:$O$1,$B$2:$O$29)),$B$2:$O$29),IF(_xlpm.result&gt;150,"",_xlpm.result)),"")</f>
        <v>18</v>
      </c>
      <c r="P49">
        <f t="shared" si="0"/>
        <v>4</v>
      </c>
      <c r="Q49" s="10">
        <f t="shared" si="1"/>
        <v>18</v>
      </c>
      <c r="R49">
        <v>9</v>
      </c>
    </row>
    <row r="50" spans="1:18" ht="21" x14ac:dyDescent="0.35">
      <c r="A50" t="s">
        <v>47</v>
      </c>
      <c r="B50" s="1" t="str" cm="1">
        <f t="array" ref="B50">IFERROR(_xlfn.LET(_xlpm.result,RANK(_xlfn.XLOOKUP($A50,$A$2:$A$29,_xlfn.XLOOKUP(B$32,$B$1:$O$1,$B$2:$O$29)),$B$2:$O$29),IF(_xlpm.result&gt;150,"",_xlpm.result)),"")</f>
        <v/>
      </c>
      <c r="C50" s="1" cm="1">
        <f t="array" ref="C50">IFERROR(_xlfn.LET(_xlpm.result,RANK(_xlfn.XLOOKUP($A50,$A$2:$A$29,_xlfn.XLOOKUP(C$32,$B$1:$O$1,$B$2:$O$29)),$B$2:$O$29),IF(_xlpm.result&gt;150,"",_xlpm.result)),"")</f>
        <v>137</v>
      </c>
      <c r="D50" s="1" t="str" cm="1">
        <f t="array" ref="D50">IFERROR(_xlfn.LET(_xlpm.result,RANK(_xlfn.XLOOKUP($A50,$A$2:$A$29,_xlfn.XLOOKUP(D$32,$B$1:$O$1,$B$2:$O$29)),$B$2:$O$29),IF(_xlpm.result&gt;150,"",_xlpm.result)),"")</f>
        <v/>
      </c>
      <c r="E50" s="1" t="str" cm="1">
        <f t="array" ref="E50">IFERROR(_xlfn.LET(_xlpm.result,RANK(_xlfn.XLOOKUP($A50,$A$2:$A$29,_xlfn.XLOOKUP(E$32,$B$1:$O$1,$B$2:$O$29)),$B$2:$O$29),IF(_xlpm.result&gt;150,"",_xlpm.result)),"")</f>
        <v/>
      </c>
      <c r="F50" s="1" t="str" cm="1">
        <f t="array" ref="F50">IFERROR(_xlfn.LET(_xlpm.result,RANK(_xlfn.XLOOKUP($A50,$A$2:$A$29,_xlfn.XLOOKUP(F$32,$B$1:$O$1,$B$2:$O$29)),$B$2:$O$29),IF(_xlpm.result&gt;150,"",_xlpm.result)),"")</f>
        <v/>
      </c>
      <c r="G50" s="1" cm="1">
        <f t="array" ref="G50">IFERROR(_xlfn.LET(_xlpm.result,RANK(_xlfn.XLOOKUP($A50,$A$2:$A$29,_xlfn.XLOOKUP(G$32,$B$1:$O$1,$B$2:$O$29)),$B$2:$O$29),IF(_xlpm.result&gt;150,"",_xlpm.result)),"")</f>
        <v>128</v>
      </c>
      <c r="H50" s="1" t="str" cm="1">
        <f t="array" ref="H50">IFERROR(_xlfn.LET(_xlpm.result,RANK(_xlfn.XLOOKUP($A50,$A$2:$A$29,_xlfn.XLOOKUP(H$32,$B$1:$O$1,$B$2:$O$29)),$B$2:$O$29),IF(_xlpm.result&gt;150,"",_xlpm.result)),"")</f>
        <v/>
      </c>
      <c r="I50" s="12" cm="1">
        <f t="array" ref="I50">IFERROR(_xlfn.LET(_xlpm.result,RANK(_xlfn.XLOOKUP($A50,$A$2:$A$29,_xlfn.XLOOKUP(I$32,$B$1:$O$1,$B$2:$O$29)),$B$2:$O$29),IF(_xlpm.result&gt;150,"",_xlpm.result)),"")</f>
        <v>11</v>
      </c>
      <c r="J50" s="1" t="str" cm="1">
        <f t="array" ref="J50">IFERROR(_xlfn.LET(_xlpm.result,RANK(_xlfn.XLOOKUP($A50,$A$2:$A$29,_xlfn.XLOOKUP(J$32,$B$1:$O$1,$B$2:$O$29)),$B$2:$O$29),IF(_xlpm.result&gt;150,"",_xlpm.result)),"")</f>
        <v/>
      </c>
      <c r="K50" s="1" cm="1">
        <f t="array" ref="K50">IFERROR(_xlfn.LET(_xlpm.result,RANK(_xlfn.XLOOKUP($A50,$A$2:$A$29,_xlfn.XLOOKUP(K$32,$B$1:$O$1,$B$2:$O$29)),$B$2:$O$29),IF(_xlpm.result&gt;150,"",_xlpm.result)),"")</f>
        <v>108</v>
      </c>
      <c r="L50" s="1" t="str" cm="1">
        <f t="array" ref="L50">IFERROR(_xlfn.LET(_xlpm.result,RANK(_xlfn.XLOOKUP($A50,$A$2:$A$29,_xlfn.XLOOKUP(L$32,$B$1:$O$1,$B$2:$O$29)),$B$2:$O$29),IF(_xlpm.result&gt;150,"",_xlpm.result)),"")</f>
        <v/>
      </c>
      <c r="M50" s="1" t="str" cm="1">
        <f t="array" ref="M50">IFERROR(_xlfn.LET(_xlpm.result,RANK(_xlfn.XLOOKUP($A50,$A$2:$A$29,_xlfn.XLOOKUP(M$32,$B$1:$O$1,$B$2:$O$29)),$B$2:$O$29),IF(_xlpm.result&gt;150,"",_xlpm.result)),"")</f>
        <v/>
      </c>
      <c r="N50" s="1" cm="1">
        <f t="array" ref="N50">IFERROR(_xlfn.LET(_xlpm.result,RANK(_xlfn.XLOOKUP($A50,$A$2:$A$29,_xlfn.XLOOKUP(N$32,$B$1:$O$1,$B$2:$O$29)),$B$2:$O$29),IF(_xlpm.result&gt;150,"",_xlpm.result)),"")</f>
        <v>52</v>
      </c>
      <c r="O50" s="1" t="str" cm="1">
        <f t="array" ref="O50">IFERROR(_xlfn.LET(_xlpm.result,RANK(_xlfn.XLOOKUP($A50,$A$2:$A$29,_xlfn.XLOOKUP(O$32,$B$1:$O$1,$B$2:$O$29)),$B$2:$O$29),IF(_xlpm.result&gt;150,"",_xlpm.result)),"")</f>
        <v/>
      </c>
      <c r="P50">
        <f t="shared" si="0"/>
        <v>5</v>
      </c>
      <c r="Q50" s="10">
        <f t="shared" si="1"/>
        <v>11</v>
      </c>
      <c r="R50">
        <v>8</v>
      </c>
    </row>
    <row r="51" spans="1:18" ht="21" x14ac:dyDescent="0.35">
      <c r="A51" t="s">
        <v>44</v>
      </c>
      <c r="B51" s="1" cm="1">
        <f t="array" ref="B51">IFERROR(_xlfn.LET(_xlpm.result,RANK(_xlfn.XLOOKUP($A51,$A$2:$A$29,_xlfn.XLOOKUP(B$32,$B$1:$O$1,$B$2:$O$29)),$B$2:$O$29),IF(_xlpm.result&gt;150,"",_xlpm.result)),"")</f>
        <v>121</v>
      </c>
      <c r="C51" s="1" cm="1">
        <f t="array" ref="C51">IFERROR(_xlfn.LET(_xlpm.result,RANK(_xlfn.XLOOKUP($A51,$A$2:$A$29,_xlfn.XLOOKUP(C$32,$B$1:$O$1,$B$2:$O$29)),$B$2:$O$29),IF(_xlpm.result&gt;150,"",_xlpm.result)),"")</f>
        <v>8</v>
      </c>
      <c r="D51" s="1" cm="1">
        <f t="array" ref="D51">IFERROR(_xlfn.LET(_xlpm.result,RANK(_xlfn.XLOOKUP($A51,$A$2:$A$29,_xlfn.XLOOKUP(D$32,$B$1:$O$1,$B$2:$O$29)),$B$2:$O$29),IF(_xlpm.result&gt;150,"",_xlpm.result)),"")</f>
        <v>91</v>
      </c>
      <c r="E51" s="12" cm="1">
        <f t="array" ref="E51">IFERROR(_xlfn.LET(_xlpm.result,RANK(_xlfn.XLOOKUP($A51,$A$2:$A$29,_xlfn.XLOOKUP(E$32,$B$1:$O$1,$B$2:$O$29)),$B$2:$O$29),IF(_xlpm.result&gt;150,"",_xlpm.result)),"")</f>
        <v>8</v>
      </c>
      <c r="F51" s="1" t="str" cm="1">
        <f t="array" ref="F51">IFERROR(_xlfn.LET(_xlpm.result,RANK(_xlfn.XLOOKUP($A51,$A$2:$A$29,_xlfn.XLOOKUP(F$32,$B$1:$O$1,$B$2:$O$29)),$B$2:$O$29),IF(_xlpm.result&gt;150,"",_xlpm.result)),"")</f>
        <v/>
      </c>
      <c r="G51" s="1" t="str" cm="1">
        <f t="array" ref="G51">IFERROR(_xlfn.LET(_xlpm.result,RANK(_xlfn.XLOOKUP($A51,$A$2:$A$29,_xlfn.XLOOKUP(G$32,$B$1:$O$1,$B$2:$O$29)),$B$2:$O$29),IF(_xlpm.result&gt;150,"",_xlpm.result)),"")</f>
        <v/>
      </c>
      <c r="H51" s="1" t="str" cm="1">
        <f t="array" ref="H51">IFERROR(_xlfn.LET(_xlpm.result,RANK(_xlfn.XLOOKUP($A51,$A$2:$A$29,_xlfn.XLOOKUP(H$32,$B$1:$O$1,$B$2:$O$29)),$B$2:$O$29),IF(_xlpm.result&gt;150,"",_xlpm.result)),"")</f>
        <v/>
      </c>
      <c r="I51" s="1" cm="1">
        <f t="array" ref="I51">IFERROR(_xlfn.LET(_xlpm.result,RANK(_xlfn.XLOOKUP($A51,$A$2:$A$29,_xlfn.XLOOKUP(I$32,$B$1:$O$1,$B$2:$O$29)),$B$2:$O$29),IF(_xlpm.result&gt;150,"",_xlpm.result)),"")</f>
        <v>78</v>
      </c>
      <c r="J51" s="1" cm="1">
        <f t="array" ref="J51">IFERROR(_xlfn.LET(_xlpm.result,RANK(_xlfn.XLOOKUP($A51,$A$2:$A$29,_xlfn.XLOOKUP(J$32,$B$1:$O$1,$B$2:$O$29)),$B$2:$O$29),IF(_xlpm.result&gt;150,"",_xlpm.result)),"")</f>
        <v>43</v>
      </c>
      <c r="K51" s="1" cm="1">
        <f t="array" ref="K51">IFERROR(_xlfn.LET(_xlpm.result,RANK(_xlfn.XLOOKUP($A51,$A$2:$A$29,_xlfn.XLOOKUP(K$32,$B$1:$O$1,$B$2:$O$29)),$B$2:$O$29),IF(_xlpm.result&gt;150,"",_xlpm.result)),"")</f>
        <v>137</v>
      </c>
      <c r="L51" s="1" cm="1">
        <f t="array" ref="L51">IFERROR(_xlfn.LET(_xlpm.result,RANK(_xlfn.XLOOKUP($A51,$A$2:$A$29,_xlfn.XLOOKUP(L$32,$B$1:$O$1,$B$2:$O$29)),$B$2:$O$29),IF(_xlpm.result&gt;150,"",_xlpm.result)),"")</f>
        <v>24</v>
      </c>
      <c r="M51" s="1" cm="1">
        <f t="array" ref="M51">IFERROR(_xlfn.LET(_xlpm.result,RANK(_xlfn.XLOOKUP($A51,$A$2:$A$29,_xlfn.XLOOKUP(M$32,$B$1:$O$1,$B$2:$O$29)),$B$2:$O$29),IF(_xlpm.result&gt;150,"",_xlpm.result)),"")</f>
        <v>102</v>
      </c>
      <c r="N51" s="1" t="str" cm="1">
        <f t="array" ref="N51">IFERROR(_xlfn.LET(_xlpm.result,RANK(_xlfn.XLOOKUP($A51,$A$2:$A$29,_xlfn.XLOOKUP(N$32,$B$1:$O$1,$B$2:$O$29)),$B$2:$O$29),IF(_xlpm.result&gt;150,"",_xlpm.result)),"")</f>
        <v/>
      </c>
      <c r="O51" s="1" cm="1">
        <f t="array" ref="O51">IFERROR(_xlfn.LET(_xlpm.result,RANK(_xlfn.XLOOKUP($A51,$A$2:$A$29,_xlfn.XLOOKUP(O$32,$B$1:$O$1,$B$2:$O$29)),$B$2:$O$29),IF(_xlpm.result&gt;150,"",_xlpm.result)),"")</f>
        <v>102</v>
      </c>
      <c r="P51">
        <f t="shared" si="0"/>
        <v>10</v>
      </c>
      <c r="Q51" s="10">
        <f t="shared" si="1"/>
        <v>8</v>
      </c>
      <c r="R51">
        <v>7</v>
      </c>
    </row>
    <row r="52" spans="1:18" ht="21" x14ac:dyDescent="0.35">
      <c r="A52" t="s">
        <v>46</v>
      </c>
      <c r="B52" s="1" t="str" cm="1">
        <f t="array" ref="B52">IFERROR(_xlfn.LET(_xlpm.result,RANK(_xlfn.XLOOKUP($A52,$A$2:$A$29,_xlfn.XLOOKUP(B$32,$B$1:$O$1,$B$2:$O$29)),$B$2:$O$29),IF(_xlpm.result&gt;150,"",_xlpm.result)),"")</f>
        <v/>
      </c>
      <c r="C52" s="1" t="str" cm="1">
        <f t="array" ref="C52">IFERROR(_xlfn.LET(_xlpm.result,RANK(_xlfn.XLOOKUP($A52,$A$2:$A$29,_xlfn.XLOOKUP(C$32,$B$1:$O$1,$B$2:$O$29)),$B$2:$O$29),IF(_xlpm.result&gt;150,"",_xlpm.result)),"")</f>
        <v/>
      </c>
      <c r="D52" s="1" cm="1">
        <f t="array" ref="D52">IFERROR(_xlfn.LET(_xlpm.result,RANK(_xlfn.XLOOKUP($A52,$A$2:$A$29,_xlfn.XLOOKUP(D$32,$B$1:$O$1,$B$2:$O$29)),$B$2:$O$29),IF(_xlpm.result&gt;150,"",_xlpm.result)),"")</f>
        <v>91</v>
      </c>
      <c r="E52" s="1" cm="1">
        <f t="array" ref="E52">IFERROR(_xlfn.LET(_xlpm.result,RANK(_xlfn.XLOOKUP($A52,$A$2:$A$29,_xlfn.XLOOKUP(E$32,$B$1:$O$1,$B$2:$O$29)),$B$2:$O$29),IF(_xlpm.result&gt;150,"",_xlpm.result)),"")</f>
        <v>128</v>
      </c>
      <c r="F52" s="1" cm="1">
        <f t="array" ref="F52">IFERROR(_xlfn.LET(_xlpm.result,RANK(_xlfn.XLOOKUP($A52,$A$2:$A$29,_xlfn.XLOOKUP(F$32,$B$1:$O$1,$B$2:$O$29)),$B$2:$O$29),IF(_xlpm.result&gt;150,"",_xlpm.result)),"")</f>
        <v>23</v>
      </c>
      <c r="G52" s="1" t="str" cm="1">
        <f t="array" ref="G52">IFERROR(_xlfn.LET(_xlpm.result,RANK(_xlfn.XLOOKUP($A52,$A$2:$A$29,_xlfn.XLOOKUP(G$32,$B$1:$O$1,$B$2:$O$29)),$B$2:$O$29),IF(_xlpm.result&gt;150,"",_xlpm.result)),"")</f>
        <v/>
      </c>
      <c r="H52" s="1" cm="1">
        <f t="array" ref="H52">IFERROR(_xlfn.LET(_xlpm.result,RANK(_xlfn.XLOOKUP($A52,$A$2:$A$29,_xlfn.XLOOKUP(H$32,$B$1:$O$1,$B$2:$O$29)),$B$2:$O$29),IF(_xlpm.result&gt;150,"",_xlpm.result)),"")</f>
        <v>110</v>
      </c>
      <c r="I52" s="1" cm="1">
        <f t="array" ref="I52">IFERROR(_xlfn.LET(_xlpm.result,RANK(_xlfn.XLOOKUP($A52,$A$2:$A$29,_xlfn.XLOOKUP(I$32,$B$1:$O$1,$B$2:$O$29)),$B$2:$O$29),IF(_xlpm.result&gt;150,"",_xlpm.result)),"")</f>
        <v>37</v>
      </c>
      <c r="J52" s="1" cm="1">
        <f t="array" ref="J52">IFERROR(_xlfn.LET(_xlpm.result,RANK(_xlfn.XLOOKUP($A52,$A$2:$A$29,_xlfn.XLOOKUP(J$32,$B$1:$O$1,$B$2:$O$29)),$B$2:$O$29),IF(_xlpm.result&gt;150,"",_xlpm.result)),"")</f>
        <v>44</v>
      </c>
      <c r="K52" s="1" t="str" cm="1">
        <f t="array" ref="K52">IFERROR(_xlfn.LET(_xlpm.result,RANK(_xlfn.XLOOKUP($A52,$A$2:$A$29,_xlfn.XLOOKUP(K$32,$B$1:$O$1,$B$2:$O$29)),$B$2:$O$29),IF(_xlpm.result&gt;150,"",_xlpm.result)),"")</f>
        <v/>
      </c>
      <c r="L52" s="12" cm="1">
        <f t="array" ref="L52">IFERROR(_xlfn.LET(_xlpm.result,RANK(_xlfn.XLOOKUP($A52,$A$2:$A$29,_xlfn.XLOOKUP(L$32,$B$1:$O$1,$B$2:$O$29)),$B$2:$O$29),IF(_xlpm.result&gt;150,"",_xlpm.result)),"")</f>
        <v>7</v>
      </c>
      <c r="M52" s="1" t="str" cm="1">
        <f t="array" ref="M52">IFERROR(_xlfn.LET(_xlpm.result,RANK(_xlfn.XLOOKUP($A52,$A$2:$A$29,_xlfn.XLOOKUP(M$32,$B$1:$O$1,$B$2:$O$29)),$B$2:$O$29),IF(_xlpm.result&gt;150,"",_xlpm.result)),"")</f>
        <v/>
      </c>
      <c r="N52" s="1" cm="1">
        <f t="array" ref="N52">IFERROR(_xlfn.LET(_xlpm.result,RANK(_xlfn.XLOOKUP($A52,$A$2:$A$29,_xlfn.XLOOKUP(N$32,$B$1:$O$1,$B$2:$O$29)),$B$2:$O$29),IF(_xlpm.result&gt;150,"",_xlpm.result)),"")</f>
        <v>105</v>
      </c>
      <c r="O52" s="1" t="str" cm="1">
        <f t="array" ref="O52">IFERROR(_xlfn.LET(_xlpm.result,RANK(_xlfn.XLOOKUP($A52,$A$2:$A$29,_xlfn.XLOOKUP(O$32,$B$1:$O$1,$B$2:$O$29)),$B$2:$O$29),IF(_xlpm.result&gt;150,"",_xlpm.result)),"")</f>
        <v/>
      </c>
      <c r="P52">
        <f t="shared" si="0"/>
        <v>8</v>
      </c>
      <c r="Q52" s="10">
        <f t="shared" si="1"/>
        <v>7</v>
      </c>
      <c r="R52">
        <v>6</v>
      </c>
    </row>
    <row r="53" spans="1:18" ht="21" x14ac:dyDescent="0.35">
      <c r="A53" t="s">
        <v>30</v>
      </c>
      <c r="B53" s="1" t="str" cm="1">
        <f t="array" ref="B53">IFERROR(_xlfn.LET(_xlpm.result,RANK(_xlfn.XLOOKUP($A53,$A$2:$A$29,_xlfn.XLOOKUP(B$32,$B$1:$O$1,$B$2:$O$29)),$B$2:$O$29),IF(_xlpm.result&gt;150,"",_xlpm.result)),"")</f>
        <v/>
      </c>
      <c r="C53" s="12" cm="1">
        <f t="array" ref="C53">IFERROR(_xlfn.LET(_xlpm.result,RANK(_xlfn.XLOOKUP($A53,$A$2:$A$29,_xlfn.XLOOKUP(C$32,$B$1:$O$1,$B$2:$O$29)),$B$2:$O$29),IF(_xlpm.result&gt;150,"",_xlpm.result)),"")</f>
        <v>6</v>
      </c>
      <c r="D53" s="1" cm="1">
        <f t="array" ref="D53">IFERROR(_xlfn.LET(_xlpm.result,RANK(_xlfn.XLOOKUP($A53,$A$2:$A$29,_xlfn.XLOOKUP(D$32,$B$1:$O$1,$B$2:$O$29)),$B$2:$O$29),IF(_xlpm.result&gt;150,"",_xlpm.result)),"")</f>
        <v>49</v>
      </c>
      <c r="E53" s="1" cm="1">
        <f t="array" ref="E53">IFERROR(_xlfn.LET(_xlpm.result,RANK(_xlfn.XLOOKUP($A53,$A$2:$A$29,_xlfn.XLOOKUP(E$32,$B$1:$O$1,$B$2:$O$29)),$B$2:$O$29),IF(_xlpm.result&gt;150,"",_xlpm.result)),"")</f>
        <v>83</v>
      </c>
      <c r="F53" s="1" cm="1">
        <f t="array" ref="F53">IFERROR(_xlfn.LET(_xlpm.result,RANK(_xlfn.XLOOKUP($A53,$A$2:$A$29,_xlfn.XLOOKUP(F$32,$B$1:$O$1,$B$2:$O$29)),$B$2:$O$29),IF(_xlpm.result&gt;150,"",_xlpm.result)),"")</f>
        <v>14</v>
      </c>
      <c r="G53" s="1" t="str" cm="1">
        <f t="array" ref="G53">IFERROR(_xlfn.LET(_xlpm.result,RANK(_xlfn.XLOOKUP($A53,$A$2:$A$29,_xlfn.XLOOKUP(G$32,$B$1:$O$1,$B$2:$O$29)),$B$2:$O$29),IF(_xlpm.result&gt;150,"",_xlpm.result)),"")</f>
        <v/>
      </c>
      <c r="H53" s="1" cm="1">
        <f t="array" ref="H53">IFERROR(_xlfn.LET(_xlpm.result,RANK(_xlfn.XLOOKUP($A53,$A$2:$A$29,_xlfn.XLOOKUP(H$32,$B$1:$O$1,$B$2:$O$29)),$B$2:$O$29),IF(_xlpm.result&gt;150,"",_xlpm.result)),"")</f>
        <v>10</v>
      </c>
      <c r="I53" s="1" cm="1">
        <f t="array" ref="I53">IFERROR(_xlfn.LET(_xlpm.result,RANK(_xlfn.XLOOKUP($A53,$A$2:$A$29,_xlfn.XLOOKUP(I$32,$B$1:$O$1,$B$2:$O$29)),$B$2:$O$29),IF(_xlpm.result&gt;150,"",_xlpm.result)),"")</f>
        <v>96</v>
      </c>
      <c r="J53" s="1" t="str" cm="1">
        <f t="array" ref="J53">IFERROR(_xlfn.LET(_xlpm.result,RANK(_xlfn.XLOOKUP($A53,$A$2:$A$29,_xlfn.XLOOKUP(J$32,$B$1:$O$1,$B$2:$O$29)),$B$2:$O$29),IF(_xlpm.result&gt;150,"",_xlpm.result)),"")</f>
        <v/>
      </c>
      <c r="K53" s="1" cm="1">
        <f t="array" ref="K53">IFERROR(_xlfn.LET(_xlpm.result,RANK(_xlfn.XLOOKUP($A53,$A$2:$A$29,_xlfn.XLOOKUP(K$32,$B$1:$O$1,$B$2:$O$29)),$B$2:$O$29),IF(_xlpm.result&gt;150,"",_xlpm.result)),"")</f>
        <v>45</v>
      </c>
      <c r="L53" s="1" cm="1">
        <f t="array" ref="L53">IFERROR(_xlfn.LET(_xlpm.result,RANK(_xlfn.XLOOKUP($A53,$A$2:$A$29,_xlfn.XLOOKUP(L$32,$B$1:$O$1,$B$2:$O$29)),$B$2:$O$29),IF(_xlpm.result&gt;150,"",_xlpm.result)),"")</f>
        <v>123</v>
      </c>
      <c r="M53" s="1" cm="1">
        <f t="array" ref="M53">IFERROR(_xlfn.LET(_xlpm.result,RANK(_xlfn.XLOOKUP($A53,$A$2:$A$29,_xlfn.XLOOKUP(M$32,$B$1:$O$1,$B$2:$O$29)),$B$2:$O$29),IF(_xlpm.result&gt;150,"",_xlpm.result)),"")</f>
        <v>45</v>
      </c>
      <c r="N53" s="1" cm="1">
        <f t="array" ref="N53">IFERROR(_xlfn.LET(_xlpm.result,RANK(_xlfn.XLOOKUP($A53,$A$2:$A$29,_xlfn.XLOOKUP(N$32,$B$1:$O$1,$B$2:$O$29)),$B$2:$O$29),IF(_xlpm.result&gt;150,"",_xlpm.result)),"")</f>
        <v>84</v>
      </c>
      <c r="O53" s="1" cm="1">
        <f t="array" ref="O53">IFERROR(_xlfn.LET(_xlpm.result,RANK(_xlfn.XLOOKUP($A53,$A$2:$A$29,_xlfn.XLOOKUP(O$32,$B$1:$O$1,$B$2:$O$29)),$B$2:$O$29),IF(_xlpm.result&gt;150,"",_xlpm.result)),"")</f>
        <v>96</v>
      </c>
      <c r="P53">
        <f t="shared" si="0"/>
        <v>11</v>
      </c>
      <c r="Q53" s="10">
        <f t="shared" si="1"/>
        <v>6</v>
      </c>
      <c r="R53">
        <v>5</v>
      </c>
    </row>
    <row r="54" spans="1:18" ht="21" x14ac:dyDescent="0.35">
      <c r="A54" s="16" t="s">
        <v>22</v>
      </c>
      <c r="B54" s="17" cm="1">
        <f t="array" ref="B54">IFERROR(_xlfn.LET(_xlpm.result,RANK(_xlfn.XLOOKUP($A54,$A$2:$A$29,_xlfn.XLOOKUP(B$32,$B$1:$O$1,$B$2:$O$29)),$B$2:$O$29),IF(_xlpm.result&gt;150,"",_xlpm.result)),"")</f>
        <v>52</v>
      </c>
      <c r="C54" s="17" cm="1">
        <f t="array" ref="C54">IFERROR(_xlfn.LET(_xlpm.result,RANK(_xlfn.XLOOKUP($A54,$A$2:$A$29,_xlfn.XLOOKUP(C$32,$B$1:$O$1,$B$2:$O$29)),$B$2:$O$29),IF(_xlpm.result&gt;150,"",_xlpm.result)),"")</f>
        <v>32</v>
      </c>
      <c r="D54" s="17" t="str" cm="1">
        <f t="array" ref="D54">IFERROR(_xlfn.LET(_xlpm.result,RANK(_xlfn.XLOOKUP($A54,$A$2:$A$29,_xlfn.XLOOKUP(D$32,$B$1:$O$1,$B$2:$O$29)),$B$2:$O$29),IF(_xlpm.result&gt;150,"",_xlpm.result)),"")</f>
        <v/>
      </c>
      <c r="E54" s="17" cm="1">
        <f t="array" ref="E54">IFERROR(_xlfn.LET(_xlpm.result,RANK(_xlfn.XLOOKUP($A54,$A$2:$A$29,_xlfn.XLOOKUP(E$32,$B$1:$O$1,$B$2:$O$29)),$B$2:$O$29),IF(_xlpm.result&gt;150,"",_xlpm.result)),"")</f>
        <v>13</v>
      </c>
      <c r="F54" s="17" t="str" cm="1">
        <f t="array" ref="F54">IFERROR(_xlfn.LET(_xlpm.result,RANK(_xlfn.XLOOKUP($A54,$A$2:$A$29,_xlfn.XLOOKUP(F$32,$B$1:$O$1,$B$2:$O$29)),$B$2:$O$29),IF(_xlpm.result&gt;150,"",_xlpm.result)),"")</f>
        <v/>
      </c>
      <c r="G54" s="21" cm="1">
        <f t="array" ref="G54">IFERROR(_xlfn.LET(_xlpm.result,RANK(_xlfn.XLOOKUP($A54,$A$2:$A$29,_xlfn.XLOOKUP(G$32,$B$1:$O$1,$B$2:$O$29)),$B$2:$O$29),IF(_xlpm.result&gt;150,"",_xlpm.result)),"")</f>
        <v>21</v>
      </c>
      <c r="H54" s="17" cm="1">
        <f t="array" ref="H54">IFERROR(_xlfn.LET(_xlpm.result,RANK(_xlfn.XLOOKUP($A54,$A$2:$A$29,_xlfn.XLOOKUP(H$32,$B$1:$O$1,$B$2:$O$29)),$B$2:$O$29),IF(_xlpm.result&gt;150,"",_xlpm.result)),"")</f>
        <v>84</v>
      </c>
      <c r="I54" s="17" cm="1">
        <f t="array" ref="I54">IFERROR(_xlfn.LET(_xlpm.result,RANK(_xlfn.XLOOKUP($A54,$A$2:$A$29,_xlfn.XLOOKUP(I$32,$B$1:$O$1,$B$2:$O$29)),$B$2:$O$29),IF(_xlpm.result&gt;150,"",_xlpm.result)),"")</f>
        <v>63</v>
      </c>
      <c r="J54" s="17" cm="1">
        <f t="array" ref="J54">IFERROR(_xlfn.LET(_xlpm.result,RANK(_xlfn.XLOOKUP($A54,$A$2:$A$29,_xlfn.XLOOKUP(J$32,$B$1:$O$1,$B$2:$O$29)),$B$2:$O$29),IF(_xlpm.result&gt;150,"",_xlpm.result)),"")</f>
        <v>74</v>
      </c>
      <c r="K54" s="17" cm="1">
        <f t="array" ref="K54">IFERROR(_xlfn.LET(_xlpm.result,RANK(_xlfn.XLOOKUP($A54,$A$2:$A$29,_xlfn.XLOOKUP(K$32,$B$1:$O$1,$B$2:$O$29)),$B$2:$O$29),IF(_xlpm.result&gt;150,"",_xlpm.result)),"")</f>
        <v>4</v>
      </c>
      <c r="L54" s="17" cm="1">
        <f t="array" ref="L54">IFERROR(_xlfn.LET(_xlpm.result,RANK(_xlfn.XLOOKUP($A54,$A$2:$A$29,_xlfn.XLOOKUP(L$32,$B$1:$O$1,$B$2:$O$29)),$B$2:$O$29),IF(_xlpm.result&gt;150,"",_xlpm.result)),"")</f>
        <v>52</v>
      </c>
      <c r="M54" s="17" cm="1">
        <f t="array" ref="M54">IFERROR(_xlfn.LET(_xlpm.result,RANK(_xlfn.XLOOKUP($A54,$A$2:$A$29,_xlfn.XLOOKUP(M$32,$B$1:$O$1,$B$2:$O$29)),$B$2:$O$29),IF(_xlpm.result&gt;150,"",_xlpm.result)),"")</f>
        <v>15</v>
      </c>
      <c r="N54" s="17" t="str" cm="1">
        <f t="array" ref="N54">IFERROR(_xlfn.LET(_xlpm.result,RANK(_xlfn.XLOOKUP($A54,$A$2:$A$29,_xlfn.XLOOKUP(N$32,$B$1:$O$1,$B$2:$O$29)),$B$2:$O$29),IF(_xlpm.result&gt;150,"",_xlpm.result)),"")</f>
        <v/>
      </c>
      <c r="O54" s="17" cm="1">
        <f t="array" ref="O54">IFERROR(_xlfn.LET(_xlpm.result,RANK(_xlfn.XLOOKUP($A54,$A$2:$A$29,_xlfn.XLOOKUP(O$32,$B$1:$O$1,$B$2:$O$29)),$B$2:$O$29),IF(_xlpm.result&gt;150,"",_xlpm.result)),"")</f>
        <v>12</v>
      </c>
      <c r="P54" s="16">
        <f t="shared" si="0"/>
        <v>11</v>
      </c>
      <c r="Q54" s="19">
        <f t="shared" si="1"/>
        <v>4</v>
      </c>
      <c r="R54" s="16">
        <v>4</v>
      </c>
    </row>
    <row r="55" spans="1:18" ht="21" x14ac:dyDescent="0.35">
      <c r="A55" t="s">
        <v>36</v>
      </c>
      <c r="B55" s="1" cm="1">
        <f t="array" ref="B55">IFERROR(_xlfn.LET(_xlpm.result,RANK(_xlfn.XLOOKUP($A55,$A$2:$A$29,_xlfn.XLOOKUP(B$32,$B$1:$O$1,$B$2:$O$29)),$B$2:$O$29),IF(_xlpm.result&gt;150,"",_xlpm.result)),"")</f>
        <v>131</v>
      </c>
      <c r="C55" s="1" cm="1">
        <f t="array" ref="C55">IFERROR(_xlfn.LET(_xlpm.result,RANK(_xlfn.XLOOKUP($A55,$A$2:$A$29,_xlfn.XLOOKUP(C$32,$B$1:$O$1,$B$2:$O$29)),$B$2:$O$29),IF(_xlpm.result&gt;150,"",_xlpm.result)),"")</f>
        <v>35</v>
      </c>
      <c r="D55" s="1" cm="1">
        <f t="array" ref="D55">IFERROR(_xlfn.LET(_xlpm.result,RANK(_xlfn.XLOOKUP($A55,$A$2:$A$29,_xlfn.XLOOKUP(D$32,$B$1:$O$1,$B$2:$O$29)),$B$2:$O$29),IF(_xlpm.result&gt;150,"",_xlpm.result)),"")</f>
        <v>126</v>
      </c>
      <c r="E55" s="1" cm="1">
        <f t="array" ref="E55">IFERROR(_xlfn.LET(_xlpm.result,RANK(_xlfn.XLOOKUP($A55,$A$2:$A$29,_xlfn.XLOOKUP(E$32,$B$1:$O$1,$B$2:$O$29)),$B$2:$O$29),IF(_xlpm.result&gt;150,"",_xlpm.result)),"")</f>
        <v>122</v>
      </c>
      <c r="F55" s="12" cm="1">
        <f t="array" ref="F55">IFERROR(_xlfn.LET(_xlpm.result,RANK(_xlfn.XLOOKUP($A55,$A$2:$A$29,_xlfn.XLOOKUP(F$32,$B$1:$O$1,$B$2:$O$29)),$B$2:$O$29),IF(_xlpm.result&gt;150,"",_xlpm.result)),"")</f>
        <v>3</v>
      </c>
      <c r="G55" s="1" cm="1">
        <f t="array" ref="G55">IFERROR(_xlfn.LET(_xlpm.result,RANK(_xlfn.XLOOKUP($A55,$A$2:$A$29,_xlfn.XLOOKUP(G$32,$B$1:$O$1,$B$2:$O$29)),$B$2:$O$29),IF(_xlpm.result&gt;150,"",_xlpm.result)),"")</f>
        <v>105</v>
      </c>
      <c r="H55" s="1" cm="1">
        <f t="array" ref="H55">IFERROR(_xlfn.LET(_xlpm.result,RANK(_xlfn.XLOOKUP($A55,$A$2:$A$29,_xlfn.XLOOKUP(H$32,$B$1:$O$1,$B$2:$O$29)),$B$2:$O$29),IF(_xlpm.result&gt;150,"",_xlpm.result)),"")</f>
        <v>89</v>
      </c>
      <c r="I55" s="1" t="str" cm="1">
        <f t="array" ref="I55">IFERROR(_xlfn.LET(_xlpm.result,RANK(_xlfn.XLOOKUP($A55,$A$2:$A$29,_xlfn.XLOOKUP(I$32,$B$1:$O$1,$B$2:$O$29)),$B$2:$O$29),IF(_xlpm.result&gt;150,"",_xlpm.result)),"")</f>
        <v/>
      </c>
      <c r="J55" s="1" cm="1">
        <f t="array" ref="J55">IFERROR(_xlfn.LET(_xlpm.result,RANK(_xlfn.XLOOKUP($A55,$A$2:$A$29,_xlfn.XLOOKUP(J$32,$B$1:$O$1,$B$2:$O$29)),$B$2:$O$29),IF(_xlpm.result&gt;150,"",_xlpm.result)),"")</f>
        <v>42</v>
      </c>
      <c r="K55" s="1" t="str" cm="1">
        <f t="array" ref="K55">IFERROR(_xlfn.LET(_xlpm.result,RANK(_xlfn.XLOOKUP($A55,$A$2:$A$29,_xlfn.XLOOKUP(K$32,$B$1:$O$1,$B$2:$O$29)),$B$2:$O$29),IF(_xlpm.result&gt;150,"",_xlpm.result)),"")</f>
        <v/>
      </c>
      <c r="L55" s="1" t="str" cm="1">
        <f t="array" ref="L55">IFERROR(_xlfn.LET(_xlpm.result,RANK(_xlfn.XLOOKUP($A55,$A$2:$A$29,_xlfn.XLOOKUP(L$32,$B$1:$O$1,$B$2:$O$29)),$B$2:$O$29),IF(_xlpm.result&gt;150,"",_xlpm.result)),"")</f>
        <v/>
      </c>
      <c r="M55" s="1" cm="1">
        <f t="array" ref="M55">IFERROR(_xlfn.LET(_xlpm.result,RANK(_xlfn.XLOOKUP($A55,$A$2:$A$29,_xlfn.XLOOKUP(M$32,$B$1:$O$1,$B$2:$O$29)),$B$2:$O$29),IF(_xlpm.result&gt;150,"",_xlpm.result)),"")</f>
        <v>105</v>
      </c>
      <c r="N55" s="1" cm="1">
        <f t="array" ref="N55">IFERROR(_xlfn.LET(_xlpm.result,RANK(_xlfn.XLOOKUP($A55,$A$2:$A$29,_xlfn.XLOOKUP(N$32,$B$1:$O$1,$B$2:$O$29)),$B$2:$O$29),IF(_xlpm.result&gt;150,"",_xlpm.result)),"")</f>
        <v>98</v>
      </c>
      <c r="O55" s="1" cm="1">
        <f t="array" ref="O55">IFERROR(_xlfn.LET(_xlpm.result,RANK(_xlfn.XLOOKUP($A55,$A$2:$A$29,_xlfn.XLOOKUP(O$32,$B$1:$O$1,$B$2:$O$29)),$B$2:$O$29),IF(_xlpm.result&gt;150,"",_xlpm.result)),"")</f>
        <v>149</v>
      </c>
      <c r="P55">
        <f t="shared" si="0"/>
        <v>11</v>
      </c>
      <c r="Q55" s="10">
        <f t="shared" si="1"/>
        <v>3</v>
      </c>
      <c r="R55">
        <v>3</v>
      </c>
    </row>
    <row r="56" spans="1:18" ht="21" x14ac:dyDescent="0.35">
      <c r="A56" t="s">
        <v>29</v>
      </c>
      <c r="B56" s="12" cm="1">
        <f t="array" ref="B56">IFERROR(_xlfn.LET(_xlpm.result,RANK(_xlfn.XLOOKUP($A56,$A$2:$A$29,_xlfn.XLOOKUP(B$32,$B$1:$O$1,$B$2:$O$29)),$B$2:$O$29),IF(_xlpm.result&gt;150,"",_xlpm.result)),"")</f>
        <v>2</v>
      </c>
      <c r="C56" s="1" t="str" cm="1">
        <f t="array" ref="C56">IFERROR(_xlfn.LET(_xlpm.result,RANK(_xlfn.XLOOKUP($A56,$A$2:$A$29,_xlfn.XLOOKUP(C$32,$B$1:$O$1,$B$2:$O$29)),$B$2:$O$29),IF(_xlpm.result&gt;150,"",_xlpm.result)),"")</f>
        <v/>
      </c>
      <c r="D56" s="1" cm="1">
        <f t="array" ref="D56">IFERROR(_xlfn.LET(_xlpm.result,RANK(_xlfn.XLOOKUP($A56,$A$2:$A$29,_xlfn.XLOOKUP(D$32,$B$1:$O$1,$B$2:$O$29)),$B$2:$O$29),IF(_xlpm.result&gt;150,"",_xlpm.result)),"")</f>
        <v>67</v>
      </c>
      <c r="E56" s="1" t="str" cm="1">
        <f t="array" ref="E56">IFERROR(_xlfn.LET(_xlpm.result,RANK(_xlfn.XLOOKUP($A56,$A$2:$A$29,_xlfn.XLOOKUP(E$32,$B$1:$O$1,$B$2:$O$29)),$B$2:$O$29),IF(_xlpm.result&gt;150,"",_xlpm.result)),"")</f>
        <v/>
      </c>
      <c r="F56" s="1" cm="1">
        <f t="array" ref="F56">IFERROR(_xlfn.LET(_xlpm.result,RANK(_xlfn.XLOOKUP($A56,$A$2:$A$29,_xlfn.XLOOKUP(F$32,$B$1:$O$1,$B$2:$O$29)),$B$2:$O$29),IF(_xlpm.result&gt;150,"",_xlpm.result)),"")</f>
        <v>70</v>
      </c>
      <c r="G56" s="1" cm="1">
        <f t="array" ref="G56">IFERROR(_xlfn.LET(_xlpm.result,RANK(_xlfn.XLOOKUP($A56,$A$2:$A$29,_xlfn.XLOOKUP(G$32,$B$1:$O$1,$B$2:$O$29)),$B$2:$O$29),IF(_xlpm.result&gt;150,"",_xlpm.result)),"")</f>
        <v>84</v>
      </c>
      <c r="H56" s="1" t="str" cm="1">
        <f t="array" ref="H56">IFERROR(_xlfn.LET(_xlpm.result,RANK(_xlfn.XLOOKUP($A56,$A$2:$A$29,_xlfn.XLOOKUP(H$32,$B$1:$O$1,$B$2:$O$29)),$B$2:$O$29),IF(_xlpm.result&gt;150,"",_xlpm.result)),"")</f>
        <v/>
      </c>
      <c r="I56" s="1" cm="1">
        <f t="array" ref="I56">IFERROR(_xlfn.LET(_xlpm.result,RANK(_xlfn.XLOOKUP($A56,$A$2:$A$29,_xlfn.XLOOKUP(I$32,$B$1:$O$1,$B$2:$O$29)),$B$2:$O$29),IF(_xlpm.result&gt;150,"",_xlpm.result)),"")</f>
        <v>5</v>
      </c>
      <c r="J56" s="1" cm="1">
        <f t="array" ref="J56">IFERROR(_xlfn.LET(_xlpm.result,RANK(_xlfn.XLOOKUP($A56,$A$2:$A$29,_xlfn.XLOOKUP(J$32,$B$1:$O$1,$B$2:$O$29)),$B$2:$O$29),IF(_xlpm.result&gt;150,"",_xlpm.result)),"")</f>
        <v>149</v>
      </c>
      <c r="K56" s="1" cm="1">
        <f t="array" ref="K56">IFERROR(_xlfn.LET(_xlpm.result,RANK(_xlfn.XLOOKUP($A56,$A$2:$A$29,_xlfn.XLOOKUP(K$32,$B$1:$O$1,$B$2:$O$29)),$B$2:$O$29),IF(_xlpm.result&gt;150,"",_xlpm.result)),"")</f>
        <v>57</v>
      </c>
      <c r="L56" s="1" cm="1">
        <f t="array" ref="L56">IFERROR(_xlfn.LET(_xlpm.result,RANK(_xlfn.XLOOKUP($A56,$A$2:$A$29,_xlfn.XLOOKUP(L$32,$B$1:$O$1,$B$2:$O$29)),$B$2:$O$29),IF(_xlpm.result&gt;150,"",_xlpm.result)),"")</f>
        <v>110</v>
      </c>
      <c r="M56" s="1" cm="1">
        <f t="array" ref="M56">IFERROR(_xlfn.LET(_xlpm.result,RANK(_xlfn.XLOOKUP($A56,$A$2:$A$29,_xlfn.XLOOKUP(M$32,$B$1:$O$1,$B$2:$O$29)),$B$2:$O$29),IF(_xlpm.result&gt;150,"",_xlpm.result)),"")</f>
        <v>57</v>
      </c>
      <c r="N56" s="1" cm="1">
        <f t="array" ref="N56">IFERROR(_xlfn.LET(_xlpm.result,RANK(_xlfn.XLOOKUP($A56,$A$2:$A$29,_xlfn.XLOOKUP(N$32,$B$1:$O$1,$B$2:$O$29)),$B$2:$O$29),IF(_xlpm.result&gt;150,"",_xlpm.result)),"")</f>
        <v>70</v>
      </c>
      <c r="O56" s="1" cm="1">
        <f t="array" ref="O56">IFERROR(_xlfn.LET(_xlpm.result,RANK(_xlfn.XLOOKUP($A56,$A$2:$A$29,_xlfn.XLOOKUP(O$32,$B$1:$O$1,$B$2:$O$29)),$B$2:$O$29),IF(_xlpm.result&gt;150,"",_xlpm.result)),"")</f>
        <v>32</v>
      </c>
      <c r="P56">
        <f t="shared" si="0"/>
        <v>11</v>
      </c>
      <c r="Q56" s="10">
        <f t="shared" si="1"/>
        <v>2</v>
      </c>
      <c r="R56">
        <v>2</v>
      </c>
    </row>
    <row r="57" spans="1:18" ht="21" x14ac:dyDescent="0.35">
      <c r="A57" t="s">
        <v>34</v>
      </c>
      <c r="B57" s="1" cm="1">
        <f t="array" ref="B57">IFERROR(_xlfn.LET(_xlpm.result,RANK(_xlfn.XLOOKUP($A57,$A$2:$A$29,_xlfn.XLOOKUP(B$32,$B$1:$O$1,$B$2:$O$29)),$B$2:$O$29),IF(_xlpm.result&gt;150,"",_xlpm.result)),"")</f>
        <v>36</v>
      </c>
      <c r="C57" s="1" t="str" cm="1">
        <f t="array" ref="C57">IFERROR(_xlfn.LET(_xlpm.result,RANK(_xlfn.XLOOKUP($A57,$A$2:$A$29,_xlfn.XLOOKUP(C$32,$B$1:$O$1,$B$2:$O$29)),$B$2:$O$29),IF(_xlpm.result&gt;150,"",_xlpm.result)),"")</f>
        <v/>
      </c>
      <c r="D57" s="12" cm="1">
        <f t="array" ref="D57">IFERROR(_xlfn.LET(_xlpm.result,RANK(_xlfn.XLOOKUP($A57,$A$2:$A$29,_xlfn.XLOOKUP(D$32,$B$1:$O$1,$B$2:$O$29)),$B$2:$O$29),IF(_xlpm.result&gt;150,"",_xlpm.result)),"")</f>
        <v>16</v>
      </c>
      <c r="E57" s="1" cm="1">
        <f t="array" ref="E57">IFERROR(_xlfn.LET(_xlpm.result,RANK(_xlfn.XLOOKUP($A57,$A$2:$A$29,_xlfn.XLOOKUP(E$32,$B$1:$O$1,$B$2:$O$29)),$B$2:$O$29),IF(_xlpm.result&gt;150,"",_xlpm.result)),"")</f>
        <v>74</v>
      </c>
      <c r="F57" s="1" cm="1">
        <f t="array" ref="F57">IFERROR(_xlfn.LET(_xlpm.result,RANK(_xlfn.XLOOKUP($A57,$A$2:$A$29,_xlfn.XLOOKUP(F$32,$B$1:$O$1,$B$2:$O$29)),$B$2:$O$29),IF(_xlpm.result&gt;150,"",_xlpm.result)),"")</f>
        <v>147</v>
      </c>
      <c r="G57" s="1" t="str" cm="1">
        <f t="array" ref="G57">IFERROR(_xlfn.LET(_xlpm.result,RANK(_xlfn.XLOOKUP($A57,$A$2:$A$29,_xlfn.XLOOKUP(G$32,$B$1:$O$1,$B$2:$O$29)),$B$2:$O$29),IF(_xlpm.result&gt;150,"",_xlpm.result)),"")</f>
        <v/>
      </c>
      <c r="H57" s="1" cm="1">
        <f t="array" ref="H57">IFERROR(_xlfn.LET(_xlpm.result,RANK(_xlfn.XLOOKUP($A57,$A$2:$A$29,_xlfn.XLOOKUP(H$32,$B$1:$O$1,$B$2:$O$29)),$B$2:$O$29),IF(_xlpm.result&gt;150,"",_xlpm.result)),"")</f>
        <v>91</v>
      </c>
      <c r="I57" s="1" cm="1">
        <f t="array" ref="I57">IFERROR(_xlfn.LET(_xlpm.result,RANK(_xlfn.XLOOKUP($A57,$A$2:$A$29,_xlfn.XLOOKUP(I$32,$B$1:$O$1,$B$2:$O$29)),$B$2:$O$29),IF(_xlpm.result&gt;150,"",_xlpm.result)),"")</f>
        <v>69</v>
      </c>
      <c r="J57" s="1" cm="1">
        <f t="array" ref="J57">IFERROR(_xlfn.LET(_xlpm.result,RANK(_xlfn.XLOOKUP($A57,$A$2:$A$29,_xlfn.XLOOKUP(J$32,$B$1:$O$1,$B$2:$O$29)),$B$2:$O$29),IF(_xlpm.result&gt;150,"",_xlpm.result)),"")</f>
        <v>48</v>
      </c>
      <c r="K57" s="1" cm="1">
        <f t="array" ref="K57">IFERROR(_xlfn.LET(_xlpm.result,RANK(_xlfn.XLOOKUP($A57,$A$2:$A$29,_xlfn.XLOOKUP(K$32,$B$1:$O$1,$B$2:$O$29)),$B$2:$O$29),IF(_xlpm.result&gt;150,"",_xlpm.result)),"")</f>
        <v>41</v>
      </c>
      <c r="L57" s="1" cm="1">
        <f t="array" ref="L57">IFERROR(_xlfn.LET(_xlpm.result,RANK(_xlfn.XLOOKUP($A57,$A$2:$A$29,_xlfn.XLOOKUP(L$32,$B$1:$O$1,$B$2:$O$29)),$B$2:$O$29),IF(_xlpm.result&gt;150,"",_xlpm.result)),"")</f>
        <v>119</v>
      </c>
      <c r="M57" s="1" cm="1">
        <f t="array" ref="M57">IFERROR(_xlfn.LET(_xlpm.result,RANK(_xlfn.XLOOKUP($A57,$A$2:$A$29,_xlfn.XLOOKUP(M$32,$B$1:$O$1,$B$2:$O$29)),$B$2:$O$29),IF(_xlpm.result&gt;150,"",_xlpm.result)),"")</f>
        <v>1</v>
      </c>
      <c r="N57" s="1" cm="1">
        <f t="array" ref="N57">IFERROR(_xlfn.LET(_xlpm.result,RANK(_xlfn.XLOOKUP($A57,$A$2:$A$29,_xlfn.XLOOKUP(N$32,$B$1:$O$1,$B$2:$O$29)),$B$2:$O$29),IF(_xlpm.result&gt;150,"",_xlpm.result)),"")</f>
        <v>91</v>
      </c>
      <c r="O57" s="1" cm="1">
        <f t="array" ref="O57">IFERROR(_xlfn.LET(_xlpm.result,RANK(_xlfn.XLOOKUP($A57,$A$2:$A$29,_xlfn.XLOOKUP(O$32,$B$1:$O$1,$B$2:$O$29)),$B$2:$O$29),IF(_xlpm.result&gt;150,"",_xlpm.result)),"")</f>
        <v>16</v>
      </c>
      <c r="P57">
        <f t="shared" si="0"/>
        <v>12</v>
      </c>
      <c r="Q57" s="10">
        <f t="shared" si="1"/>
        <v>1</v>
      </c>
      <c r="R57">
        <v>1</v>
      </c>
    </row>
    <row r="58" spans="1:18" x14ac:dyDescent="0.25">
      <c r="A58" t="s">
        <v>25</v>
      </c>
      <c r="B58" s="1" t="str" cm="1">
        <f t="array" ref="B58">IFERROR(_xlfn.LET(_xlpm.result,RANK(_xlfn.XLOOKUP($A58,$A$2:$A$29,_xlfn.XLOOKUP(B$32,$B$1:$O$1,$B$2:$O$29)),$B$2:$O$29),IF(_xlpm.result&gt;150,"",_xlpm.result)),"")</f>
        <v/>
      </c>
      <c r="C58" s="1" t="str" cm="1">
        <f t="array" ref="C58">IFERROR(_xlfn.LET(_xlpm.result,RANK(_xlfn.XLOOKUP($A58,$A$2:$A$29,_xlfn.XLOOKUP(C$32,$B$1:$O$1,$B$2:$O$29)),$B$2:$O$29),IF(_xlpm.result&gt;150,"",_xlpm.result)),"")</f>
        <v/>
      </c>
      <c r="D58" s="1" t="str" cm="1">
        <f t="array" ref="D58">IFERROR(_xlfn.LET(_xlpm.result,RANK(_xlfn.XLOOKUP($A58,$A$2:$A$29,_xlfn.XLOOKUP(D$32,$B$1:$O$1,$B$2:$O$29)),$B$2:$O$29),IF(_xlpm.result&gt;150,"",_xlpm.result)),"")</f>
        <v/>
      </c>
      <c r="E58" s="1" t="str" cm="1">
        <f t="array" ref="E58">IFERROR(_xlfn.LET(_xlpm.result,RANK(_xlfn.XLOOKUP($A58,$A$2:$A$29,_xlfn.XLOOKUP(E$32,$B$1:$O$1,$B$2:$O$29)),$B$2:$O$29),IF(_xlpm.result&gt;150,"",_xlpm.result)),"")</f>
        <v/>
      </c>
      <c r="F58" s="1" t="str" cm="1">
        <f t="array" ref="F58">IFERROR(_xlfn.LET(_xlpm.result,RANK(_xlfn.XLOOKUP($A58,$A$2:$A$29,_xlfn.XLOOKUP(F$32,$B$1:$O$1,$B$2:$O$29)),$B$2:$O$29),IF(_xlpm.result&gt;150,"",_xlpm.result)),"")</f>
        <v/>
      </c>
      <c r="G58" s="1" t="str" cm="1">
        <f t="array" ref="G58">IFERROR(_xlfn.LET(_xlpm.result,RANK(_xlfn.XLOOKUP($A58,$A$2:$A$29,_xlfn.XLOOKUP(G$32,$B$1:$O$1,$B$2:$O$29)),$B$2:$O$29),IF(_xlpm.result&gt;150,"",_xlpm.result)),"")</f>
        <v/>
      </c>
      <c r="H58" s="1" t="str" cm="1">
        <f t="array" ref="H58">IFERROR(_xlfn.LET(_xlpm.result,RANK(_xlfn.XLOOKUP($A58,$A$2:$A$29,_xlfn.XLOOKUP(H$32,$B$1:$O$1,$B$2:$O$29)),$B$2:$O$29),IF(_xlpm.result&gt;150,"",_xlpm.result)),"")</f>
        <v/>
      </c>
      <c r="I58" s="1" t="str" cm="1">
        <f t="array" ref="I58">IFERROR(_xlfn.LET(_xlpm.result,RANK(_xlfn.XLOOKUP($A58,$A$2:$A$29,_xlfn.XLOOKUP(I$32,$B$1:$O$1,$B$2:$O$29)),$B$2:$O$29),IF(_xlpm.result&gt;150,"",_xlpm.result)),"")</f>
        <v/>
      </c>
      <c r="J58" s="1" t="str" cm="1">
        <f t="array" ref="J58">IFERROR(_xlfn.LET(_xlpm.result,RANK(_xlfn.XLOOKUP($A58,$A$2:$A$29,_xlfn.XLOOKUP(J$32,$B$1:$O$1,$B$2:$O$29)),$B$2:$O$29),IF(_xlpm.result&gt;150,"",_xlpm.result)),"")</f>
        <v/>
      </c>
      <c r="K58" s="1" t="str" cm="1">
        <f t="array" ref="K58">IFERROR(_xlfn.LET(_xlpm.result,RANK(_xlfn.XLOOKUP($A58,$A$2:$A$29,_xlfn.XLOOKUP(K$32,$B$1:$O$1,$B$2:$O$29)),$B$2:$O$29),IF(_xlpm.result&gt;150,"",_xlpm.result)),"")</f>
        <v/>
      </c>
      <c r="L58" s="1" t="str" cm="1">
        <f t="array" ref="L58">IFERROR(_xlfn.LET(_xlpm.result,RANK(_xlfn.XLOOKUP($A58,$A$2:$A$29,_xlfn.XLOOKUP(L$32,$B$1:$O$1,$B$2:$O$29)),$B$2:$O$29),IF(_xlpm.result&gt;150,"",_xlpm.result)),"")</f>
        <v/>
      </c>
      <c r="M58" s="1" t="str" cm="1">
        <f t="array" ref="M58">IFERROR(_xlfn.LET(_xlpm.result,RANK(_xlfn.XLOOKUP($A58,$A$2:$A$29,_xlfn.XLOOKUP(M$32,$B$1:$O$1,$B$2:$O$29)),$B$2:$O$29),IF(_xlpm.result&gt;150,"",_xlpm.result)),"")</f>
        <v/>
      </c>
      <c r="N58" s="1" t="str" cm="1">
        <f t="array" ref="N58">IFERROR(_xlfn.LET(_xlpm.result,RANK(_xlfn.XLOOKUP($A58,$A$2:$A$29,_xlfn.XLOOKUP(N$32,$B$1:$O$1,$B$2:$O$29)),$B$2:$O$29),IF(_xlpm.result&gt;150,"",_xlpm.result)),"")</f>
        <v/>
      </c>
      <c r="O58" s="1" t="str" cm="1">
        <f t="array" ref="O58">IFERROR(_xlfn.LET(_xlpm.result,RANK(_xlfn.XLOOKUP($A58,$A$2:$A$29,_xlfn.XLOOKUP(O$32,$B$1:$O$1,$B$2:$O$29)),$B$2:$O$29),IF(_xlpm.result&gt;150,"",_xlpm.result)),"")</f>
        <v/>
      </c>
      <c r="P58">
        <f t="shared" si="0"/>
        <v>0</v>
      </c>
      <c r="Q58" s="10">
        <f t="shared" si="1"/>
        <v>0</v>
      </c>
    </row>
    <row r="59" spans="1:18" x14ac:dyDescent="0.25">
      <c r="A59" t="s">
        <v>42</v>
      </c>
      <c r="B59" s="1" t="str" cm="1">
        <f t="array" ref="B59">IFERROR(_xlfn.LET(_xlpm.result,RANK(_xlfn.XLOOKUP($A59,$A$2:$A$29,_xlfn.XLOOKUP(B$32,$B$1:$O$1,$B$2:$O$29)),$B$2:$O$29),IF(_xlpm.result&gt;150,"",_xlpm.result)),"")</f>
        <v/>
      </c>
      <c r="C59" s="1" t="str" cm="1">
        <f t="array" ref="C59">IFERROR(_xlfn.LET(_xlpm.result,RANK(_xlfn.XLOOKUP($A59,$A$2:$A$29,_xlfn.XLOOKUP(C$32,$B$1:$O$1,$B$2:$O$29)),$B$2:$O$29),IF(_xlpm.result&gt;150,"",_xlpm.result)),"")</f>
        <v/>
      </c>
      <c r="D59" s="1" t="str" cm="1">
        <f t="array" ref="D59">IFERROR(_xlfn.LET(_xlpm.result,RANK(_xlfn.XLOOKUP($A59,$A$2:$A$29,_xlfn.XLOOKUP(D$32,$B$1:$O$1,$B$2:$O$29)),$B$2:$O$29),IF(_xlpm.result&gt;150,"",_xlpm.result)),"")</f>
        <v/>
      </c>
      <c r="E59" s="1" t="str" cm="1">
        <f t="array" ref="E59">IFERROR(_xlfn.LET(_xlpm.result,RANK(_xlfn.XLOOKUP($A59,$A$2:$A$29,_xlfn.XLOOKUP(E$32,$B$1:$O$1,$B$2:$O$29)),$B$2:$O$29),IF(_xlpm.result&gt;150,"",_xlpm.result)),"")</f>
        <v/>
      </c>
      <c r="F59" s="1" t="str" cm="1">
        <f t="array" ref="F59">IFERROR(_xlfn.LET(_xlpm.result,RANK(_xlfn.XLOOKUP($A59,$A$2:$A$29,_xlfn.XLOOKUP(F$32,$B$1:$O$1,$B$2:$O$29)),$B$2:$O$29),IF(_xlpm.result&gt;150,"",_xlpm.result)),"")</f>
        <v/>
      </c>
      <c r="G59" s="1" t="str" cm="1">
        <f t="array" ref="G59">IFERROR(_xlfn.LET(_xlpm.result,RANK(_xlfn.XLOOKUP($A59,$A$2:$A$29,_xlfn.XLOOKUP(G$32,$B$1:$O$1,$B$2:$O$29)),$B$2:$O$29),IF(_xlpm.result&gt;150,"",_xlpm.result)),"")</f>
        <v/>
      </c>
      <c r="H59" s="1" t="str" cm="1">
        <f t="array" ref="H59">IFERROR(_xlfn.LET(_xlpm.result,RANK(_xlfn.XLOOKUP($A59,$A$2:$A$29,_xlfn.XLOOKUP(H$32,$B$1:$O$1,$B$2:$O$29)),$B$2:$O$29),IF(_xlpm.result&gt;150,"",_xlpm.result)),"")</f>
        <v/>
      </c>
      <c r="I59" s="1" t="str" cm="1">
        <f t="array" ref="I59">IFERROR(_xlfn.LET(_xlpm.result,RANK(_xlfn.XLOOKUP($A59,$A$2:$A$29,_xlfn.XLOOKUP(I$32,$B$1:$O$1,$B$2:$O$29)),$B$2:$O$29),IF(_xlpm.result&gt;150,"",_xlpm.result)),"")</f>
        <v/>
      </c>
      <c r="J59" s="1" t="str" cm="1">
        <f t="array" ref="J59">IFERROR(_xlfn.LET(_xlpm.result,RANK(_xlfn.XLOOKUP($A59,$A$2:$A$29,_xlfn.XLOOKUP(J$32,$B$1:$O$1,$B$2:$O$29)),$B$2:$O$29),IF(_xlpm.result&gt;150,"",_xlpm.result)),"")</f>
        <v/>
      </c>
      <c r="K59" s="1" t="str" cm="1">
        <f t="array" ref="K59">IFERROR(_xlfn.LET(_xlpm.result,RANK(_xlfn.XLOOKUP($A59,$A$2:$A$29,_xlfn.XLOOKUP(K$32,$B$1:$O$1,$B$2:$O$29)),$B$2:$O$29),IF(_xlpm.result&gt;150,"",_xlpm.result)),"")</f>
        <v/>
      </c>
      <c r="L59" s="1" t="str" cm="1">
        <f t="array" ref="L59">IFERROR(_xlfn.LET(_xlpm.result,RANK(_xlfn.XLOOKUP($A59,$A$2:$A$29,_xlfn.XLOOKUP(L$32,$B$1:$O$1,$B$2:$O$29)),$B$2:$O$29),IF(_xlpm.result&gt;150,"",_xlpm.result)),"")</f>
        <v/>
      </c>
      <c r="M59" s="1" t="str" cm="1">
        <f t="array" ref="M59">IFERROR(_xlfn.LET(_xlpm.result,RANK(_xlfn.XLOOKUP($A59,$A$2:$A$29,_xlfn.XLOOKUP(M$32,$B$1:$O$1,$B$2:$O$29)),$B$2:$O$29),IF(_xlpm.result&gt;150,"",_xlpm.result)),"")</f>
        <v/>
      </c>
      <c r="N59" s="1" t="str" cm="1">
        <f t="array" ref="N59">IFERROR(_xlfn.LET(_xlpm.result,RANK(_xlfn.XLOOKUP($A59,$A$2:$A$29,_xlfn.XLOOKUP(N$32,$B$1:$O$1,$B$2:$O$29)),$B$2:$O$29),IF(_xlpm.result&gt;150,"",_xlpm.result)),"")</f>
        <v/>
      </c>
      <c r="O59" s="1" t="str" cm="1">
        <f t="array" ref="O59">IFERROR(_xlfn.LET(_xlpm.result,RANK(_xlfn.XLOOKUP($A59,$A$2:$A$29,_xlfn.XLOOKUP(O$32,$B$1:$O$1,$B$2:$O$29)),$B$2:$O$29),IF(_xlpm.result&gt;150,"",_xlpm.result)),"")</f>
        <v/>
      </c>
      <c r="P59">
        <f t="shared" si="0"/>
        <v>0</v>
      </c>
      <c r="Q59" s="10">
        <f t="shared" si="1"/>
        <v>0</v>
      </c>
    </row>
    <row r="60" spans="1:18" x14ac:dyDescent="0.25">
      <c r="A60" t="s">
        <v>49</v>
      </c>
      <c r="B60" s="1" t="str" cm="1">
        <f t="array" ref="B60">IFERROR(_xlfn.LET(_xlpm.result,RANK(_xlfn.XLOOKUP($A60,$A$2:$A$29,_xlfn.XLOOKUP(B$32,$B$1:$O$1,$B$2:$O$29)),$B$2:$O$29),IF(_xlpm.result&gt;150,"",_xlpm.result)),"")</f>
        <v/>
      </c>
      <c r="C60" s="1" t="str" cm="1">
        <f t="array" ref="C60">IFERROR(_xlfn.LET(_xlpm.result,RANK(_xlfn.XLOOKUP($A60,$A$2:$A$29,_xlfn.XLOOKUP(C$32,$B$1:$O$1,$B$2:$O$29)),$B$2:$O$29),IF(_xlpm.result&gt;150,"",_xlpm.result)),"")</f>
        <v/>
      </c>
      <c r="D60" s="1" t="str" cm="1">
        <f t="array" ref="D60">IFERROR(_xlfn.LET(_xlpm.result,RANK(_xlfn.XLOOKUP($A60,$A$2:$A$29,_xlfn.XLOOKUP(D$32,$B$1:$O$1,$B$2:$O$29)),$B$2:$O$29),IF(_xlpm.result&gt;150,"",_xlpm.result)),"")</f>
        <v/>
      </c>
      <c r="E60" s="1" t="str" cm="1">
        <f t="array" ref="E60">IFERROR(_xlfn.LET(_xlpm.result,RANK(_xlfn.XLOOKUP($A60,$A$2:$A$29,_xlfn.XLOOKUP(E$32,$B$1:$O$1,$B$2:$O$29)),$B$2:$O$29),IF(_xlpm.result&gt;150,"",_xlpm.result)),"")</f>
        <v/>
      </c>
      <c r="F60" s="1" t="str" cm="1">
        <f t="array" ref="F60">IFERROR(_xlfn.LET(_xlpm.result,RANK(_xlfn.XLOOKUP($A60,$A$2:$A$29,_xlfn.XLOOKUP(F$32,$B$1:$O$1,$B$2:$O$29)),$B$2:$O$29),IF(_xlpm.result&gt;150,"",_xlpm.result)),"")</f>
        <v/>
      </c>
      <c r="G60" s="1" t="str" cm="1">
        <f t="array" ref="G60">IFERROR(_xlfn.LET(_xlpm.result,RANK(_xlfn.XLOOKUP($A60,$A$2:$A$29,_xlfn.XLOOKUP(G$32,$B$1:$O$1,$B$2:$O$29)),$B$2:$O$29),IF(_xlpm.result&gt;150,"",_xlpm.result)),"")</f>
        <v/>
      </c>
      <c r="H60" s="1" t="str" cm="1">
        <f t="array" ref="H60">IFERROR(_xlfn.LET(_xlpm.result,RANK(_xlfn.XLOOKUP($A60,$A$2:$A$29,_xlfn.XLOOKUP(H$32,$B$1:$O$1,$B$2:$O$29)),$B$2:$O$29),IF(_xlpm.result&gt;150,"",_xlpm.result)),"")</f>
        <v/>
      </c>
      <c r="I60" s="1" t="str" cm="1">
        <f t="array" ref="I60">IFERROR(_xlfn.LET(_xlpm.result,RANK(_xlfn.XLOOKUP($A60,$A$2:$A$29,_xlfn.XLOOKUP(I$32,$B$1:$O$1,$B$2:$O$29)),$B$2:$O$29),IF(_xlpm.result&gt;150,"",_xlpm.result)),"")</f>
        <v/>
      </c>
      <c r="J60" s="1" t="str" cm="1">
        <f t="array" ref="J60">IFERROR(_xlfn.LET(_xlpm.result,RANK(_xlfn.XLOOKUP($A60,$A$2:$A$29,_xlfn.XLOOKUP(J$32,$B$1:$O$1,$B$2:$O$29)),$B$2:$O$29),IF(_xlpm.result&gt;150,"",_xlpm.result)),"")</f>
        <v/>
      </c>
      <c r="K60" s="1" t="str" cm="1">
        <f t="array" ref="K60">IFERROR(_xlfn.LET(_xlpm.result,RANK(_xlfn.XLOOKUP($A60,$A$2:$A$29,_xlfn.XLOOKUP(K$32,$B$1:$O$1,$B$2:$O$29)),$B$2:$O$29),IF(_xlpm.result&gt;150,"",_xlpm.result)),"")</f>
        <v/>
      </c>
      <c r="L60" s="1" t="str" cm="1">
        <f t="array" ref="L60">IFERROR(_xlfn.LET(_xlpm.result,RANK(_xlfn.XLOOKUP($A60,$A$2:$A$29,_xlfn.XLOOKUP(L$32,$B$1:$O$1,$B$2:$O$29)),$B$2:$O$29),IF(_xlpm.result&gt;150,"",_xlpm.result)),"")</f>
        <v/>
      </c>
      <c r="M60" s="1" t="str" cm="1">
        <f t="array" ref="M60">IFERROR(_xlfn.LET(_xlpm.result,RANK(_xlfn.XLOOKUP($A60,$A$2:$A$29,_xlfn.XLOOKUP(M$32,$B$1:$O$1,$B$2:$O$29)),$B$2:$O$29),IF(_xlpm.result&gt;150,"",_xlpm.result)),"")</f>
        <v/>
      </c>
      <c r="N60" s="1" t="str" cm="1">
        <f t="array" ref="N60">IFERROR(_xlfn.LET(_xlpm.result,RANK(_xlfn.XLOOKUP($A60,$A$2:$A$29,_xlfn.XLOOKUP(N$32,$B$1:$O$1,$B$2:$O$29)),$B$2:$O$29),IF(_xlpm.result&gt;150,"",_xlpm.result)),"")</f>
        <v/>
      </c>
      <c r="O60" s="1" t="str" cm="1">
        <f t="array" ref="O60">IFERROR(_xlfn.LET(_xlpm.result,RANK(_xlfn.XLOOKUP($A60,$A$2:$A$29,_xlfn.XLOOKUP(O$32,$B$1:$O$1,$B$2:$O$29)),$B$2:$O$29),IF(_xlpm.result&gt;150,"",_xlpm.result)),"")</f>
        <v/>
      </c>
      <c r="P60">
        <f t="shared" si="0"/>
        <v>0</v>
      </c>
      <c r="Q60" s="10">
        <f t="shared" si="1"/>
        <v>0</v>
      </c>
    </row>
    <row r="61" spans="1:18" x14ac:dyDescent="0.25">
      <c r="B61" s="1">
        <v>2</v>
      </c>
      <c r="C61" s="1">
        <v>6</v>
      </c>
      <c r="D61" s="1">
        <v>16</v>
      </c>
      <c r="E61" s="1">
        <v>8</v>
      </c>
      <c r="F61" s="1">
        <v>3</v>
      </c>
      <c r="G61" s="1">
        <v>21</v>
      </c>
      <c r="H61" s="1">
        <v>28</v>
      </c>
      <c r="I61" s="1">
        <v>11</v>
      </c>
      <c r="J61" s="1">
        <v>26</v>
      </c>
      <c r="K61" s="1">
        <v>30</v>
      </c>
      <c r="L61" s="1">
        <v>7</v>
      </c>
      <c r="M61" s="1">
        <v>32</v>
      </c>
      <c r="N61" s="1">
        <v>45</v>
      </c>
      <c r="O61" s="1">
        <v>38</v>
      </c>
      <c r="Q61" s="10"/>
    </row>
    <row r="66" spans="1:16" x14ac:dyDescent="0.25">
      <c r="A66" t="s">
        <v>0</v>
      </c>
      <c r="B66" t="s">
        <v>5</v>
      </c>
      <c r="C66" t="s">
        <v>6</v>
      </c>
      <c r="D66" t="s">
        <v>7</v>
      </c>
      <c r="E66" t="s">
        <v>8</v>
      </c>
      <c r="F66" t="s">
        <v>9</v>
      </c>
      <c r="G66" t="s">
        <v>10</v>
      </c>
      <c r="H66" t="s">
        <v>11</v>
      </c>
      <c r="I66" t="s">
        <v>12</v>
      </c>
      <c r="J66" t="s">
        <v>13</v>
      </c>
      <c r="K66" t="s">
        <v>14</v>
      </c>
      <c r="L66" t="s">
        <v>15</v>
      </c>
      <c r="M66" t="s">
        <v>16</v>
      </c>
      <c r="N66" t="s">
        <v>17</v>
      </c>
      <c r="O66" t="s">
        <v>18</v>
      </c>
      <c r="P66" t="s">
        <v>54</v>
      </c>
    </row>
    <row r="67" spans="1:16" x14ac:dyDescent="0.25">
      <c r="A67" t="s">
        <v>25</v>
      </c>
      <c r="B67" s="1" t="str" cm="1">
        <f t="array" ref="B67">_xlfn.LET(_xlpm.result,10*_xlfn.XLOOKUP($A67,$A$2:$A$29,_xlfn.XLOOKUP(B$32,$B$1:$O$1,$B$2:$O$29)),IF(_xlpm.result&lt;0,"",_xlpm.result))</f>
        <v/>
      </c>
      <c r="C67" s="1" t="str" cm="1">
        <f t="array" ref="C67">_xlfn.LET(_xlpm.result,10*_xlfn.XLOOKUP($A67,$A$2:$A$29,_xlfn.XLOOKUP(C$32,$B$1:$O$1,$B$2:$O$29)),IF(_xlpm.result&lt;0,"",_xlpm.result))</f>
        <v/>
      </c>
      <c r="D67" s="1" t="str" cm="1">
        <f t="array" ref="D67">_xlfn.LET(_xlpm.result,10*_xlfn.XLOOKUP($A67,$A$2:$A$29,_xlfn.XLOOKUP(D$32,$B$1:$O$1,$B$2:$O$29)),IF(_xlpm.result&lt;0,"",_xlpm.result))</f>
        <v/>
      </c>
      <c r="E67" s="1" t="str" cm="1">
        <f t="array" ref="E67">_xlfn.LET(_xlpm.result,10*_xlfn.XLOOKUP($A67,$A$2:$A$29,_xlfn.XLOOKUP(E$32,$B$1:$O$1,$B$2:$O$29)),IF(_xlpm.result&lt;0,"",_xlpm.result))</f>
        <v/>
      </c>
      <c r="F67" s="1" t="str" cm="1">
        <f t="array" ref="F67">_xlfn.LET(_xlpm.result,10*_xlfn.XLOOKUP($A67,$A$2:$A$29,_xlfn.XLOOKUP(F$32,$B$1:$O$1,$B$2:$O$29)),IF(_xlpm.result&lt;0,"",_xlpm.result))</f>
        <v/>
      </c>
      <c r="G67" s="1" cm="1">
        <f t="array" ref="G67">_xlfn.LET(_xlpm.result,10*_xlfn.XLOOKUP($A67,$A$2:$A$29,_xlfn.XLOOKUP(G$32,$B$1:$O$1,$B$2:$O$29)),IF(_xlpm.result&lt;0,"",_xlpm.result))</f>
        <v>0</v>
      </c>
      <c r="H67" s="1" t="str" cm="1">
        <f t="array" ref="H67">_xlfn.LET(_xlpm.result,10*_xlfn.XLOOKUP($A67,$A$2:$A$29,_xlfn.XLOOKUP(H$32,$B$1:$O$1,$B$2:$O$29)),IF(_xlpm.result&lt;0,"",_xlpm.result))</f>
        <v/>
      </c>
      <c r="I67" s="1" t="str" cm="1">
        <f t="array" ref="I67">_xlfn.LET(_xlpm.result,10*_xlfn.XLOOKUP($A67,$A$2:$A$29,_xlfn.XLOOKUP(I$32,$B$1:$O$1,$B$2:$O$29)),IF(_xlpm.result&lt;0,"",_xlpm.result))</f>
        <v/>
      </c>
      <c r="J67" s="1" t="str" cm="1">
        <f t="array" ref="J67">_xlfn.LET(_xlpm.result,10*_xlfn.XLOOKUP($A67,$A$2:$A$29,_xlfn.XLOOKUP(J$32,$B$1:$O$1,$B$2:$O$29)),IF(_xlpm.result&lt;0,"",_xlpm.result))</f>
        <v/>
      </c>
      <c r="K67" s="1" t="str" cm="1">
        <f t="array" ref="K67">_xlfn.LET(_xlpm.result,10*_xlfn.XLOOKUP($A67,$A$2:$A$29,_xlfn.XLOOKUP(K$32,$B$1:$O$1,$B$2:$O$29)),IF(_xlpm.result&lt;0,"",_xlpm.result))</f>
        <v/>
      </c>
      <c r="L67" s="1" t="str" cm="1">
        <f t="array" ref="L67">_xlfn.LET(_xlpm.result,10*_xlfn.XLOOKUP($A67,$A$2:$A$29,_xlfn.XLOOKUP(L$32,$B$1:$O$1,$B$2:$O$29)),IF(_xlpm.result&lt;0,"",_xlpm.result))</f>
        <v/>
      </c>
      <c r="M67" s="1" t="str" cm="1">
        <f t="array" ref="M67">_xlfn.LET(_xlpm.result,10*_xlfn.XLOOKUP($A67,$A$2:$A$29,_xlfn.XLOOKUP(M$32,$B$1:$O$1,$B$2:$O$29)),IF(_xlpm.result&lt;0,"",_xlpm.result))</f>
        <v/>
      </c>
      <c r="N67" s="1" t="str" cm="1">
        <f t="array" ref="N67">_xlfn.LET(_xlpm.result,10*_xlfn.XLOOKUP($A67,$A$2:$A$29,_xlfn.XLOOKUP(N$32,$B$1:$O$1,$B$2:$O$29)),IF(_xlpm.result&lt;0,"",_xlpm.result))</f>
        <v/>
      </c>
      <c r="O67" s="1" t="str" cm="1">
        <f t="array" ref="O67">_xlfn.LET(_xlpm.result,10*_xlfn.XLOOKUP($A67,$A$2:$A$29,_xlfn.XLOOKUP(O$32,$B$1:$O$1,$B$2:$O$29)),IF(_xlpm.result&lt;0,"",_xlpm.result))</f>
        <v/>
      </c>
      <c r="P67" s="10">
        <f t="shared" ref="P67:P94" si="2">MAX(B67:O67)</f>
        <v>0</v>
      </c>
    </row>
    <row r="68" spans="1:16" x14ac:dyDescent="0.25">
      <c r="A68" t="s">
        <v>49</v>
      </c>
      <c r="B68" s="1" t="str" cm="1">
        <f t="array" ref="B68">_xlfn.LET(_xlpm.result,10*_xlfn.XLOOKUP($A68,$A$2:$A$29,_xlfn.XLOOKUP(B$32,$B$1:$O$1,$B$2:$O$29)),IF(_xlpm.result&lt;0,"",_xlpm.result))</f>
        <v/>
      </c>
      <c r="C68" s="1" t="str" cm="1">
        <f t="array" ref="C68">_xlfn.LET(_xlpm.result,10*_xlfn.XLOOKUP($A68,$A$2:$A$29,_xlfn.XLOOKUP(C$32,$B$1:$O$1,$B$2:$O$29)),IF(_xlpm.result&lt;0,"",_xlpm.result))</f>
        <v/>
      </c>
      <c r="D68" s="1" t="str" cm="1">
        <f t="array" ref="D68">_xlfn.LET(_xlpm.result,10*_xlfn.XLOOKUP($A68,$A$2:$A$29,_xlfn.XLOOKUP(D$32,$B$1:$O$1,$B$2:$O$29)),IF(_xlpm.result&lt;0,"",_xlpm.result))</f>
        <v/>
      </c>
      <c r="E68" s="1" t="str" cm="1">
        <f t="array" ref="E68">_xlfn.LET(_xlpm.result,10*_xlfn.XLOOKUP($A68,$A$2:$A$29,_xlfn.XLOOKUP(E$32,$B$1:$O$1,$B$2:$O$29)),IF(_xlpm.result&lt;0,"",_xlpm.result))</f>
        <v/>
      </c>
      <c r="F68" s="1" t="str" cm="1">
        <f t="array" ref="F68">_xlfn.LET(_xlpm.result,10*_xlfn.XLOOKUP($A68,$A$2:$A$29,_xlfn.XLOOKUP(F$32,$B$1:$O$1,$B$2:$O$29)),IF(_xlpm.result&lt;0,"",_xlpm.result))</f>
        <v/>
      </c>
      <c r="G68" s="1" cm="1">
        <f t="array" ref="G68">_xlfn.LET(_xlpm.result,10*_xlfn.XLOOKUP($A68,$A$2:$A$29,_xlfn.XLOOKUP(G$32,$B$1:$O$1,$B$2:$O$29)),IF(_xlpm.result&lt;0,"",_xlpm.result))</f>
        <v>0</v>
      </c>
      <c r="H68" s="1" t="str" cm="1">
        <f t="array" ref="H68">_xlfn.LET(_xlpm.result,10*_xlfn.XLOOKUP($A68,$A$2:$A$29,_xlfn.XLOOKUP(H$32,$B$1:$O$1,$B$2:$O$29)),IF(_xlpm.result&lt;0,"",_xlpm.result))</f>
        <v/>
      </c>
      <c r="I68" s="1" t="str" cm="1">
        <f t="array" ref="I68">_xlfn.LET(_xlpm.result,10*_xlfn.XLOOKUP($A68,$A$2:$A$29,_xlfn.XLOOKUP(I$32,$B$1:$O$1,$B$2:$O$29)),IF(_xlpm.result&lt;0,"",_xlpm.result))</f>
        <v/>
      </c>
      <c r="J68" s="1" t="str" cm="1">
        <f t="array" ref="J68">_xlfn.LET(_xlpm.result,10*_xlfn.XLOOKUP($A68,$A$2:$A$29,_xlfn.XLOOKUP(J$32,$B$1:$O$1,$B$2:$O$29)),IF(_xlpm.result&lt;0,"",_xlpm.result))</f>
        <v/>
      </c>
      <c r="K68" s="1" t="str" cm="1">
        <f t="array" ref="K68">_xlfn.LET(_xlpm.result,10*_xlfn.XLOOKUP($A68,$A$2:$A$29,_xlfn.XLOOKUP(K$32,$B$1:$O$1,$B$2:$O$29)),IF(_xlpm.result&lt;0,"",_xlpm.result))</f>
        <v/>
      </c>
      <c r="L68" s="1" t="str" cm="1">
        <f t="array" ref="L68">_xlfn.LET(_xlpm.result,10*_xlfn.XLOOKUP($A68,$A$2:$A$29,_xlfn.XLOOKUP(L$32,$B$1:$O$1,$B$2:$O$29)),IF(_xlpm.result&lt;0,"",_xlpm.result))</f>
        <v/>
      </c>
      <c r="M68" s="1" t="str" cm="1">
        <f t="array" ref="M68">_xlfn.LET(_xlpm.result,10*_xlfn.XLOOKUP($A68,$A$2:$A$29,_xlfn.XLOOKUP(M$32,$B$1:$O$1,$B$2:$O$29)),IF(_xlpm.result&lt;0,"",_xlpm.result))</f>
        <v/>
      </c>
      <c r="N68" s="1" t="str" cm="1">
        <f t="array" ref="N68">_xlfn.LET(_xlpm.result,10*_xlfn.XLOOKUP($A68,$A$2:$A$29,_xlfn.XLOOKUP(N$32,$B$1:$O$1,$B$2:$O$29)),IF(_xlpm.result&lt;0,"",_xlpm.result))</f>
        <v/>
      </c>
      <c r="O68" s="1" t="str" cm="1">
        <f t="array" ref="O68">_xlfn.LET(_xlpm.result,10*_xlfn.XLOOKUP($A68,$A$2:$A$29,_xlfn.XLOOKUP(O$32,$B$1:$O$1,$B$2:$O$29)),IF(_xlpm.result&lt;0,"",_xlpm.result))</f>
        <v/>
      </c>
      <c r="P68" s="10">
        <f t="shared" si="2"/>
        <v>0</v>
      </c>
    </row>
    <row r="69" spans="1:16" x14ac:dyDescent="0.25">
      <c r="A69" t="s">
        <v>42</v>
      </c>
      <c r="B69" s="1" cm="1">
        <f t="array" ref="B69">_xlfn.LET(_xlpm.result,10*_xlfn.XLOOKUP($A69,$A$2:$A$29,_xlfn.XLOOKUP(B$32,$B$1:$O$1,$B$2:$O$29)),IF(_xlpm.result&lt;0,"",_xlpm.result))</f>
        <v>2.9999999999999898</v>
      </c>
      <c r="C69" s="1" t="str" cm="1">
        <f t="array" ref="C69">_xlfn.LET(_xlpm.result,10*_xlfn.XLOOKUP($A69,$A$2:$A$29,_xlfn.XLOOKUP(C$32,$B$1:$O$1,$B$2:$O$29)),IF(_xlpm.result&lt;0,"",_xlpm.result))</f>
        <v/>
      </c>
      <c r="D69" s="1" t="str" cm="1">
        <f t="array" ref="D69">_xlfn.LET(_xlpm.result,10*_xlfn.XLOOKUP($A69,$A$2:$A$29,_xlfn.XLOOKUP(D$32,$B$1:$O$1,$B$2:$O$29)),IF(_xlpm.result&lt;0,"",_xlpm.result))</f>
        <v/>
      </c>
      <c r="E69" s="1" t="str" cm="1">
        <f t="array" ref="E69">_xlfn.LET(_xlpm.result,10*_xlfn.XLOOKUP($A69,$A$2:$A$29,_xlfn.XLOOKUP(E$32,$B$1:$O$1,$B$2:$O$29)),IF(_xlpm.result&lt;0,"",_xlpm.result))</f>
        <v/>
      </c>
      <c r="F69" s="1" t="str" cm="1">
        <f t="array" ref="F69">_xlfn.LET(_xlpm.result,10*_xlfn.XLOOKUP($A69,$A$2:$A$29,_xlfn.XLOOKUP(F$32,$B$1:$O$1,$B$2:$O$29)),IF(_xlpm.result&lt;0,"",_xlpm.result))</f>
        <v/>
      </c>
      <c r="G69" s="1" t="str" cm="1">
        <f t="array" ref="G69">_xlfn.LET(_xlpm.result,10*_xlfn.XLOOKUP($A69,$A$2:$A$29,_xlfn.XLOOKUP(G$32,$B$1:$O$1,$B$2:$O$29)),IF(_xlpm.result&lt;0,"",_xlpm.result))</f>
        <v/>
      </c>
      <c r="H69" s="1" t="str" cm="1">
        <f t="array" ref="H69">_xlfn.LET(_xlpm.result,10*_xlfn.XLOOKUP($A69,$A$2:$A$29,_xlfn.XLOOKUP(H$32,$B$1:$O$1,$B$2:$O$29)),IF(_xlpm.result&lt;0,"",_xlpm.result))</f>
        <v/>
      </c>
      <c r="I69" s="1" t="str" cm="1">
        <f t="array" ref="I69">_xlfn.LET(_xlpm.result,10*_xlfn.XLOOKUP($A69,$A$2:$A$29,_xlfn.XLOOKUP(I$32,$B$1:$O$1,$B$2:$O$29)),IF(_xlpm.result&lt;0,"",_xlpm.result))</f>
        <v/>
      </c>
      <c r="J69" s="1" t="str" cm="1">
        <f t="array" ref="J69">_xlfn.LET(_xlpm.result,10*_xlfn.XLOOKUP($A69,$A$2:$A$29,_xlfn.XLOOKUP(J$32,$B$1:$O$1,$B$2:$O$29)),IF(_xlpm.result&lt;0,"",_xlpm.result))</f>
        <v/>
      </c>
      <c r="K69" s="1" cm="1">
        <f t="array" ref="K69">_xlfn.LET(_xlpm.result,10*_xlfn.XLOOKUP($A69,$A$2:$A$29,_xlfn.XLOOKUP(K$32,$B$1:$O$1,$B$2:$O$29)),IF(_xlpm.result&lt;0,"",_xlpm.result))</f>
        <v>0</v>
      </c>
      <c r="L69" s="1" t="str" cm="1">
        <f t="array" ref="L69">_xlfn.LET(_xlpm.result,10*_xlfn.XLOOKUP($A69,$A$2:$A$29,_xlfn.XLOOKUP(L$32,$B$1:$O$1,$B$2:$O$29)),IF(_xlpm.result&lt;0,"",_xlpm.result))</f>
        <v/>
      </c>
      <c r="M69" s="1" t="str" cm="1">
        <f t="array" ref="M69">_xlfn.LET(_xlpm.result,10*_xlfn.XLOOKUP($A69,$A$2:$A$29,_xlfn.XLOOKUP(M$32,$B$1:$O$1,$B$2:$O$29)),IF(_xlpm.result&lt;0,"",_xlpm.result))</f>
        <v/>
      </c>
      <c r="N69" s="1" t="str" cm="1">
        <f t="array" ref="N69">_xlfn.LET(_xlpm.result,10*_xlfn.XLOOKUP($A69,$A$2:$A$29,_xlfn.XLOOKUP(N$32,$B$1:$O$1,$B$2:$O$29)),IF(_xlpm.result&lt;0,"",_xlpm.result))</f>
        <v/>
      </c>
      <c r="O69" s="1" t="str" cm="1">
        <f t="array" ref="O69">_xlfn.LET(_xlpm.result,10*_xlfn.XLOOKUP($A69,$A$2:$A$29,_xlfn.XLOOKUP(O$32,$B$1:$O$1,$B$2:$O$29)),IF(_xlpm.result&lt;0,"",_xlpm.result))</f>
        <v/>
      </c>
      <c r="P69" s="10">
        <f t="shared" si="2"/>
        <v>2.9999999999999898</v>
      </c>
    </row>
    <row r="70" spans="1:16" x14ac:dyDescent="0.25">
      <c r="A70" t="s">
        <v>23</v>
      </c>
      <c r="B70" s="1" t="str" cm="1">
        <f t="array" ref="B70">_xlfn.LET(_xlpm.result,10*_xlfn.XLOOKUP($A70,$A$2:$A$29,_xlfn.XLOOKUP(B$32,$B$1:$O$1,$B$2:$O$29)),IF(_xlpm.result&lt;0,"",_xlpm.result))</f>
        <v/>
      </c>
      <c r="C70" s="1" t="str" cm="1">
        <f t="array" ref="C70">_xlfn.LET(_xlpm.result,10*_xlfn.XLOOKUP($A70,$A$2:$A$29,_xlfn.XLOOKUP(C$32,$B$1:$O$1,$B$2:$O$29)),IF(_xlpm.result&lt;0,"",_xlpm.result))</f>
        <v/>
      </c>
      <c r="D70" s="1" cm="1">
        <f t="array" ref="D70">_xlfn.LET(_xlpm.result,10*_xlfn.XLOOKUP($A70,$A$2:$A$29,_xlfn.XLOOKUP(D$32,$B$1:$O$1,$B$2:$O$29)),IF(_xlpm.result&lt;0,"",_xlpm.result))</f>
        <v>1</v>
      </c>
      <c r="E70" s="1" t="str" cm="1">
        <f t="array" ref="E70">_xlfn.LET(_xlpm.result,10*_xlfn.XLOOKUP($A70,$A$2:$A$29,_xlfn.XLOOKUP(E$32,$B$1:$O$1,$B$2:$O$29)),IF(_xlpm.result&lt;0,"",_xlpm.result))</f>
        <v/>
      </c>
      <c r="F70" s="1" t="str" cm="1">
        <f t="array" ref="F70">_xlfn.LET(_xlpm.result,10*_xlfn.XLOOKUP($A70,$A$2:$A$29,_xlfn.XLOOKUP(F$32,$B$1:$O$1,$B$2:$O$29)),IF(_xlpm.result&lt;0,"",_xlpm.result))</f>
        <v/>
      </c>
      <c r="G70" s="1" cm="1">
        <f t="array" ref="G70">_xlfn.LET(_xlpm.result,10*_xlfn.XLOOKUP($A70,$A$2:$A$29,_xlfn.XLOOKUP(G$32,$B$1:$O$1,$B$2:$O$29)),IF(_xlpm.result&lt;0,"",_xlpm.result))</f>
        <v>16</v>
      </c>
      <c r="H70" s="1" t="str" cm="1">
        <f t="array" ref="H70">_xlfn.LET(_xlpm.result,10*_xlfn.XLOOKUP($A70,$A$2:$A$29,_xlfn.XLOOKUP(H$32,$B$1:$O$1,$B$2:$O$29)),IF(_xlpm.result&lt;0,"",_xlpm.result))</f>
        <v/>
      </c>
      <c r="I70" s="1" t="str" cm="1">
        <f t="array" ref="I70">_xlfn.LET(_xlpm.result,10*_xlfn.XLOOKUP($A70,$A$2:$A$29,_xlfn.XLOOKUP(I$32,$B$1:$O$1,$B$2:$O$29)),IF(_xlpm.result&lt;0,"",_xlpm.result))</f>
        <v/>
      </c>
      <c r="J70" s="1" t="str" cm="1">
        <f t="array" ref="J70">_xlfn.LET(_xlpm.result,10*_xlfn.XLOOKUP($A70,$A$2:$A$29,_xlfn.XLOOKUP(J$32,$B$1:$O$1,$B$2:$O$29)),IF(_xlpm.result&lt;0,"",_xlpm.result))</f>
        <v/>
      </c>
      <c r="K70" s="1" cm="1">
        <f t="array" ref="K70">_xlfn.LET(_xlpm.result,10*_xlfn.XLOOKUP($A70,$A$2:$A$29,_xlfn.XLOOKUP(K$32,$B$1:$O$1,$B$2:$O$29)),IF(_xlpm.result&lt;0,"",_xlpm.result))</f>
        <v>0</v>
      </c>
      <c r="L70" s="1" cm="1">
        <f t="array" ref="L70">_xlfn.LET(_xlpm.result,10*_xlfn.XLOOKUP($A70,$A$2:$A$29,_xlfn.XLOOKUP(L$32,$B$1:$O$1,$B$2:$O$29)),IF(_xlpm.result&lt;0,"",_xlpm.result))</f>
        <v>16</v>
      </c>
      <c r="M70" s="1" t="str" cm="1">
        <f t="array" ref="M70">_xlfn.LET(_xlpm.result,10*_xlfn.XLOOKUP($A70,$A$2:$A$29,_xlfn.XLOOKUP(M$32,$B$1:$O$1,$B$2:$O$29)),IF(_xlpm.result&lt;0,"",_xlpm.result))</f>
        <v/>
      </c>
      <c r="N70" s="1" t="str" cm="1">
        <f t="array" ref="N70">_xlfn.LET(_xlpm.result,10*_xlfn.XLOOKUP($A70,$A$2:$A$29,_xlfn.XLOOKUP(N$32,$B$1:$O$1,$B$2:$O$29)),IF(_xlpm.result&lt;0,"",_xlpm.result))</f>
        <v/>
      </c>
      <c r="O70" s="1" t="str" cm="1">
        <f t="array" ref="O70">_xlfn.LET(_xlpm.result,10*_xlfn.XLOOKUP($A70,$A$2:$A$29,_xlfn.XLOOKUP(O$32,$B$1:$O$1,$B$2:$O$29)),IF(_xlpm.result&lt;0,"",_xlpm.result))</f>
        <v/>
      </c>
      <c r="P70" s="10">
        <f t="shared" si="2"/>
        <v>16</v>
      </c>
    </row>
    <row r="71" spans="1:16" x14ac:dyDescent="0.25">
      <c r="A71" t="s">
        <v>43</v>
      </c>
      <c r="B71" s="1" t="str" cm="1">
        <f t="array" ref="B71">_xlfn.LET(_xlpm.result,10*_xlfn.XLOOKUP($A71,$A$2:$A$29,_xlfn.XLOOKUP(B$32,$B$1:$O$1,$B$2:$O$29)),IF(_xlpm.result&lt;0,"",_xlpm.result))</f>
        <v/>
      </c>
      <c r="C71" s="1" t="str" cm="1">
        <f t="array" ref="C71">_xlfn.LET(_xlpm.result,10*_xlfn.XLOOKUP($A71,$A$2:$A$29,_xlfn.XLOOKUP(C$32,$B$1:$O$1,$B$2:$O$29)),IF(_xlpm.result&lt;0,"",_xlpm.result))</f>
        <v/>
      </c>
      <c r="D71" s="1" t="str" cm="1">
        <f t="array" ref="D71">_xlfn.LET(_xlpm.result,10*_xlfn.XLOOKUP($A71,$A$2:$A$29,_xlfn.XLOOKUP(D$32,$B$1:$O$1,$B$2:$O$29)),IF(_xlpm.result&lt;0,"",_xlpm.result))</f>
        <v/>
      </c>
      <c r="E71" s="1" cm="1">
        <f t="array" ref="E71">_xlfn.LET(_xlpm.result,10*_xlfn.XLOOKUP($A71,$A$2:$A$29,_xlfn.XLOOKUP(E$32,$B$1:$O$1,$B$2:$O$29)),IF(_xlpm.result&lt;0,"",_xlpm.result))</f>
        <v>20.999999999999901</v>
      </c>
      <c r="F71" s="1" cm="1">
        <f t="array" ref="F71">_xlfn.LET(_xlpm.result,10*_xlfn.XLOOKUP($A71,$A$2:$A$29,_xlfn.XLOOKUP(F$32,$B$1:$O$1,$B$2:$O$29)),IF(_xlpm.result&lt;0,"",_xlpm.result))</f>
        <v>0</v>
      </c>
      <c r="G71" s="1" t="str" cm="1">
        <f t="array" ref="G71">_xlfn.LET(_xlpm.result,10*_xlfn.XLOOKUP($A71,$A$2:$A$29,_xlfn.XLOOKUP(G$32,$B$1:$O$1,$B$2:$O$29)),IF(_xlpm.result&lt;0,"",_xlpm.result))</f>
        <v/>
      </c>
      <c r="H71" s="1" t="str" cm="1">
        <f t="array" ref="H71">_xlfn.LET(_xlpm.result,10*_xlfn.XLOOKUP($A71,$A$2:$A$29,_xlfn.XLOOKUP(H$32,$B$1:$O$1,$B$2:$O$29)),IF(_xlpm.result&lt;0,"",_xlpm.result))</f>
        <v/>
      </c>
      <c r="I71" s="1" t="str" cm="1">
        <f t="array" ref="I71">_xlfn.LET(_xlpm.result,10*_xlfn.XLOOKUP($A71,$A$2:$A$29,_xlfn.XLOOKUP(I$32,$B$1:$O$1,$B$2:$O$29)),IF(_xlpm.result&lt;0,"",_xlpm.result))</f>
        <v/>
      </c>
      <c r="J71" s="1" t="str" cm="1">
        <f t="array" ref="J71">_xlfn.LET(_xlpm.result,10*_xlfn.XLOOKUP($A71,$A$2:$A$29,_xlfn.XLOOKUP(J$32,$B$1:$O$1,$B$2:$O$29)),IF(_xlpm.result&lt;0,"",_xlpm.result))</f>
        <v/>
      </c>
      <c r="K71" s="1" t="str" cm="1">
        <f t="array" ref="K71">_xlfn.LET(_xlpm.result,10*_xlfn.XLOOKUP($A71,$A$2:$A$29,_xlfn.XLOOKUP(K$32,$B$1:$O$1,$B$2:$O$29)),IF(_xlpm.result&lt;0,"",_xlpm.result))</f>
        <v/>
      </c>
      <c r="L71" s="1" t="str" cm="1">
        <f t="array" ref="L71">_xlfn.LET(_xlpm.result,10*_xlfn.XLOOKUP($A71,$A$2:$A$29,_xlfn.XLOOKUP(L$32,$B$1:$O$1,$B$2:$O$29)),IF(_xlpm.result&lt;0,"",_xlpm.result))</f>
        <v/>
      </c>
      <c r="M71" s="1" cm="1">
        <f t="array" ref="M71">_xlfn.LET(_xlpm.result,10*_xlfn.XLOOKUP($A71,$A$2:$A$29,_xlfn.XLOOKUP(M$32,$B$1:$O$1,$B$2:$O$29)),IF(_xlpm.result&lt;0,"",_xlpm.result))</f>
        <v>15</v>
      </c>
      <c r="N71" s="1" t="str" cm="1">
        <f t="array" ref="N71">_xlfn.LET(_xlpm.result,10*_xlfn.XLOOKUP($A71,$A$2:$A$29,_xlfn.XLOOKUP(N$32,$B$1:$O$1,$B$2:$O$29)),IF(_xlpm.result&lt;0,"",_xlpm.result))</f>
        <v/>
      </c>
      <c r="O71" s="1" t="str" cm="1">
        <f t="array" ref="O71">_xlfn.LET(_xlpm.result,10*_xlfn.XLOOKUP($A71,$A$2:$A$29,_xlfn.XLOOKUP(O$32,$B$1:$O$1,$B$2:$O$29)),IF(_xlpm.result&lt;0,"",_xlpm.result))</f>
        <v/>
      </c>
      <c r="P71" s="10">
        <f t="shared" si="2"/>
        <v>20.999999999999901</v>
      </c>
    </row>
    <row r="72" spans="1:16" x14ac:dyDescent="0.25">
      <c r="A72" t="s">
        <v>41</v>
      </c>
      <c r="B72" s="1" t="str" cm="1">
        <f t="array" ref="B72">_xlfn.LET(_xlpm.result,10*_xlfn.XLOOKUP($A72,$A$2:$A$29,_xlfn.XLOOKUP(B$32,$B$1:$O$1,$B$2:$O$29)),IF(_xlpm.result&lt;0,"",_xlpm.result))</f>
        <v/>
      </c>
      <c r="C72" s="1" t="str" cm="1">
        <f t="array" ref="C72">_xlfn.LET(_xlpm.result,10*_xlfn.XLOOKUP($A72,$A$2:$A$29,_xlfn.XLOOKUP(C$32,$B$1:$O$1,$B$2:$O$29)),IF(_xlpm.result&lt;0,"",_xlpm.result))</f>
        <v/>
      </c>
      <c r="D72" s="1" t="str" cm="1">
        <f t="array" ref="D72">_xlfn.LET(_xlpm.result,10*_xlfn.XLOOKUP($A72,$A$2:$A$29,_xlfn.XLOOKUP(D$32,$B$1:$O$1,$B$2:$O$29)),IF(_xlpm.result&lt;0,"",_xlpm.result))</f>
        <v/>
      </c>
      <c r="E72" s="1" t="str" cm="1">
        <f t="array" ref="E72">_xlfn.LET(_xlpm.result,10*_xlfn.XLOOKUP($A72,$A$2:$A$29,_xlfn.XLOOKUP(E$32,$B$1:$O$1,$B$2:$O$29)),IF(_xlpm.result&lt;0,"",_xlpm.result))</f>
        <v/>
      </c>
      <c r="F72" s="1" t="str" cm="1">
        <f t="array" ref="F72">_xlfn.LET(_xlpm.result,10*_xlfn.XLOOKUP($A72,$A$2:$A$29,_xlfn.XLOOKUP(F$32,$B$1:$O$1,$B$2:$O$29)),IF(_xlpm.result&lt;0,"",_xlpm.result))</f>
        <v/>
      </c>
      <c r="G72" s="1" t="str" cm="1">
        <f t="array" ref="G72">_xlfn.LET(_xlpm.result,10*_xlfn.XLOOKUP($A72,$A$2:$A$29,_xlfn.XLOOKUP(G$32,$B$1:$O$1,$B$2:$O$29)),IF(_xlpm.result&lt;0,"",_xlpm.result))</f>
        <v/>
      </c>
      <c r="H72" s="1" cm="1">
        <f t="array" ref="H72">_xlfn.LET(_xlpm.result,10*_xlfn.XLOOKUP($A72,$A$2:$A$29,_xlfn.XLOOKUP(H$32,$B$1:$O$1,$B$2:$O$29)),IF(_xlpm.result&lt;0,"",_xlpm.result))</f>
        <v>0</v>
      </c>
      <c r="I72" s="1" t="str" cm="1">
        <f t="array" ref="I72">_xlfn.LET(_xlpm.result,10*_xlfn.XLOOKUP($A72,$A$2:$A$29,_xlfn.XLOOKUP(I$32,$B$1:$O$1,$B$2:$O$29)),IF(_xlpm.result&lt;0,"",_xlpm.result))</f>
        <v/>
      </c>
      <c r="J72" s="1" t="str" cm="1">
        <f t="array" ref="J72">_xlfn.LET(_xlpm.result,10*_xlfn.XLOOKUP($A72,$A$2:$A$29,_xlfn.XLOOKUP(J$32,$B$1:$O$1,$B$2:$O$29)),IF(_xlpm.result&lt;0,"",_xlpm.result))</f>
        <v/>
      </c>
      <c r="K72" s="1" t="str" cm="1">
        <f t="array" ref="K72">_xlfn.LET(_xlpm.result,10*_xlfn.XLOOKUP($A72,$A$2:$A$29,_xlfn.XLOOKUP(K$32,$B$1:$O$1,$B$2:$O$29)),IF(_xlpm.result&lt;0,"",_xlpm.result))</f>
        <v/>
      </c>
      <c r="L72" s="1" t="str" cm="1">
        <f t="array" ref="L72">_xlfn.LET(_xlpm.result,10*_xlfn.XLOOKUP($A72,$A$2:$A$29,_xlfn.XLOOKUP(L$32,$B$1:$O$1,$B$2:$O$29)),IF(_xlpm.result&lt;0,"",_xlpm.result))</f>
        <v/>
      </c>
      <c r="M72" s="1" t="str" cm="1">
        <f t="array" ref="M72">_xlfn.LET(_xlpm.result,10*_xlfn.XLOOKUP($A72,$A$2:$A$29,_xlfn.XLOOKUP(M$32,$B$1:$O$1,$B$2:$O$29)),IF(_xlpm.result&lt;0,"",_xlpm.result))</f>
        <v/>
      </c>
      <c r="N72" s="1" cm="1">
        <f t="array" ref="N72">_xlfn.LET(_xlpm.result,10*_xlfn.XLOOKUP($A72,$A$2:$A$29,_xlfn.XLOOKUP(N$32,$B$1:$O$1,$B$2:$O$29)),IF(_xlpm.result&lt;0,"",_xlpm.result))</f>
        <v>28</v>
      </c>
      <c r="O72" s="1" t="str" cm="1">
        <f t="array" ref="O72">_xlfn.LET(_xlpm.result,10*_xlfn.XLOOKUP($A72,$A$2:$A$29,_xlfn.XLOOKUP(O$32,$B$1:$O$1,$B$2:$O$29)),IF(_xlpm.result&lt;0,"",_xlpm.result))</f>
        <v/>
      </c>
      <c r="P72" s="10">
        <f t="shared" si="2"/>
        <v>28</v>
      </c>
    </row>
    <row r="73" spans="1:16" x14ac:dyDescent="0.25">
      <c r="A73" t="s">
        <v>38</v>
      </c>
      <c r="B73" s="1" cm="1">
        <f t="array" ref="B73">_xlfn.LET(_xlpm.result,10*_xlfn.XLOOKUP($A73,$A$2:$A$29,_xlfn.XLOOKUP(B$32,$B$1:$O$1,$B$2:$O$29)),IF(_xlpm.result&lt;0,"",_xlpm.result))</f>
        <v>11.999999999999901</v>
      </c>
      <c r="C73" s="1" t="str" cm="1">
        <f t="array" ref="C73">_xlfn.LET(_xlpm.result,10*_xlfn.XLOOKUP($A73,$A$2:$A$29,_xlfn.XLOOKUP(C$32,$B$1:$O$1,$B$2:$O$29)),IF(_xlpm.result&lt;0,"",_xlpm.result))</f>
        <v/>
      </c>
      <c r="D73" s="1" cm="1">
        <f t="array" ref="D73">_xlfn.LET(_xlpm.result,10*_xlfn.XLOOKUP($A73,$A$2:$A$29,_xlfn.XLOOKUP(D$32,$B$1:$O$1,$B$2:$O$29)),IF(_xlpm.result&lt;0,"",_xlpm.result))</f>
        <v>6.9999999999999893</v>
      </c>
      <c r="E73" s="1" t="str" cm="1">
        <f t="array" ref="E73">_xlfn.LET(_xlpm.result,10*_xlfn.XLOOKUP($A73,$A$2:$A$29,_xlfn.XLOOKUP(E$32,$B$1:$O$1,$B$2:$O$29)),IF(_xlpm.result&lt;0,"",_xlpm.result))</f>
        <v/>
      </c>
      <c r="F73" s="1" t="str" cm="1">
        <f t="array" ref="F73">_xlfn.LET(_xlpm.result,10*_xlfn.XLOOKUP($A73,$A$2:$A$29,_xlfn.XLOOKUP(F$32,$B$1:$O$1,$B$2:$O$29)),IF(_xlpm.result&lt;0,"",_xlpm.result))</f>
        <v/>
      </c>
      <c r="G73" s="1" t="str" cm="1">
        <f t="array" ref="G73">_xlfn.LET(_xlpm.result,10*_xlfn.XLOOKUP($A73,$A$2:$A$29,_xlfn.XLOOKUP(G$32,$B$1:$O$1,$B$2:$O$29)),IF(_xlpm.result&lt;0,"",_xlpm.result))</f>
        <v/>
      </c>
      <c r="H73" s="1" t="str" cm="1">
        <f t="array" ref="H73">_xlfn.LET(_xlpm.result,10*_xlfn.XLOOKUP($A73,$A$2:$A$29,_xlfn.XLOOKUP(H$32,$B$1:$O$1,$B$2:$O$29)),IF(_xlpm.result&lt;0,"",_xlpm.result))</f>
        <v/>
      </c>
      <c r="I73" s="1" cm="1">
        <f t="array" ref="I73">_xlfn.LET(_xlpm.result,10*_xlfn.XLOOKUP($A73,$A$2:$A$29,_xlfn.XLOOKUP(I$32,$B$1:$O$1,$B$2:$O$29)),IF(_xlpm.result&lt;0,"",_xlpm.result))</f>
        <v>0</v>
      </c>
      <c r="J73" s="1" cm="1">
        <f t="array" ref="J73">_xlfn.LET(_xlpm.result,10*_xlfn.XLOOKUP($A73,$A$2:$A$29,_xlfn.XLOOKUP(J$32,$B$1:$O$1,$B$2:$O$29)),IF(_xlpm.result&lt;0,"",_xlpm.result))</f>
        <v>28</v>
      </c>
      <c r="K73" s="1" cm="1">
        <f t="array" ref="K73">_xlfn.LET(_xlpm.result,10*_xlfn.XLOOKUP($A73,$A$2:$A$29,_xlfn.XLOOKUP(K$32,$B$1:$O$1,$B$2:$O$29)),IF(_xlpm.result&lt;0,"",_xlpm.result))</f>
        <v>13</v>
      </c>
      <c r="L73" s="1" t="str" cm="1">
        <f t="array" ref="L73">_xlfn.LET(_xlpm.result,10*_xlfn.XLOOKUP($A73,$A$2:$A$29,_xlfn.XLOOKUP(L$32,$B$1:$O$1,$B$2:$O$29)),IF(_xlpm.result&lt;0,"",_xlpm.result))</f>
        <v/>
      </c>
      <c r="M73" s="1" cm="1">
        <f t="array" ref="M73">_xlfn.LET(_xlpm.result,10*_xlfn.XLOOKUP($A73,$A$2:$A$29,_xlfn.XLOOKUP(M$32,$B$1:$O$1,$B$2:$O$29)),IF(_xlpm.result&lt;0,"",_xlpm.result))</f>
        <v>34</v>
      </c>
      <c r="N73" s="1" t="str" cm="1">
        <f t="array" ref="N73">_xlfn.LET(_xlpm.result,10*_xlfn.XLOOKUP($A73,$A$2:$A$29,_xlfn.XLOOKUP(N$32,$B$1:$O$1,$B$2:$O$29)),IF(_xlpm.result&lt;0,"",_xlpm.result))</f>
        <v/>
      </c>
      <c r="O73" s="1" t="str" cm="1">
        <f t="array" ref="O73">_xlfn.LET(_xlpm.result,10*_xlfn.XLOOKUP($A73,$A$2:$A$29,_xlfn.XLOOKUP(O$32,$B$1:$O$1,$B$2:$O$29)),IF(_xlpm.result&lt;0,"",_xlpm.result))</f>
        <v/>
      </c>
      <c r="P73" s="10">
        <f t="shared" si="2"/>
        <v>34</v>
      </c>
    </row>
    <row r="74" spans="1:16" x14ac:dyDescent="0.25">
      <c r="A74" t="s">
        <v>20</v>
      </c>
      <c r="B74" s="1" cm="1">
        <f t="array" ref="B74">_xlfn.LET(_xlpm.result,10*_xlfn.XLOOKUP($A74,$A$2:$A$29,_xlfn.XLOOKUP(B$32,$B$1:$O$1,$B$2:$O$29)),IF(_xlpm.result&lt;0,"",_xlpm.result))</f>
        <v>0</v>
      </c>
      <c r="C74" s="1" t="str" cm="1">
        <f t="array" ref="C74">_xlfn.LET(_xlpm.result,10*_xlfn.XLOOKUP($A74,$A$2:$A$29,_xlfn.XLOOKUP(C$32,$B$1:$O$1,$B$2:$O$29)),IF(_xlpm.result&lt;0,"",_xlpm.result))</f>
        <v/>
      </c>
      <c r="D74" s="1" t="str" cm="1">
        <f t="array" ref="D74">_xlfn.LET(_xlpm.result,10*_xlfn.XLOOKUP($A74,$A$2:$A$29,_xlfn.XLOOKUP(D$32,$B$1:$O$1,$B$2:$O$29)),IF(_xlpm.result&lt;0,"",_xlpm.result))</f>
        <v/>
      </c>
      <c r="E74" s="1" cm="1">
        <f t="array" ref="E74">_xlfn.LET(_xlpm.result,10*_xlfn.XLOOKUP($A74,$A$2:$A$29,_xlfn.XLOOKUP(E$32,$B$1:$O$1,$B$2:$O$29)),IF(_xlpm.result&lt;0,"",_xlpm.result))</f>
        <v>14</v>
      </c>
      <c r="F74" s="1" t="str" cm="1">
        <f t="array" ref="F74">_xlfn.LET(_xlpm.result,10*_xlfn.XLOOKUP($A74,$A$2:$A$29,_xlfn.XLOOKUP(F$32,$B$1:$O$1,$B$2:$O$29)),IF(_xlpm.result&lt;0,"",_xlpm.result))</f>
        <v/>
      </c>
      <c r="G74" s="1" t="str" cm="1">
        <f t="array" ref="G74">_xlfn.LET(_xlpm.result,10*_xlfn.XLOOKUP($A74,$A$2:$A$29,_xlfn.XLOOKUP(G$32,$B$1:$O$1,$B$2:$O$29)),IF(_xlpm.result&lt;0,"",_xlpm.result))</f>
        <v/>
      </c>
      <c r="H74" s="1" cm="1">
        <f t="array" ref="H74">_xlfn.LET(_xlpm.result,10*_xlfn.XLOOKUP($A74,$A$2:$A$29,_xlfn.XLOOKUP(H$32,$B$1:$O$1,$B$2:$O$29)),IF(_xlpm.result&lt;0,"",_xlpm.result))</f>
        <v>25.999999999999901</v>
      </c>
      <c r="I74" s="1" cm="1">
        <f t="array" ref="I74">_xlfn.LET(_xlpm.result,10*_xlfn.XLOOKUP($A74,$A$2:$A$29,_xlfn.XLOOKUP(I$32,$B$1:$O$1,$B$2:$O$29)),IF(_xlpm.result&lt;0,"",_xlpm.result))</f>
        <v>42</v>
      </c>
      <c r="J74" s="1" cm="1">
        <f t="array" ref="J74">_xlfn.LET(_xlpm.result,10*_xlfn.XLOOKUP($A74,$A$2:$A$29,_xlfn.XLOOKUP(J$32,$B$1:$O$1,$B$2:$O$29)),IF(_xlpm.result&lt;0,"",_xlpm.result))</f>
        <v>27</v>
      </c>
      <c r="K74" s="1" t="str" cm="1">
        <f t="array" ref="K74">_xlfn.LET(_xlpm.result,10*_xlfn.XLOOKUP($A74,$A$2:$A$29,_xlfn.XLOOKUP(K$32,$B$1:$O$1,$B$2:$O$29)),IF(_xlpm.result&lt;0,"",_xlpm.result))</f>
        <v/>
      </c>
      <c r="L74" s="1" t="str" cm="1">
        <f t="array" ref="L74">_xlfn.LET(_xlpm.result,10*_xlfn.XLOOKUP($A74,$A$2:$A$29,_xlfn.XLOOKUP(L$32,$B$1:$O$1,$B$2:$O$29)),IF(_xlpm.result&lt;0,"",_xlpm.result))</f>
        <v/>
      </c>
      <c r="M74" s="1" t="str" cm="1">
        <f t="array" ref="M74">_xlfn.LET(_xlpm.result,10*_xlfn.XLOOKUP($A74,$A$2:$A$29,_xlfn.XLOOKUP(M$32,$B$1:$O$1,$B$2:$O$29)),IF(_xlpm.result&lt;0,"",_xlpm.result))</f>
        <v/>
      </c>
      <c r="N74" s="1" t="str" cm="1">
        <f t="array" ref="N74">_xlfn.LET(_xlpm.result,10*_xlfn.XLOOKUP($A74,$A$2:$A$29,_xlfn.XLOOKUP(N$32,$B$1:$O$1,$B$2:$O$29)),IF(_xlpm.result&lt;0,"",_xlpm.result))</f>
        <v/>
      </c>
      <c r="O74" s="1" cm="1">
        <f t="array" ref="O74">_xlfn.LET(_xlpm.result,10*_xlfn.XLOOKUP($A74,$A$2:$A$29,_xlfn.XLOOKUP(O$32,$B$1:$O$1,$B$2:$O$29)),IF(_xlpm.result&lt;0,"",_xlpm.result))</f>
        <v>42</v>
      </c>
      <c r="P74" s="10">
        <f t="shared" si="2"/>
        <v>42</v>
      </c>
    </row>
    <row r="75" spans="1:16" x14ac:dyDescent="0.25">
      <c r="A75" t="s">
        <v>26</v>
      </c>
      <c r="B75" s="1" t="str" cm="1">
        <f t="array" ref="B75">_xlfn.LET(_xlpm.result,10*_xlfn.XLOOKUP($A75,$A$2:$A$29,_xlfn.XLOOKUP(B$32,$B$1:$O$1,$B$2:$O$29)),IF(_xlpm.result&lt;0,"",_xlpm.result))</f>
        <v/>
      </c>
      <c r="C75" s="1" t="str" cm="1">
        <f t="array" ref="C75">_xlfn.LET(_xlpm.result,10*_xlfn.XLOOKUP($A75,$A$2:$A$29,_xlfn.XLOOKUP(C$32,$B$1:$O$1,$B$2:$O$29)),IF(_xlpm.result&lt;0,"",_xlpm.result))</f>
        <v/>
      </c>
      <c r="D75" s="1" t="str" cm="1">
        <f t="array" ref="D75">_xlfn.LET(_xlpm.result,10*_xlfn.XLOOKUP($A75,$A$2:$A$29,_xlfn.XLOOKUP(D$32,$B$1:$O$1,$B$2:$O$29)),IF(_xlpm.result&lt;0,"",_xlpm.result))</f>
        <v/>
      </c>
      <c r="E75" s="1" t="str" cm="1">
        <f t="array" ref="E75">_xlfn.LET(_xlpm.result,10*_xlfn.XLOOKUP($A75,$A$2:$A$29,_xlfn.XLOOKUP(E$32,$B$1:$O$1,$B$2:$O$29)),IF(_xlpm.result&lt;0,"",_xlpm.result))</f>
        <v/>
      </c>
      <c r="F75" s="1" cm="1">
        <f t="array" ref="F75">_xlfn.LET(_xlpm.result,10*_xlfn.XLOOKUP($A75,$A$2:$A$29,_xlfn.XLOOKUP(F$32,$B$1:$O$1,$B$2:$O$29)),IF(_xlpm.result&lt;0,"",_xlpm.result))</f>
        <v>0</v>
      </c>
      <c r="G75" s="1" cm="1">
        <f t="array" ref="G75">_xlfn.LET(_xlpm.result,10*_xlfn.XLOOKUP($A75,$A$2:$A$29,_xlfn.XLOOKUP(G$32,$B$1:$O$1,$B$2:$O$29)),IF(_xlpm.result&lt;0,"",_xlpm.result))</f>
        <v>6</v>
      </c>
      <c r="H75" s="1" t="str" cm="1">
        <f t="array" ref="H75">_xlfn.LET(_xlpm.result,10*_xlfn.XLOOKUP($A75,$A$2:$A$29,_xlfn.XLOOKUP(H$32,$B$1:$O$1,$B$2:$O$29)),IF(_xlpm.result&lt;0,"",_xlpm.result))</f>
        <v/>
      </c>
      <c r="I75" s="1" t="str" cm="1">
        <f t="array" ref="I75">_xlfn.LET(_xlpm.result,10*_xlfn.XLOOKUP($A75,$A$2:$A$29,_xlfn.XLOOKUP(I$32,$B$1:$O$1,$B$2:$O$29)),IF(_xlpm.result&lt;0,"",_xlpm.result))</f>
        <v/>
      </c>
      <c r="J75" s="1" t="str" cm="1">
        <f t="array" ref="J75">_xlfn.LET(_xlpm.result,10*_xlfn.XLOOKUP($A75,$A$2:$A$29,_xlfn.XLOOKUP(J$32,$B$1:$O$1,$B$2:$O$29)),IF(_xlpm.result&lt;0,"",_xlpm.result))</f>
        <v/>
      </c>
      <c r="K75" s="1" cm="1">
        <f t="array" ref="K75">_xlfn.LET(_xlpm.result,10*_xlfn.XLOOKUP($A75,$A$2:$A$29,_xlfn.XLOOKUP(K$32,$B$1:$O$1,$B$2:$O$29)),IF(_xlpm.result&lt;0,"",_xlpm.result))</f>
        <v>49</v>
      </c>
      <c r="L75" s="1" t="str" cm="1">
        <f t="array" ref="L75">_xlfn.LET(_xlpm.result,10*_xlfn.XLOOKUP($A75,$A$2:$A$29,_xlfn.XLOOKUP(L$32,$B$1:$O$1,$B$2:$O$29)),IF(_xlpm.result&lt;0,"",_xlpm.result))</f>
        <v/>
      </c>
      <c r="M75" s="1" t="str" cm="1">
        <f t="array" ref="M75">_xlfn.LET(_xlpm.result,10*_xlfn.XLOOKUP($A75,$A$2:$A$29,_xlfn.XLOOKUP(M$32,$B$1:$O$1,$B$2:$O$29)),IF(_xlpm.result&lt;0,"",_xlpm.result))</f>
        <v/>
      </c>
      <c r="N75" s="1" t="str" cm="1">
        <f t="array" ref="N75">_xlfn.LET(_xlpm.result,10*_xlfn.XLOOKUP($A75,$A$2:$A$29,_xlfn.XLOOKUP(N$32,$B$1:$O$1,$B$2:$O$29)),IF(_xlpm.result&lt;0,"",_xlpm.result))</f>
        <v/>
      </c>
      <c r="O75" s="1" cm="1">
        <f t="array" ref="O75">_xlfn.LET(_xlpm.result,10*_xlfn.XLOOKUP($A75,$A$2:$A$29,_xlfn.XLOOKUP(O$32,$B$1:$O$1,$B$2:$O$29)),IF(_xlpm.result&lt;0,"",_xlpm.result))</f>
        <v>27</v>
      </c>
      <c r="P75" s="10">
        <f t="shared" si="2"/>
        <v>49</v>
      </c>
    </row>
    <row r="76" spans="1:16" x14ac:dyDescent="0.25">
      <c r="A76" t="s">
        <v>24</v>
      </c>
      <c r="B76" s="1" cm="1">
        <f t="array" ref="B76">_xlfn.LET(_xlpm.result,10*_xlfn.XLOOKUP($A76,$A$2:$A$29,_xlfn.XLOOKUP(B$32,$B$1:$O$1,$B$2:$O$29)),IF(_xlpm.result&lt;0,"",_xlpm.result))</f>
        <v>0</v>
      </c>
      <c r="C76" s="1" t="str" cm="1">
        <f t="array" ref="C76">_xlfn.LET(_xlpm.result,10*_xlfn.XLOOKUP($A76,$A$2:$A$29,_xlfn.XLOOKUP(C$32,$B$1:$O$1,$B$2:$O$29)),IF(_xlpm.result&lt;0,"",_xlpm.result))</f>
        <v/>
      </c>
      <c r="D76" s="1" cm="1">
        <f t="array" ref="D76">_xlfn.LET(_xlpm.result,10*_xlfn.XLOOKUP($A76,$A$2:$A$29,_xlfn.XLOOKUP(D$32,$B$1:$O$1,$B$2:$O$29)),IF(_xlpm.result&lt;0,"",_xlpm.result))</f>
        <v>50</v>
      </c>
      <c r="E76" s="1" t="str" cm="1">
        <f t="array" ref="E76">_xlfn.LET(_xlpm.result,10*_xlfn.XLOOKUP($A76,$A$2:$A$29,_xlfn.XLOOKUP(E$32,$B$1:$O$1,$B$2:$O$29)),IF(_xlpm.result&lt;0,"",_xlpm.result))</f>
        <v/>
      </c>
      <c r="F76" s="1" cm="1">
        <f t="array" ref="F76">_xlfn.LET(_xlpm.result,10*_xlfn.XLOOKUP($A76,$A$2:$A$29,_xlfn.XLOOKUP(F$32,$B$1:$O$1,$B$2:$O$29)),IF(_xlpm.result&lt;0,"",_xlpm.result))</f>
        <v>56</v>
      </c>
      <c r="G76" s="1" cm="1">
        <f t="array" ref="G76">_xlfn.LET(_xlpm.result,10*_xlfn.XLOOKUP($A76,$A$2:$A$29,_xlfn.XLOOKUP(G$32,$B$1:$O$1,$B$2:$O$29)),IF(_xlpm.result&lt;0,"",_xlpm.result))</f>
        <v>47</v>
      </c>
      <c r="H76" s="1" t="str" cm="1">
        <f t="array" ref="H76">_xlfn.LET(_xlpm.result,10*_xlfn.XLOOKUP($A76,$A$2:$A$29,_xlfn.XLOOKUP(H$32,$B$1:$O$1,$B$2:$O$29)),IF(_xlpm.result&lt;0,"",_xlpm.result))</f>
        <v/>
      </c>
      <c r="I76" s="1" t="str" cm="1">
        <f t="array" ref="I76">_xlfn.LET(_xlpm.result,10*_xlfn.XLOOKUP($A76,$A$2:$A$29,_xlfn.XLOOKUP(I$32,$B$1:$O$1,$B$2:$O$29)),IF(_xlpm.result&lt;0,"",_xlpm.result))</f>
        <v/>
      </c>
      <c r="J76" s="1" t="str" cm="1">
        <f t="array" ref="J76">_xlfn.LET(_xlpm.result,10*_xlfn.XLOOKUP($A76,$A$2:$A$29,_xlfn.XLOOKUP(J$32,$B$1:$O$1,$B$2:$O$29)),IF(_xlpm.result&lt;0,"",_xlpm.result))</f>
        <v/>
      </c>
      <c r="K76" s="1" t="str" cm="1">
        <f t="array" ref="K76">_xlfn.LET(_xlpm.result,10*_xlfn.XLOOKUP($A76,$A$2:$A$29,_xlfn.XLOOKUP(K$32,$B$1:$O$1,$B$2:$O$29)),IF(_xlpm.result&lt;0,"",_xlpm.result))</f>
        <v/>
      </c>
      <c r="L76" s="1" cm="1">
        <f t="array" ref="L76">_xlfn.LET(_xlpm.result,10*_xlfn.XLOOKUP($A76,$A$2:$A$29,_xlfn.XLOOKUP(L$32,$B$1:$O$1,$B$2:$O$29)),IF(_xlpm.result&lt;0,"",_xlpm.result))</f>
        <v>28.999999999999901</v>
      </c>
      <c r="M76" s="1" t="str" cm="1">
        <f t="array" ref="M76">_xlfn.LET(_xlpm.result,10*_xlfn.XLOOKUP($A76,$A$2:$A$29,_xlfn.XLOOKUP(M$32,$B$1:$O$1,$B$2:$O$29)),IF(_xlpm.result&lt;0,"",_xlpm.result))</f>
        <v/>
      </c>
      <c r="N76" s="1" t="str" cm="1">
        <f t="array" ref="N76">_xlfn.LET(_xlpm.result,10*_xlfn.XLOOKUP($A76,$A$2:$A$29,_xlfn.XLOOKUP(N$32,$B$1:$O$1,$B$2:$O$29)),IF(_xlpm.result&lt;0,"",_xlpm.result))</f>
        <v/>
      </c>
      <c r="O76" s="1" t="str" cm="1">
        <f t="array" ref="O76">_xlfn.LET(_xlpm.result,10*_xlfn.XLOOKUP($A76,$A$2:$A$29,_xlfn.XLOOKUP(O$32,$B$1:$O$1,$B$2:$O$29)),IF(_xlpm.result&lt;0,"",_xlpm.result))</f>
        <v/>
      </c>
      <c r="P76" s="10">
        <f t="shared" si="2"/>
        <v>56</v>
      </c>
    </row>
    <row r="77" spans="1:16" x14ac:dyDescent="0.25">
      <c r="A77" t="s">
        <v>27</v>
      </c>
      <c r="B77" s="1" cm="1">
        <f t="array" ref="B77">_xlfn.LET(_xlpm.result,10*_xlfn.XLOOKUP($A77,$A$2:$A$29,_xlfn.XLOOKUP(B$32,$B$1:$O$1,$B$2:$O$29)),IF(_xlpm.result&lt;0,"",_xlpm.result))</f>
        <v>51</v>
      </c>
      <c r="C77" s="1" cm="1">
        <f t="array" ref="C77">_xlfn.LET(_xlpm.result,10*_xlfn.XLOOKUP($A77,$A$2:$A$29,_xlfn.XLOOKUP(C$32,$B$1:$O$1,$B$2:$O$29)),IF(_xlpm.result&lt;0,"",_xlpm.result))</f>
        <v>50</v>
      </c>
      <c r="D77" s="1" t="str" cm="1">
        <f t="array" ref="D77">_xlfn.LET(_xlpm.result,10*_xlfn.XLOOKUP($A77,$A$2:$A$29,_xlfn.XLOOKUP(D$32,$B$1:$O$1,$B$2:$O$29)),IF(_xlpm.result&lt;0,"",_xlpm.result))</f>
        <v/>
      </c>
      <c r="E77" s="1" t="str" cm="1">
        <f t="array" ref="E77">_xlfn.LET(_xlpm.result,10*_xlfn.XLOOKUP($A77,$A$2:$A$29,_xlfn.XLOOKUP(E$32,$B$1:$O$1,$B$2:$O$29)),IF(_xlpm.result&lt;0,"",_xlpm.result))</f>
        <v/>
      </c>
      <c r="F77" s="1" cm="1">
        <f t="array" ref="F77">_xlfn.LET(_xlpm.result,10*_xlfn.XLOOKUP($A77,$A$2:$A$29,_xlfn.XLOOKUP(F$32,$B$1:$O$1,$B$2:$O$29)),IF(_xlpm.result&lt;0,"",_xlpm.result))</f>
        <v>14</v>
      </c>
      <c r="G77" s="1" cm="1">
        <f t="array" ref="G77">_xlfn.LET(_xlpm.result,10*_xlfn.XLOOKUP($A77,$A$2:$A$29,_xlfn.XLOOKUP(G$32,$B$1:$O$1,$B$2:$O$29)),IF(_xlpm.result&lt;0,"",_xlpm.result))</f>
        <v>0</v>
      </c>
      <c r="H77" s="1" cm="1">
        <f t="array" ref="H77">_xlfn.LET(_xlpm.result,10*_xlfn.XLOOKUP($A77,$A$2:$A$29,_xlfn.XLOOKUP(H$32,$B$1:$O$1,$B$2:$O$29)),IF(_xlpm.result&lt;0,"",_xlpm.result))</f>
        <v>31</v>
      </c>
      <c r="I77" s="1" t="str" cm="1">
        <f t="array" ref="I77">_xlfn.LET(_xlpm.result,10*_xlfn.XLOOKUP($A77,$A$2:$A$29,_xlfn.XLOOKUP(I$32,$B$1:$O$1,$B$2:$O$29)),IF(_xlpm.result&lt;0,"",_xlpm.result))</f>
        <v/>
      </c>
      <c r="J77" s="1" t="str" cm="1">
        <f t="array" ref="J77">_xlfn.LET(_xlpm.result,10*_xlfn.XLOOKUP($A77,$A$2:$A$29,_xlfn.XLOOKUP(J$32,$B$1:$O$1,$B$2:$O$29)),IF(_xlpm.result&lt;0,"",_xlpm.result))</f>
        <v/>
      </c>
      <c r="K77" s="1" t="str" cm="1">
        <f t="array" ref="K77">_xlfn.LET(_xlpm.result,10*_xlfn.XLOOKUP($A77,$A$2:$A$29,_xlfn.XLOOKUP(K$32,$B$1:$O$1,$B$2:$O$29)),IF(_xlpm.result&lt;0,"",_xlpm.result))</f>
        <v/>
      </c>
      <c r="L77" s="1" t="str" cm="1">
        <f t="array" ref="L77">_xlfn.LET(_xlpm.result,10*_xlfn.XLOOKUP($A77,$A$2:$A$29,_xlfn.XLOOKUP(L$32,$B$1:$O$1,$B$2:$O$29)),IF(_xlpm.result&lt;0,"",_xlpm.result))</f>
        <v/>
      </c>
      <c r="M77" s="1" t="str" cm="1">
        <f t="array" ref="M77">_xlfn.LET(_xlpm.result,10*_xlfn.XLOOKUP($A77,$A$2:$A$29,_xlfn.XLOOKUP(M$32,$B$1:$O$1,$B$2:$O$29)),IF(_xlpm.result&lt;0,"",_xlpm.result))</f>
        <v/>
      </c>
      <c r="N77" s="1" t="str" cm="1">
        <f t="array" ref="N77">_xlfn.LET(_xlpm.result,10*_xlfn.XLOOKUP($A77,$A$2:$A$29,_xlfn.XLOOKUP(N$32,$B$1:$O$1,$B$2:$O$29)),IF(_xlpm.result&lt;0,"",_xlpm.result))</f>
        <v/>
      </c>
      <c r="O77" s="1" cm="1">
        <f t="array" ref="O77">_xlfn.LET(_xlpm.result,10*_xlfn.XLOOKUP($A77,$A$2:$A$29,_xlfn.XLOOKUP(O$32,$B$1:$O$1,$B$2:$O$29)),IF(_xlpm.result&lt;0,"",_xlpm.result))</f>
        <v>63</v>
      </c>
      <c r="P77" s="10">
        <f t="shared" si="2"/>
        <v>63</v>
      </c>
    </row>
    <row r="78" spans="1:16" s="16" customFormat="1" x14ac:dyDescent="0.25">
      <c r="A78" t="s">
        <v>35</v>
      </c>
      <c r="B78" s="1" t="str" cm="1">
        <f t="array" ref="B78">_xlfn.LET(_xlpm.result,10*_xlfn.XLOOKUP($A78,$A$2:$A$29,_xlfn.XLOOKUP(B$32,$B$1:$O$1,$B$2:$O$29)),IF(_xlpm.result&lt;0,"",_xlpm.result))</f>
        <v/>
      </c>
      <c r="C78" s="1" cm="1">
        <f t="array" ref="C78">_xlfn.LET(_xlpm.result,10*_xlfn.XLOOKUP($A78,$A$2:$A$29,_xlfn.XLOOKUP(C$32,$B$1:$O$1,$B$2:$O$29)),IF(_xlpm.result&lt;0,"",_xlpm.result))</f>
        <v>63</v>
      </c>
      <c r="D78" s="1" t="str" cm="1">
        <f t="array" ref="D78">_xlfn.LET(_xlpm.result,10*_xlfn.XLOOKUP($A78,$A$2:$A$29,_xlfn.XLOOKUP(D$32,$B$1:$O$1,$B$2:$O$29)),IF(_xlpm.result&lt;0,"",_xlpm.result))</f>
        <v/>
      </c>
      <c r="E78" s="1" cm="1">
        <f t="array" ref="E78">_xlfn.LET(_xlpm.result,10*_xlfn.XLOOKUP($A78,$A$2:$A$29,_xlfn.XLOOKUP(E$32,$B$1:$O$1,$B$2:$O$29)),IF(_xlpm.result&lt;0,"",_xlpm.result))</f>
        <v>0</v>
      </c>
      <c r="F78" s="1" t="str" cm="1">
        <f t="array" ref="F78">_xlfn.LET(_xlpm.result,10*_xlfn.XLOOKUP($A78,$A$2:$A$29,_xlfn.XLOOKUP(F$32,$B$1:$O$1,$B$2:$O$29)),IF(_xlpm.result&lt;0,"",_xlpm.result))</f>
        <v/>
      </c>
      <c r="G78" s="1" t="str" cm="1">
        <f t="array" ref="G78">_xlfn.LET(_xlpm.result,10*_xlfn.XLOOKUP($A78,$A$2:$A$29,_xlfn.XLOOKUP(G$32,$B$1:$O$1,$B$2:$O$29)),IF(_xlpm.result&lt;0,"",_xlpm.result))</f>
        <v/>
      </c>
      <c r="H78" s="1" t="str" cm="1">
        <f t="array" ref="H78">_xlfn.LET(_xlpm.result,10*_xlfn.XLOOKUP($A78,$A$2:$A$29,_xlfn.XLOOKUP(H$32,$B$1:$O$1,$B$2:$O$29)),IF(_xlpm.result&lt;0,"",_xlpm.result))</f>
        <v/>
      </c>
      <c r="I78" s="1" cm="1">
        <f t="array" ref="I78">_xlfn.LET(_xlpm.result,10*_xlfn.XLOOKUP($A78,$A$2:$A$29,_xlfn.XLOOKUP(I$32,$B$1:$O$1,$B$2:$O$29)),IF(_xlpm.result&lt;0,"",_xlpm.result))</f>
        <v>13.999999999999899</v>
      </c>
      <c r="J78" s="1" t="str" cm="1">
        <f t="array" ref="J78">_xlfn.LET(_xlpm.result,10*_xlfn.XLOOKUP($A78,$A$2:$A$29,_xlfn.XLOOKUP(J$32,$B$1:$O$1,$B$2:$O$29)),IF(_xlpm.result&lt;0,"",_xlpm.result))</f>
        <v/>
      </c>
      <c r="K78" s="1" t="str" cm="1">
        <f t="array" ref="K78">_xlfn.LET(_xlpm.result,10*_xlfn.XLOOKUP($A78,$A$2:$A$29,_xlfn.XLOOKUP(K$32,$B$1:$O$1,$B$2:$O$29)),IF(_xlpm.result&lt;0,"",_xlpm.result))</f>
        <v/>
      </c>
      <c r="L78" s="1" t="str" cm="1">
        <f t="array" ref="L78">_xlfn.LET(_xlpm.result,10*_xlfn.XLOOKUP($A78,$A$2:$A$29,_xlfn.XLOOKUP(L$32,$B$1:$O$1,$B$2:$O$29)),IF(_xlpm.result&lt;0,"",_xlpm.result))</f>
        <v/>
      </c>
      <c r="M78" s="1" t="str" cm="1">
        <f t="array" ref="M78">_xlfn.LET(_xlpm.result,10*_xlfn.XLOOKUP($A78,$A$2:$A$29,_xlfn.XLOOKUP(M$32,$B$1:$O$1,$B$2:$O$29)),IF(_xlpm.result&lt;0,"",_xlpm.result))</f>
        <v/>
      </c>
      <c r="N78" s="1" cm="1">
        <f t="array" ref="N78">_xlfn.LET(_xlpm.result,10*_xlfn.XLOOKUP($A78,$A$2:$A$29,_xlfn.XLOOKUP(N$32,$B$1:$O$1,$B$2:$O$29)),IF(_xlpm.result&lt;0,"",_xlpm.result))</f>
        <v>32</v>
      </c>
      <c r="O78" s="1" t="str" cm="1">
        <f t="array" ref="O78">_xlfn.LET(_xlpm.result,10*_xlfn.XLOOKUP($A78,$A$2:$A$29,_xlfn.XLOOKUP(O$32,$B$1:$O$1,$B$2:$O$29)),IF(_xlpm.result&lt;0,"",_xlpm.result))</f>
        <v/>
      </c>
      <c r="P78" s="10">
        <f t="shared" si="2"/>
        <v>63</v>
      </c>
    </row>
    <row r="79" spans="1:16" x14ac:dyDescent="0.25">
      <c r="A79" t="s">
        <v>39</v>
      </c>
      <c r="B79" s="1" cm="1">
        <f t="array" ref="B79">_xlfn.LET(_xlpm.result,10*_xlfn.XLOOKUP($A79,$A$2:$A$29,_xlfn.XLOOKUP(B$32,$B$1:$O$1,$B$2:$O$29)),IF(_xlpm.result&lt;0,"",_xlpm.result))</f>
        <v>51</v>
      </c>
      <c r="C79" s="1" cm="1">
        <f t="array" ref="C79">_xlfn.LET(_xlpm.result,10*_xlfn.XLOOKUP($A79,$A$2:$A$29,_xlfn.XLOOKUP(C$32,$B$1:$O$1,$B$2:$O$29)),IF(_xlpm.result&lt;0,"",_xlpm.result))</f>
        <v>0</v>
      </c>
      <c r="D79" s="1" t="str" cm="1">
        <f t="array" ref="D79">_xlfn.LET(_xlpm.result,10*_xlfn.XLOOKUP($A79,$A$2:$A$29,_xlfn.XLOOKUP(D$32,$B$1:$O$1,$B$2:$O$29)),IF(_xlpm.result&lt;0,"",_xlpm.result))</f>
        <v/>
      </c>
      <c r="E79" s="1" t="str" cm="1">
        <f t="array" ref="E79">_xlfn.LET(_xlpm.result,10*_xlfn.XLOOKUP($A79,$A$2:$A$29,_xlfn.XLOOKUP(E$32,$B$1:$O$1,$B$2:$O$29)),IF(_xlpm.result&lt;0,"",_xlpm.result))</f>
        <v/>
      </c>
      <c r="F79" s="1" t="str" cm="1">
        <f t="array" ref="F79">_xlfn.LET(_xlpm.result,10*_xlfn.XLOOKUP($A79,$A$2:$A$29,_xlfn.XLOOKUP(F$32,$B$1:$O$1,$B$2:$O$29)),IF(_xlpm.result&lt;0,"",_xlpm.result))</f>
        <v/>
      </c>
      <c r="G79" s="1" cm="1">
        <f t="array" ref="G79">_xlfn.LET(_xlpm.result,10*_xlfn.XLOOKUP($A79,$A$2:$A$29,_xlfn.XLOOKUP(G$32,$B$1:$O$1,$B$2:$O$29)),IF(_xlpm.result&lt;0,"",_xlpm.result))</f>
        <v>5</v>
      </c>
      <c r="H79" s="1" cm="1">
        <f t="array" ref="H79">_xlfn.LET(_xlpm.result,10*_xlfn.XLOOKUP($A79,$A$2:$A$29,_xlfn.XLOOKUP(H$32,$B$1:$O$1,$B$2:$O$29)),IF(_xlpm.result&lt;0,"",_xlpm.result))</f>
        <v>22</v>
      </c>
      <c r="I79" s="1" t="str" cm="1">
        <f t="array" ref="I79">_xlfn.LET(_xlpm.result,10*_xlfn.XLOOKUP($A79,$A$2:$A$29,_xlfn.XLOOKUP(I$32,$B$1:$O$1,$B$2:$O$29)),IF(_xlpm.result&lt;0,"",_xlpm.result))</f>
        <v/>
      </c>
      <c r="J79" s="1" cm="1">
        <f t="array" ref="J79">_xlfn.LET(_xlpm.result,10*_xlfn.XLOOKUP($A79,$A$2:$A$29,_xlfn.XLOOKUP(J$32,$B$1:$O$1,$B$2:$O$29)),IF(_xlpm.result&lt;0,"",_xlpm.result))</f>
        <v>0.99999999999999889</v>
      </c>
      <c r="K79" s="1" t="str" cm="1">
        <f t="array" ref="K79">_xlfn.LET(_xlpm.result,10*_xlfn.XLOOKUP($A79,$A$2:$A$29,_xlfn.XLOOKUP(K$32,$B$1:$O$1,$B$2:$O$29)),IF(_xlpm.result&lt;0,"",_xlpm.result))</f>
        <v/>
      </c>
      <c r="L79" s="1" cm="1">
        <f t="array" ref="L79">_xlfn.LET(_xlpm.result,10*_xlfn.XLOOKUP($A79,$A$2:$A$29,_xlfn.XLOOKUP(L$32,$B$1:$O$1,$B$2:$O$29)),IF(_xlpm.result&lt;0,"",_xlpm.result))</f>
        <v>6</v>
      </c>
      <c r="M79" s="1" cm="1">
        <f t="array" ref="M79">_xlfn.LET(_xlpm.result,10*_xlfn.XLOOKUP($A79,$A$2:$A$29,_xlfn.XLOOKUP(M$32,$B$1:$O$1,$B$2:$O$29)),IF(_xlpm.result&lt;0,"",_xlpm.result))</f>
        <v>69</v>
      </c>
      <c r="N79" s="1" t="str" cm="1">
        <f t="array" ref="N79">_xlfn.LET(_xlpm.result,10*_xlfn.XLOOKUP($A79,$A$2:$A$29,_xlfn.XLOOKUP(N$32,$B$1:$O$1,$B$2:$O$29)),IF(_xlpm.result&lt;0,"",_xlpm.result))</f>
        <v/>
      </c>
      <c r="O79" s="1" t="str" cm="1">
        <f t="array" ref="O79">_xlfn.LET(_xlpm.result,10*_xlfn.XLOOKUP($A79,$A$2:$A$29,_xlfn.XLOOKUP(O$32,$B$1:$O$1,$B$2:$O$29)),IF(_xlpm.result&lt;0,"",_xlpm.result))</f>
        <v/>
      </c>
      <c r="P79" s="10">
        <f t="shared" si="2"/>
        <v>69</v>
      </c>
    </row>
    <row r="80" spans="1:16" s="16" customFormat="1" ht="21" x14ac:dyDescent="0.35">
      <c r="A80" t="s">
        <v>48</v>
      </c>
      <c r="B80" s="1" t="str" cm="1">
        <f t="array" ref="B80">_xlfn.LET(_xlpm.result,10*_xlfn.XLOOKUP($A80,$A$2:$A$29,_xlfn.XLOOKUP(B$32,$B$1:$O$1,$B$2:$O$29)),IF(_xlpm.result&lt;0,"",_xlpm.result))</f>
        <v/>
      </c>
      <c r="C80" s="1" t="str" cm="1">
        <f t="array" ref="C80">_xlfn.LET(_xlpm.result,10*_xlfn.XLOOKUP($A80,$A$2:$A$29,_xlfn.XLOOKUP(C$32,$B$1:$O$1,$B$2:$O$29)),IF(_xlpm.result&lt;0,"",_xlpm.result))</f>
        <v/>
      </c>
      <c r="D80" s="1" t="str" cm="1">
        <f t="array" ref="D80">_xlfn.LET(_xlpm.result,10*_xlfn.XLOOKUP($A80,$A$2:$A$29,_xlfn.XLOOKUP(D$32,$B$1:$O$1,$B$2:$O$29)),IF(_xlpm.result&lt;0,"",_xlpm.result))</f>
        <v/>
      </c>
      <c r="E80" s="1" cm="1">
        <f t="array" ref="E80">_xlfn.LET(_xlpm.result,10*_xlfn.XLOOKUP($A80,$A$2:$A$29,_xlfn.XLOOKUP(E$32,$B$1:$O$1,$B$2:$O$29)),IF(_xlpm.result&lt;0,"",_xlpm.result))</f>
        <v>70</v>
      </c>
      <c r="F80" s="1" cm="1">
        <f t="array" ref="F80">_xlfn.LET(_xlpm.result,10*_xlfn.XLOOKUP($A80,$A$2:$A$29,_xlfn.XLOOKUP(F$32,$B$1:$O$1,$B$2:$O$29)),IF(_xlpm.result&lt;0,"",_xlpm.result))</f>
        <v>0</v>
      </c>
      <c r="G80" s="1" cm="1">
        <f t="array" ref="G80">_xlfn.LET(_xlpm.result,10*_xlfn.XLOOKUP($A80,$A$2:$A$29,_xlfn.XLOOKUP(G$32,$B$1:$O$1,$B$2:$O$29)),IF(_xlpm.result&lt;0,"",_xlpm.result))</f>
        <v>14</v>
      </c>
      <c r="H80" s="1" t="str" cm="1">
        <f t="array" ref="H80">_xlfn.LET(_xlpm.result,10*_xlfn.XLOOKUP($A80,$A$2:$A$29,_xlfn.XLOOKUP(H$32,$B$1:$O$1,$B$2:$O$29)),IF(_xlpm.result&lt;0,"",_xlpm.result))</f>
        <v/>
      </c>
      <c r="I80" s="1" t="str" cm="1">
        <f t="array" ref="I80">_xlfn.LET(_xlpm.result,10*_xlfn.XLOOKUP($A80,$A$2:$A$29,_xlfn.XLOOKUP(I$32,$B$1:$O$1,$B$2:$O$29)),IF(_xlpm.result&lt;0,"",_xlpm.result))</f>
        <v/>
      </c>
      <c r="J80" s="1" cm="1">
        <f t="array" ref="J80">_xlfn.LET(_xlpm.result,10*_xlfn.XLOOKUP($A80,$A$2:$A$29,_xlfn.XLOOKUP(J$32,$B$1:$O$1,$B$2:$O$29)),IF(_xlpm.result&lt;0,"",_xlpm.result))</f>
        <v>18</v>
      </c>
      <c r="K80" s="12" cm="1">
        <f t="array" ref="K80">_xlfn.LET(_xlpm.result,10*_xlfn.XLOOKUP($A80,$A$2:$A$29,_xlfn.XLOOKUP(K$32,$B$1:$O$1,$B$2:$O$29)),IF(_xlpm.result&lt;0,"",_xlpm.result))</f>
        <v>70</v>
      </c>
      <c r="L80" s="1" cm="1">
        <f t="array" ref="L80">_xlfn.LET(_xlpm.result,10*_xlfn.XLOOKUP($A80,$A$2:$A$29,_xlfn.XLOOKUP(L$32,$B$1:$O$1,$B$2:$O$29)),IF(_xlpm.result&lt;0,"",_xlpm.result))</f>
        <v>28</v>
      </c>
      <c r="M80" s="1" cm="1">
        <f t="array" ref="M80">_xlfn.LET(_xlpm.result,10*_xlfn.XLOOKUP($A80,$A$2:$A$29,_xlfn.XLOOKUP(M$32,$B$1:$O$1,$B$2:$O$29)),IF(_xlpm.result&lt;0,"",_xlpm.result))</f>
        <v>53.999999999999901</v>
      </c>
      <c r="N80" s="1" cm="1">
        <f t="array" ref="N80">_xlfn.LET(_xlpm.result,10*_xlfn.XLOOKUP($A80,$A$2:$A$29,_xlfn.XLOOKUP(N$32,$B$1:$O$1,$B$2:$O$29)),IF(_xlpm.result&lt;0,"",_xlpm.result))</f>
        <v>42</v>
      </c>
      <c r="O80" s="1" cm="1">
        <f t="array" ref="O80">_xlfn.LET(_xlpm.result,10*_xlfn.XLOOKUP($A80,$A$2:$A$29,_xlfn.XLOOKUP(O$32,$B$1:$O$1,$B$2:$O$29)),IF(_xlpm.result&lt;0,"",_xlpm.result))</f>
        <v>53.999999999999901</v>
      </c>
      <c r="P80" s="10">
        <f t="shared" si="2"/>
        <v>70</v>
      </c>
    </row>
    <row r="81" spans="1:18" ht="21" x14ac:dyDescent="0.35">
      <c r="A81" t="s">
        <v>45</v>
      </c>
      <c r="B81" s="1" cm="1">
        <f t="array" ref="B81">_xlfn.LET(_xlpm.result,10*_xlfn.XLOOKUP($A81,$A$2:$A$29,_xlfn.XLOOKUP(B$32,$B$1:$O$1,$B$2:$O$29)),IF(_xlpm.result&lt;0,"",_xlpm.result))</f>
        <v>0</v>
      </c>
      <c r="C81" s="1" cm="1">
        <f t="array" ref="C81">_xlfn.LET(_xlpm.result,10*_xlfn.XLOOKUP($A81,$A$2:$A$29,_xlfn.XLOOKUP(C$32,$B$1:$O$1,$B$2:$O$29)),IF(_xlpm.result&lt;0,"",_xlpm.result))</f>
        <v>45</v>
      </c>
      <c r="D81" s="1" cm="1">
        <f t="array" ref="D81">_xlfn.LET(_xlpm.result,10*_xlfn.XLOOKUP($A81,$A$2:$A$29,_xlfn.XLOOKUP(D$32,$B$1:$O$1,$B$2:$O$29)),IF(_xlpm.result&lt;0,"",_xlpm.result))</f>
        <v>72</v>
      </c>
      <c r="E81" s="1" t="str" cm="1">
        <f t="array" ref="E81">_xlfn.LET(_xlpm.result,10*_xlfn.XLOOKUP($A81,$A$2:$A$29,_xlfn.XLOOKUP(E$32,$B$1:$O$1,$B$2:$O$29)),IF(_xlpm.result&lt;0,"",_xlpm.result))</f>
        <v/>
      </c>
      <c r="F81" s="1" t="str" cm="1">
        <f t="array" ref="F81">_xlfn.LET(_xlpm.result,10*_xlfn.XLOOKUP($A81,$A$2:$A$29,_xlfn.XLOOKUP(F$32,$B$1:$O$1,$B$2:$O$29)),IF(_xlpm.result&lt;0,"",_xlpm.result))</f>
        <v/>
      </c>
      <c r="G81" s="1" t="str" cm="1">
        <f t="array" ref="G81">_xlfn.LET(_xlpm.result,10*_xlfn.XLOOKUP($A81,$A$2:$A$29,_xlfn.XLOOKUP(G$32,$B$1:$O$1,$B$2:$O$29)),IF(_xlpm.result&lt;0,"",_xlpm.result))</f>
        <v/>
      </c>
      <c r="H81" s="12" cm="1">
        <f t="array" ref="H81">_xlfn.LET(_xlpm.result,10*_xlfn.XLOOKUP($A81,$A$2:$A$29,_xlfn.XLOOKUP(H$32,$B$1:$O$1,$B$2:$O$29)),IF(_xlpm.result&lt;0,"",_xlpm.result))</f>
        <v>72</v>
      </c>
      <c r="I81" s="1" cm="1">
        <f t="array" ref="I81">_xlfn.LET(_xlpm.result,10*_xlfn.XLOOKUP($A81,$A$2:$A$29,_xlfn.XLOOKUP(I$32,$B$1:$O$1,$B$2:$O$29)),IF(_xlpm.result&lt;0,"",_xlpm.result))</f>
        <v>16</v>
      </c>
      <c r="J81" s="1" t="str" cm="1">
        <f t="array" ref="J81">_xlfn.LET(_xlpm.result,10*_xlfn.XLOOKUP($A81,$A$2:$A$29,_xlfn.XLOOKUP(J$32,$B$1:$O$1,$B$2:$O$29)),IF(_xlpm.result&lt;0,"",_xlpm.result))</f>
        <v/>
      </c>
      <c r="K81" s="1" t="str" cm="1">
        <f t="array" ref="K81">_xlfn.LET(_xlpm.result,10*_xlfn.XLOOKUP($A81,$A$2:$A$29,_xlfn.XLOOKUP(K$32,$B$1:$O$1,$B$2:$O$29)),IF(_xlpm.result&lt;0,"",_xlpm.result))</f>
        <v/>
      </c>
      <c r="L81" s="1" cm="1">
        <f t="array" ref="L81">_xlfn.LET(_xlpm.result,10*_xlfn.XLOOKUP($A81,$A$2:$A$29,_xlfn.XLOOKUP(L$32,$B$1:$O$1,$B$2:$O$29)),IF(_xlpm.result&lt;0,"",_xlpm.result))</f>
        <v>38</v>
      </c>
      <c r="M81" s="1" t="str" cm="1">
        <f t="array" ref="M81">_xlfn.LET(_xlpm.result,10*_xlfn.XLOOKUP($A81,$A$2:$A$29,_xlfn.XLOOKUP(M$32,$B$1:$O$1,$B$2:$O$29)),IF(_xlpm.result&lt;0,"",_xlpm.result))</f>
        <v/>
      </c>
      <c r="N81" s="1" cm="1">
        <f t="array" ref="N81">_xlfn.LET(_xlpm.result,10*_xlfn.XLOOKUP($A81,$A$2:$A$29,_xlfn.XLOOKUP(N$32,$B$1:$O$1,$B$2:$O$29)),IF(_xlpm.result&lt;0,"",_xlpm.result))</f>
        <v>45</v>
      </c>
      <c r="O81" s="1" t="str" cm="1">
        <f t="array" ref="O81">_xlfn.LET(_xlpm.result,10*_xlfn.XLOOKUP($A81,$A$2:$A$29,_xlfn.XLOOKUP(O$32,$B$1:$O$1,$B$2:$O$29)),IF(_xlpm.result&lt;0,"",_xlpm.result))</f>
        <v/>
      </c>
      <c r="P81" s="10">
        <f t="shared" si="2"/>
        <v>72</v>
      </c>
      <c r="Q81">
        <v>14</v>
      </c>
    </row>
    <row r="82" spans="1:18" s="16" customFormat="1" ht="21" x14ac:dyDescent="0.35">
      <c r="A82" t="s">
        <v>21</v>
      </c>
      <c r="B82" s="1" cm="1">
        <f t="array" ref="B82">_xlfn.LET(_xlpm.result,10*_xlfn.XLOOKUP($A82,$A$2:$A$29,_xlfn.XLOOKUP(B$32,$B$1:$O$1,$B$2:$O$29)),IF(_xlpm.result&lt;0,"",_xlpm.result))</f>
        <v>6</v>
      </c>
      <c r="C82" s="1" t="str" cm="1">
        <f t="array" ref="C82">_xlfn.LET(_xlpm.result,10*_xlfn.XLOOKUP($A82,$A$2:$A$29,_xlfn.XLOOKUP(C$32,$B$1:$O$1,$B$2:$O$29)),IF(_xlpm.result&lt;0,"",_xlpm.result))</f>
        <v/>
      </c>
      <c r="D82" s="1" cm="1">
        <f t="array" ref="D82">_xlfn.LET(_xlpm.result,10*_xlfn.XLOOKUP($A82,$A$2:$A$29,_xlfn.XLOOKUP(D$32,$B$1:$O$1,$B$2:$O$29)),IF(_xlpm.result&lt;0,"",_xlpm.result))</f>
        <v>0</v>
      </c>
      <c r="E82" s="1" cm="1">
        <f t="array" ref="E82">_xlfn.LET(_xlpm.result,10*_xlfn.XLOOKUP($A82,$A$2:$A$29,_xlfn.XLOOKUP(E$32,$B$1:$O$1,$B$2:$O$29)),IF(_xlpm.result&lt;0,"",_xlpm.result))</f>
        <v>17</v>
      </c>
      <c r="F82" s="1" cm="1">
        <f t="array" ref="F82">_xlfn.LET(_xlpm.result,10*_xlfn.XLOOKUP($A82,$A$2:$A$29,_xlfn.XLOOKUP(F$32,$B$1:$O$1,$B$2:$O$29)),IF(_xlpm.result&lt;0,"",_xlpm.result))</f>
        <v>39</v>
      </c>
      <c r="G82" s="1" t="str" cm="1">
        <f t="array" ref="G82">_xlfn.LET(_xlpm.result,10*_xlfn.XLOOKUP($A82,$A$2:$A$29,_xlfn.XLOOKUP(G$32,$B$1:$O$1,$B$2:$O$29)),IF(_xlpm.result&lt;0,"",_xlpm.result))</f>
        <v/>
      </c>
      <c r="H82" s="1" cm="1">
        <f t="array" ref="H82">_xlfn.LET(_xlpm.result,10*_xlfn.XLOOKUP($A82,$A$2:$A$29,_xlfn.XLOOKUP(H$32,$B$1:$O$1,$B$2:$O$29)),IF(_xlpm.result&lt;0,"",_xlpm.result))</f>
        <v>46</v>
      </c>
      <c r="I82" s="1" cm="1">
        <f t="array" ref="I82">_xlfn.LET(_xlpm.result,10*_xlfn.XLOOKUP($A82,$A$2:$A$29,_xlfn.XLOOKUP(I$32,$B$1:$O$1,$B$2:$O$29)),IF(_xlpm.result&lt;0,"",_xlpm.result))</f>
        <v>52</v>
      </c>
      <c r="J82" s="12" cm="1">
        <f t="array" ref="J82">_xlfn.LET(_xlpm.result,10*_xlfn.XLOOKUP($A82,$A$2:$A$29,_xlfn.XLOOKUP(J$32,$B$1:$O$1,$B$2:$O$29)),IF(_xlpm.result&lt;0,"",_xlpm.result))</f>
        <v>73</v>
      </c>
      <c r="K82" s="1" cm="1">
        <f t="array" ref="K82">_xlfn.LET(_xlpm.result,10*_xlfn.XLOOKUP($A82,$A$2:$A$29,_xlfn.XLOOKUP(K$32,$B$1:$O$1,$B$2:$O$29)),IF(_xlpm.result&lt;0,"",_xlpm.result))</f>
        <v>0.99999999999999889</v>
      </c>
      <c r="L82" s="1" cm="1">
        <f t="array" ref="L82">_xlfn.LET(_xlpm.result,10*_xlfn.XLOOKUP($A82,$A$2:$A$29,_xlfn.XLOOKUP(L$32,$B$1:$O$1,$B$2:$O$29)),IF(_xlpm.result&lt;0,"",_xlpm.result))</f>
        <v>73</v>
      </c>
      <c r="M82" s="1" cm="1">
        <f t="array" ref="M82">_xlfn.LET(_xlpm.result,10*_xlfn.XLOOKUP($A82,$A$2:$A$29,_xlfn.XLOOKUP(M$32,$B$1:$O$1,$B$2:$O$29)),IF(_xlpm.result&lt;0,"",_xlpm.result))</f>
        <v>11</v>
      </c>
      <c r="N82" s="1" t="str" cm="1">
        <f t="array" ref="N82">_xlfn.LET(_xlpm.result,10*_xlfn.XLOOKUP($A82,$A$2:$A$29,_xlfn.XLOOKUP(N$32,$B$1:$O$1,$B$2:$O$29)),IF(_xlpm.result&lt;0,"",_xlpm.result))</f>
        <v/>
      </c>
      <c r="O82" s="1" cm="1">
        <f t="array" ref="O82">_xlfn.LET(_xlpm.result,10*_xlfn.XLOOKUP($A82,$A$2:$A$29,_xlfn.XLOOKUP(O$32,$B$1:$O$1,$B$2:$O$29)),IF(_xlpm.result&lt;0,"",_xlpm.result))</f>
        <v>0.99999999999999889</v>
      </c>
      <c r="P82" s="10">
        <f t="shared" si="2"/>
        <v>73</v>
      </c>
      <c r="Q82">
        <v>13</v>
      </c>
    </row>
    <row r="83" spans="1:18" x14ac:dyDescent="0.25">
      <c r="A83" t="s">
        <v>50</v>
      </c>
      <c r="B83" s="1" t="str" cm="1">
        <f t="array" ref="B83">_xlfn.LET(_xlpm.result,10*_xlfn.XLOOKUP($A83,$A$2:$A$29,_xlfn.XLOOKUP(B$32,$B$1:$O$1,$B$2:$O$29)),IF(_xlpm.result&lt;0,"",_xlpm.result))</f>
        <v/>
      </c>
      <c r="C83" s="1" cm="1">
        <f t="array" ref="C83">_xlfn.LET(_xlpm.result,10*_xlfn.XLOOKUP($A83,$A$2:$A$29,_xlfn.XLOOKUP(C$32,$B$1:$O$1,$B$2:$O$29)),IF(_xlpm.result&lt;0,"",_xlpm.result))</f>
        <v>28</v>
      </c>
      <c r="D83" s="1" cm="1">
        <f t="array" ref="D83">_xlfn.LET(_xlpm.result,10*_xlfn.XLOOKUP($A83,$A$2:$A$29,_xlfn.XLOOKUP(D$32,$B$1:$O$1,$B$2:$O$29)),IF(_xlpm.result&lt;0,"",_xlpm.result))</f>
        <v>12</v>
      </c>
      <c r="E83" s="1" t="str" cm="1">
        <f t="array" ref="E83">_xlfn.LET(_xlpm.result,10*_xlfn.XLOOKUP($A83,$A$2:$A$29,_xlfn.XLOOKUP(E$32,$B$1:$O$1,$B$2:$O$29)),IF(_xlpm.result&lt;0,"",_xlpm.result))</f>
        <v/>
      </c>
      <c r="F83" s="1" cm="1">
        <f t="array" ref="F83">_xlfn.LET(_xlpm.result,10*_xlfn.XLOOKUP($A83,$A$2:$A$29,_xlfn.XLOOKUP(F$32,$B$1:$O$1,$B$2:$O$29)),IF(_xlpm.result&lt;0,"",_xlpm.result))</f>
        <v>7</v>
      </c>
      <c r="G83" s="1" t="str" cm="1">
        <f t="array" ref="G83">_xlfn.LET(_xlpm.result,10*_xlfn.XLOOKUP($A83,$A$2:$A$29,_xlfn.XLOOKUP(G$32,$B$1:$O$1,$B$2:$O$29)),IF(_xlpm.result&lt;0,"",_xlpm.result))</f>
        <v/>
      </c>
      <c r="H83" s="1" cm="1">
        <f t="array" ref="H83">_xlfn.LET(_xlpm.result,10*_xlfn.XLOOKUP($A83,$A$2:$A$29,_xlfn.XLOOKUP(H$32,$B$1:$O$1,$B$2:$O$29)),IF(_xlpm.result&lt;0,"",_xlpm.result))</f>
        <v>50</v>
      </c>
      <c r="I83" s="1" cm="1">
        <f t="array" ref="I83">_xlfn.LET(_xlpm.result,10*_xlfn.XLOOKUP($A83,$A$2:$A$29,_xlfn.XLOOKUP(I$32,$B$1:$O$1,$B$2:$O$29)),IF(_xlpm.result&lt;0,"",_xlpm.result))</f>
        <v>0</v>
      </c>
      <c r="J83" s="1" t="str" cm="1">
        <f t="array" ref="J83">_xlfn.LET(_xlpm.result,10*_xlfn.XLOOKUP($A83,$A$2:$A$29,_xlfn.XLOOKUP(J$32,$B$1:$O$1,$B$2:$O$29)),IF(_xlpm.result&lt;0,"",_xlpm.result))</f>
        <v/>
      </c>
      <c r="K83" s="1" cm="1">
        <f t="array" ref="K83">_xlfn.LET(_xlpm.result,10*_xlfn.XLOOKUP($A83,$A$2:$A$29,_xlfn.XLOOKUP(K$32,$B$1:$O$1,$B$2:$O$29)),IF(_xlpm.result&lt;0,"",_xlpm.result))</f>
        <v>6</v>
      </c>
      <c r="L83" s="1" cm="1">
        <f t="array" ref="L83">_xlfn.LET(_xlpm.result,10*_xlfn.XLOOKUP($A83,$A$2:$A$29,_xlfn.XLOOKUP(L$32,$B$1:$O$1,$B$2:$O$29)),IF(_xlpm.result&lt;0,"",_xlpm.result))</f>
        <v>75</v>
      </c>
      <c r="M83" s="1" t="str" cm="1">
        <f t="array" ref="M83">_xlfn.LET(_xlpm.result,10*_xlfn.XLOOKUP($A83,$A$2:$A$29,_xlfn.XLOOKUP(M$32,$B$1:$O$1,$B$2:$O$29)),IF(_xlpm.result&lt;0,"",_xlpm.result))</f>
        <v/>
      </c>
      <c r="N83" s="1" cm="1">
        <f t="array" ref="N83">_xlfn.LET(_xlpm.result,10*_xlfn.XLOOKUP($A83,$A$2:$A$29,_xlfn.XLOOKUP(N$32,$B$1:$O$1,$B$2:$O$29)),IF(_xlpm.result&lt;0,"",_xlpm.result))</f>
        <v>12</v>
      </c>
      <c r="O83" s="1" t="str" cm="1">
        <f t="array" ref="O83">_xlfn.LET(_xlpm.result,10*_xlfn.XLOOKUP($A83,$A$2:$A$29,_xlfn.XLOOKUP(O$32,$B$1:$O$1,$B$2:$O$29)),IF(_xlpm.result&lt;0,"",_xlpm.result))</f>
        <v/>
      </c>
      <c r="P83" s="10">
        <f t="shared" si="2"/>
        <v>75</v>
      </c>
      <c r="Q83">
        <v>12</v>
      </c>
    </row>
    <row r="84" spans="1:18" ht="21" x14ac:dyDescent="0.35">
      <c r="A84" s="16" t="s">
        <v>19</v>
      </c>
      <c r="B84" s="17" cm="1">
        <f t="array" ref="B84">_xlfn.LET(_xlpm.result,10*_xlfn.XLOOKUP($A84,$A$2:$A$29,_xlfn.XLOOKUP(B$32,$B$1:$O$1,$B$2:$O$29)),IF(_xlpm.result&lt;0,"",_xlpm.result))</f>
        <v>80</v>
      </c>
      <c r="C84" s="17" t="str" cm="1">
        <f t="array" ref="C84">_xlfn.LET(_xlpm.result,10*_xlfn.XLOOKUP($A84,$A$2:$A$29,_xlfn.XLOOKUP(C$32,$B$1:$O$1,$B$2:$O$29)),IF(_xlpm.result&lt;0,"",_xlpm.result))</f>
        <v/>
      </c>
      <c r="D84" s="17" t="str" cm="1">
        <f t="array" ref="D84">_xlfn.LET(_xlpm.result,10*_xlfn.XLOOKUP($A84,$A$2:$A$29,_xlfn.XLOOKUP(D$32,$B$1:$O$1,$B$2:$O$29)),IF(_xlpm.result&lt;0,"",_xlpm.result))</f>
        <v/>
      </c>
      <c r="E84" s="17" cm="1">
        <f t="array" ref="E84">_xlfn.LET(_xlpm.result,10*_xlfn.XLOOKUP($A84,$A$2:$A$29,_xlfn.XLOOKUP(E$32,$B$1:$O$1,$B$2:$O$29)),IF(_xlpm.result&lt;0,"",_xlpm.result))</f>
        <v>0</v>
      </c>
      <c r="F84" s="17" t="str" cm="1">
        <f t="array" ref="F84">_xlfn.LET(_xlpm.result,10*_xlfn.XLOOKUP($A84,$A$2:$A$29,_xlfn.XLOOKUP(F$32,$B$1:$O$1,$B$2:$O$29)),IF(_xlpm.result&lt;0,"",_xlpm.result))</f>
        <v/>
      </c>
      <c r="G84" s="17" t="str" cm="1">
        <f t="array" ref="G84">_xlfn.LET(_xlpm.result,10*_xlfn.XLOOKUP($A84,$A$2:$A$29,_xlfn.XLOOKUP(G$32,$B$1:$O$1,$B$2:$O$29)),IF(_xlpm.result&lt;0,"",_xlpm.result))</f>
        <v/>
      </c>
      <c r="H84" s="17" t="str" cm="1">
        <f t="array" ref="H84">_xlfn.LET(_xlpm.result,10*_xlfn.XLOOKUP($A84,$A$2:$A$29,_xlfn.XLOOKUP(H$32,$B$1:$O$1,$B$2:$O$29)),IF(_xlpm.result&lt;0,"",_xlpm.result))</f>
        <v/>
      </c>
      <c r="I84" s="17" t="str" cm="1">
        <f t="array" ref="I84">_xlfn.LET(_xlpm.result,10*_xlfn.XLOOKUP($A84,$A$2:$A$29,_xlfn.XLOOKUP(I$32,$B$1:$O$1,$B$2:$O$29)),IF(_xlpm.result&lt;0,"",_xlpm.result))</f>
        <v/>
      </c>
      <c r="J84" s="17" t="str" cm="1">
        <f t="array" ref="J84">_xlfn.LET(_xlpm.result,10*_xlfn.XLOOKUP($A84,$A$2:$A$29,_xlfn.XLOOKUP(J$32,$B$1:$O$1,$B$2:$O$29)),IF(_xlpm.result&lt;0,"",_xlpm.result))</f>
        <v/>
      </c>
      <c r="K84" s="17" t="str" cm="1">
        <f t="array" ref="K84">_xlfn.LET(_xlpm.result,10*_xlfn.XLOOKUP($A84,$A$2:$A$29,_xlfn.XLOOKUP(K$32,$B$1:$O$1,$B$2:$O$29)),IF(_xlpm.result&lt;0,"",_xlpm.result))</f>
        <v/>
      </c>
      <c r="L84" s="17" t="str" cm="1">
        <f t="array" ref="L84">_xlfn.LET(_xlpm.result,10*_xlfn.XLOOKUP($A84,$A$2:$A$29,_xlfn.XLOOKUP(L$32,$B$1:$O$1,$B$2:$O$29)),IF(_xlpm.result&lt;0,"",_xlpm.result))</f>
        <v/>
      </c>
      <c r="M84" s="17" cm="1">
        <f t="array" ref="M84">_xlfn.LET(_xlpm.result,10*_xlfn.XLOOKUP($A84,$A$2:$A$29,_xlfn.XLOOKUP(M$32,$B$1:$O$1,$B$2:$O$29)),IF(_xlpm.result&lt;0,"",_xlpm.result))</f>
        <v>10</v>
      </c>
      <c r="N84" s="21" cm="1">
        <f t="array" ref="N84">_xlfn.LET(_xlpm.result,10*_xlfn.XLOOKUP($A84,$A$2:$A$29,_xlfn.XLOOKUP(N$32,$B$1:$O$1,$B$2:$O$29)),IF(_xlpm.result&lt;0,"",_xlpm.result))</f>
        <v>58</v>
      </c>
      <c r="O84" s="17" t="str" cm="1">
        <f t="array" ref="O84">_xlfn.LET(_xlpm.result,10*_xlfn.XLOOKUP($A84,$A$2:$A$29,_xlfn.XLOOKUP(O$32,$B$1:$O$1,$B$2:$O$29)),IF(_xlpm.result&lt;0,"",_xlpm.result))</f>
        <v/>
      </c>
      <c r="P84" s="10">
        <f t="shared" si="2"/>
        <v>80</v>
      </c>
      <c r="Q84">
        <v>11</v>
      </c>
    </row>
    <row r="85" spans="1:18" s="16" customFormat="1" ht="21" x14ac:dyDescent="0.35">
      <c r="A85" s="16" t="s">
        <v>40</v>
      </c>
      <c r="B85" s="17" t="str" cm="1">
        <f t="array" ref="B85">_xlfn.LET(_xlpm.result,10*_xlfn.XLOOKUP($A85,$A$2:$A$29,_xlfn.XLOOKUP(B$32,$B$1:$O$1,$B$2:$O$29)),IF(_xlpm.result&lt;0,"",_xlpm.result))</f>
        <v/>
      </c>
      <c r="C85" s="17" cm="1">
        <f t="array" ref="C85">_xlfn.LET(_xlpm.result,10*_xlfn.XLOOKUP($A85,$A$2:$A$29,_xlfn.XLOOKUP(C$32,$B$1:$O$1,$B$2:$O$29)),IF(_xlpm.result&lt;0,"",_xlpm.result))</f>
        <v>56</v>
      </c>
      <c r="D85" s="21" cm="1">
        <f t="array" ref="D85">_xlfn.LET(_xlpm.result,10*_xlfn.XLOOKUP($A85,$A$2:$A$29,_xlfn.XLOOKUP(D$32,$B$1:$O$1,$B$2:$O$29)),IF(_xlpm.result&lt;0,"",_xlpm.result))</f>
        <v>84</v>
      </c>
      <c r="E85" s="17" cm="1">
        <f t="array" ref="E85">_xlfn.LET(_xlpm.result,10*_xlfn.XLOOKUP($A85,$A$2:$A$29,_xlfn.XLOOKUP(E$32,$B$1:$O$1,$B$2:$O$29)),IF(_xlpm.result&lt;0,"",_xlpm.result))</f>
        <v>34.999999999999901</v>
      </c>
      <c r="F85" s="17" cm="1">
        <f t="array" ref="F85">_xlfn.LET(_xlpm.result,10*_xlfn.XLOOKUP($A85,$A$2:$A$29,_xlfn.XLOOKUP(F$32,$B$1:$O$1,$B$2:$O$29)),IF(_xlpm.result&lt;0,"",_xlpm.result))</f>
        <v>14</v>
      </c>
      <c r="G85" s="17" t="str" cm="1">
        <f t="array" ref="G85">_xlfn.LET(_xlpm.result,10*_xlfn.XLOOKUP($A85,$A$2:$A$29,_xlfn.XLOOKUP(G$32,$B$1:$O$1,$B$2:$O$29)),IF(_xlpm.result&lt;0,"",_xlpm.result))</f>
        <v/>
      </c>
      <c r="H85" s="17" cm="1">
        <f t="array" ref="H85">_xlfn.LET(_xlpm.result,10*_xlfn.XLOOKUP($A85,$A$2:$A$29,_xlfn.XLOOKUP(H$32,$B$1:$O$1,$B$2:$O$29)),IF(_xlpm.result&lt;0,"",_xlpm.result))</f>
        <v>41</v>
      </c>
      <c r="I85" s="17" cm="1">
        <f t="array" ref="I85">_xlfn.LET(_xlpm.result,10*_xlfn.XLOOKUP($A85,$A$2:$A$29,_xlfn.XLOOKUP(I$32,$B$1:$O$1,$B$2:$O$29)),IF(_xlpm.result&lt;0,"",_xlpm.result))</f>
        <v>62</v>
      </c>
      <c r="J85" s="17" cm="1">
        <f t="array" ref="J85">_xlfn.LET(_xlpm.result,10*_xlfn.XLOOKUP($A85,$A$2:$A$29,_xlfn.XLOOKUP(J$32,$B$1:$O$1,$B$2:$O$29)),IF(_xlpm.result&lt;0,"",_xlpm.result))</f>
        <v>53</v>
      </c>
      <c r="K85" s="17" cm="1">
        <f t="array" ref="K85">_xlfn.LET(_xlpm.result,10*_xlfn.XLOOKUP($A85,$A$2:$A$29,_xlfn.XLOOKUP(K$32,$B$1:$O$1,$B$2:$O$29)),IF(_xlpm.result&lt;0,"",_xlpm.result))</f>
        <v>0</v>
      </c>
      <c r="L85" s="17" t="str" cm="1">
        <f t="array" ref="L85">_xlfn.LET(_xlpm.result,10*_xlfn.XLOOKUP($A85,$A$2:$A$29,_xlfn.XLOOKUP(L$32,$B$1:$O$1,$B$2:$O$29)),IF(_xlpm.result&lt;0,"",_xlpm.result))</f>
        <v/>
      </c>
      <c r="M85" s="17" t="str" cm="1">
        <f t="array" ref="M85">_xlfn.LET(_xlpm.result,10*_xlfn.XLOOKUP($A85,$A$2:$A$29,_xlfn.XLOOKUP(M$32,$B$1:$O$1,$B$2:$O$29)),IF(_xlpm.result&lt;0,"",_xlpm.result))</f>
        <v/>
      </c>
      <c r="N85" s="17" cm="1">
        <f t="array" ref="N85">_xlfn.LET(_xlpm.result,10*_xlfn.XLOOKUP($A85,$A$2:$A$29,_xlfn.XLOOKUP(N$32,$B$1:$O$1,$B$2:$O$29)),IF(_xlpm.result&lt;0,"",_xlpm.result))</f>
        <v>41</v>
      </c>
      <c r="O85" s="17" cm="1">
        <f t="array" ref="O85">_xlfn.LET(_xlpm.result,10*_xlfn.XLOOKUP($A85,$A$2:$A$29,_xlfn.XLOOKUP(O$32,$B$1:$O$1,$B$2:$O$29)),IF(_xlpm.result&lt;0,"",_xlpm.result))</f>
        <v>28</v>
      </c>
      <c r="P85" s="19">
        <f t="shared" si="2"/>
        <v>84</v>
      </c>
      <c r="Q85" s="16">
        <v>10</v>
      </c>
    </row>
    <row r="86" spans="1:18" s="16" customFormat="1" ht="21" x14ac:dyDescent="0.35">
      <c r="A86" s="16" t="s">
        <v>33</v>
      </c>
      <c r="B86" s="17" t="str" cm="1">
        <f t="array" ref="B86">_xlfn.LET(_xlpm.result,10*_xlfn.XLOOKUP($A86,$A$2:$A$29,_xlfn.XLOOKUP(B$32,$B$1:$O$1,$B$2:$O$29)),IF(_xlpm.result&lt;0,"",_xlpm.result))</f>
        <v/>
      </c>
      <c r="C86" s="17" t="str" cm="1">
        <f t="array" ref="C86">_xlfn.LET(_xlpm.result,10*_xlfn.XLOOKUP($A86,$A$2:$A$29,_xlfn.XLOOKUP(C$32,$B$1:$O$1,$B$2:$O$29)),IF(_xlpm.result&lt;0,"",_xlpm.result))</f>
        <v/>
      </c>
      <c r="D86" s="17" t="str" cm="1">
        <f t="array" ref="D86">_xlfn.LET(_xlpm.result,10*_xlfn.XLOOKUP($A86,$A$2:$A$29,_xlfn.XLOOKUP(D$32,$B$1:$O$1,$B$2:$O$29)),IF(_xlpm.result&lt;0,"",_xlpm.result))</f>
        <v/>
      </c>
      <c r="E86" s="17" cm="1">
        <f t="array" ref="E86">_xlfn.LET(_xlpm.result,10*_xlfn.XLOOKUP($A86,$A$2:$A$29,_xlfn.XLOOKUP(E$32,$B$1:$O$1,$B$2:$O$29)),IF(_xlpm.result&lt;0,"",_xlpm.result))</f>
        <v>0</v>
      </c>
      <c r="F86" s="17" cm="1">
        <f t="array" ref="F86">_xlfn.LET(_xlpm.result,10*_xlfn.XLOOKUP($A86,$A$2:$A$29,_xlfn.XLOOKUP(F$32,$B$1:$O$1,$B$2:$O$29)),IF(_xlpm.result&lt;0,"",_xlpm.result))</f>
        <v>22</v>
      </c>
      <c r="G86" s="17" t="str" cm="1">
        <f t="array" ref="G86">_xlfn.LET(_xlpm.result,10*_xlfn.XLOOKUP($A86,$A$2:$A$29,_xlfn.XLOOKUP(G$32,$B$1:$O$1,$B$2:$O$29)),IF(_xlpm.result&lt;0,"",_xlpm.result))</f>
        <v/>
      </c>
      <c r="H86" s="17" t="str" cm="1">
        <f t="array" ref="H86">_xlfn.LET(_xlpm.result,10*_xlfn.XLOOKUP($A86,$A$2:$A$29,_xlfn.XLOOKUP(H$32,$B$1:$O$1,$B$2:$O$29)),IF(_xlpm.result&lt;0,"",_xlpm.result))</f>
        <v/>
      </c>
      <c r="I86" s="17" cm="1">
        <f t="array" ref="I86">_xlfn.LET(_xlpm.result,10*_xlfn.XLOOKUP($A86,$A$2:$A$29,_xlfn.XLOOKUP(I$32,$B$1:$O$1,$B$2:$O$29)),IF(_xlpm.result&lt;0,"",_xlpm.result))</f>
        <v>5</v>
      </c>
      <c r="J86" s="17" cm="1">
        <f t="array" ref="J86">_xlfn.LET(_xlpm.result,10*_xlfn.XLOOKUP($A86,$A$2:$A$29,_xlfn.XLOOKUP(J$32,$B$1:$O$1,$B$2:$O$29)),IF(_xlpm.result&lt;0,"",_xlpm.result))</f>
        <v>85</v>
      </c>
      <c r="K86" s="17" t="str" cm="1">
        <f t="array" ref="K86">_xlfn.LET(_xlpm.result,10*_xlfn.XLOOKUP($A86,$A$2:$A$29,_xlfn.XLOOKUP(K$32,$B$1:$O$1,$B$2:$O$29)),IF(_xlpm.result&lt;0,"",_xlpm.result))</f>
        <v/>
      </c>
      <c r="L86" s="17" cm="1">
        <f t="array" ref="L86">_xlfn.LET(_xlpm.result,10*_xlfn.XLOOKUP($A86,$A$2:$A$29,_xlfn.XLOOKUP(L$32,$B$1:$O$1,$B$2:$O$29)),IF(_xlpm.result&lt;0,"",_xlpm.result))</f>
        <v>42</v>
      </c>
      <c r="M86" s="17" t="str" cm="1">
        <f t="array" ref="M86">_xlfn.LET(_xlpm.result,10*_xlfn.XLOOKUP($A86,$A$2:$A$29,_xlfn.XLOOKUP(M$32,$B$1:$O$1,$B$2:$O$29)),IF(_xlpm.result&lt;0,"",_xlpm.result))</f>
        <v/>
      </c>
      <c r="N86" s="17" t="str" cm="1">
        <f t="array" ref="N86">_xlfn.LET(_xlpm.result,10*_xlfn.XLOOKUP($A86,$A$2:$A$29,_xlfn.XLOOKUP(N$32,$B$1:$O$1,$B$2:$O$29)),IF(_xlpm.result&lt;0,"",_xlpm.result))</f>
        <v/>
      </c>
      <c r="O86" s="21" cm="1">
        <f t="array" ref="O86">_xlfn.LET(_xlpm.result,10*_xlfn.XLOOKUP($A86,$A$2:$A$29,_xlfn.XLOOKUP(O$32,$B$1:$O$1,$B$2:$O$29)),IF(_xlpm.result&lt;0,"",_xlpm.result))</f>
        <v>85</v>
      </c>
      <c r="P86" s="19">
        <f t="shared" si="2"/>
        <v>85</v>
      </c>
      <c r="Q86" s="16">
        <v>9</v>
      </c>
    </row>
    <row r="87" spans="1:18" ht="21" x14ac:dyDescent="0.35">
      <c r="A87" t="s">
        <v>47</v>
      </c>
      <c r="B87" s="1" cm="1">
        <f t="array" ref="B87">_xlfn.LET(_xlpm.result,10*_xlfn.XLOOKUP($A87,$A$2:$A$29,_xlfn.XLOOKUP(B$32,$B$1:$O$1,$B$2:$O$29)),IF(_xlpm.result&lt;0,"",_xlpm.result))</f>
        <v>0.99999999999999889</v>
      </c>
      <c r="C87" s="1" cm="1">
        <f t="array" ref="C87">_xlfn.LET(_xlpm.result,10*_xlfn.XLOOKUP($A87,$A$2:$A$29,_xlfn.XLOOKUP(C$32,$B$1:$O$1,$B$2:$O$29)),IF(_xlpm.result&lt;0,"",_xlpm.result))</f>
        <v>14</v>
      </c>
      <c r="D87" s="1" cm="1">
        <f t="array" ref="D87">_xlfn.LET(_xlpm.result,10*_xlfn.XLOOKUP($A87,$A$2:$A$29,_xlfn.XLOOKUP(D$32,$B$1:$O$1,$B$2:$O$29)),IF(_xlpm.result&lt;0,"",_xlpm.result))</f>
        <v>10</v>
      </c>
      <c r="E87" s="1" cm="1">
        <f t="array" ref="E87">_xlfn.LET(_xlpm.result,10*_xlfn.XLOOKUP($A87,$A$2:$A$29,_xlfn.XLOOKUP(E$32,$B$1:$O$1,$B$2:$O$29)),IF(_xlpm.result&lt;0,"",_xlpm.result))</f>
        <v>0</v>
      </c>
      <c r="F87" s="1" t="str" cm="1">
        <f t="array" ref="F87">_xlfn.LET(_xlpm.result,10*_xlfn.XLOOKUP($A87,$A$2:$A$29,_xlfn.XLOOKUP(F$32,$B$1:$O$1,$B$2:$O$29)),IF(_xlpm.result&lt;0,"",_xlpm.result))</f>
        <v/>
      </c>
      <c r="G87" s="1" cm="1">
        <f t="array" ref="G87">_xlfn.LET(_xlpm.result,10*_xlfn.XLOOKUP($A87,$A$2:$A$29,_xlfn.XLOOKUP(G$32,$B$1:$O$1,$B$2:$O$29)),IF(_xlpm.result&lt;0,"",_xlpm.result))</f>
        <v>19</v>
      </c>
      <c r="H87" s="1" t="str" cm="1">
        <f t="array" ref="H87">_xlfn.LET(_xlpm.result,10*_xlfn.XLOOKUP($A87,$A$2:$A$29,_xlfn.XLOOKUP(H$32,$B$1:$O$1,$B$2:$O$29)),IF(_xlpm.result&lt;0,"",_xlpm.result))</f>
        <v/>
      </c>
      <c r="I87" s="12" cm="1">
        <f t="array" ref="I87">_xlfn.LET(_xlpm.result,10*_xlfn.XLOOKUP($A87,$A$2:$A$29,_xlfn.XLOOKUP(I$32,$B$1:$O$1,$B$2:$O$29)),IF(_xlpm.result&lt;0,"",_xlpm.result))</f>
        <v>99</v>
      </c>
      <c r="J87" s="1" t="str" cm="1">
        <f t="array" ref="J87">_xlfn.LET(_xlpm.result,10*_xlfn.XLOOKUP($A87,$A$2:$A$29,_xlfn.XLOOKUP(J$32,$B$1:$O$1,$B$2:$O$29)),IF(_xlpm.result&lt;0,"",_xlpm.result))</f>
        <v/>
      </c>
      <c r="K87" s="1" cm="1">
        <f t="array" ref="K87">_xlfn.LET(_xlpm.result,10*_xlfn.XLOOKUP($A87,$A$2:$A$29,_xlfn.XLOOKUP(K$32,$B$1:$O$1,$B$2:$O$29)),IF(_xlpm.result&lt;0,"",_xlpm.result))</f>
        <v>29</v>
      </c>
      <c r="L87" s="1" t="str" cm="1">
        <f t="array" ref="L87">_xlfn.LET(_xlpm.result,10*_xlfn.XLOOKUP($A87,$A$2:$A$29,_xlfn.XLOOKUP(L$32,$B$1:$O$1,$B$2:$O$29)),IF(_xlpm.result&lt;0,"",_xlpm.result))</f>
        <v/>
      </c>
      <c r="M87" s="1" t="str" cm="1">
        <f t="array" ref="M87">_xlfn.LET(_xlpm.result,10*_xlfn.XLOOKUP($A87,$A$2:$A$29,_xlfn.XLOOKUP(M$32,$B$1:$O$1,$B$2:$O$29)),IF(_xlpm.result&lt;0,"",_xlpm.result))</f>
        <v/>
      </c>
      <c r="N87" s="1" cm="1">
        <f t="array" ref="N87">_xlfn.LET(_xlpm.result,10*_xlfn.XLOOKUP($A87,$A$2:$A$29,_xlfn.XLOOKUP(N$32,$B$1:$O$1,$B$2:$O$29)),IF(_xlpm.result&lt;0,"",_xlpm.result))</f>
        <v>55</v>
      </c>
      <c r="O87" s="1" t="str" cm="1">
        <f t="array" ref="O87">_xlfn.LET(_xlpm.result,10*_xlfn.XLOOKUP($A87,$A$2:$A$29,_xlfn.XLOOKUP(O$32,$B$1:$O$1,$B$2:$O$29)),IF(_xlpm.result&lt;0,"",_xlpm.result))</f>
        <v/>
      </c>
      <c r="P87" s="10">
        <f t="shared" si="2"/>
        <v>99</v>
      </c>
      <c r="Q87">
        <v>8</v>
      </c>
    </row>
    <row r="88" spans="1:18" ht="21" x14ac:dyDescent="0.35">
      <c r="A88" t="s">
        <v>44</v>
      </c>
      <c r="B88" s="1" cm="1">
        <f t="array" ref="B88">_xlfn.LET(_xlpm.result,10*_xlfn.XLOOKUP($A88,$A$2:$A$29,_xlfn.XLOOKUP(B$32,$B$1:$O$1,$B$2:$O$29)),IF(_xlpm.result&lt;0,"",_xlpm.result))</f>
        <v>25</v>
      </c>
      <c r="C88" s="1" cm="1">
        <f t="array" ref="C88">_xlfn.LET(_xlpm.result,10*_xlfn.XLOOKUP($A88,$A$2:$A$29,_xlfn.XLOOKUP(C$32,$B$1:$O$1,$B$2:$O$29)),IF(_xlpm.result&lt;0,"",_xlpm.result))</f>
        <v>107</v>
      </c>
      <c r="D88" s="1" cm="1">
        <f t="array" ref="D88">_xlfn.LET(_xlpm.result,10*_xlfn.XLOOKUP($A88,$A$2:$A$29,_xlfn.XLOOKUP(D$32,$B$1:$O$1,$B$2:$O$29)),IF(_xlpm.result&lt;0,"",_xlpm.result))</f>
        <v>38</v>
      </c>
      <c r="E88" s="12" cm="1">
        <f t="array" ref="E88">_xlfn.LET(_xlpm.result,10*_xlfn.XLOOKUP($A88,$A$2:$A$29,_xlfn.XLOOKUP(E$32,$B$1:$O$1,$B$2:$O$29)),IF(_xlpm.result&lt;0,"",_xlpm.result))</f>
        <v>107</v>
      </c>
      <c r="F88" s="1" cm="1">
        <f t="array" ref="F88">_xlfn.LET(_xlpm.result,10*_xlfn.XLOOKUP($A88,$A$2:$A$29,_xlfn.XLOOKUP(F$32,$B$1:$O$1,$B$2:$O$29)),IF(_xlpm.result&lt;0,"",_xlpm.result))</f>
        <v>0</v>
      </c>
      <c r="G88" s="1" cm="1">
        <f t="array" ref="G88">_xlfn.LET(_xlpm.result,10*_xlfn.XLOOKUP($A88,$A$2:$A$29,_xlfn.XLOOKUP(G$32,$B$1:$O$1,$B$2:$O$29)),IF(_xlpm.result&lt;0,"",_xlpm.result))</f>
        <v>2</v>
      </c>
      <c r="H88" s="1" t="str" cm="1">
        <f t="array" ref="H88">_xlfn.LET(_xlpm.result,10*_xlfn.XLOOKUP($A88,$A$2:$A$29,_xlfn.XLOOKUP(H$32,$B$1:$O$1,$B$2:$O$29)),IF(_xlpm.result&lt;0,"",_xlpm.result))</f>
        <v/>
      </c>
      <c r="I88" s="1" cm="1">
        <f t="array" ref="I88">_xlfn.LET(_xlpm.result,10*_xlfn.XLOOKUP($A88,$A$2:$A$29,_xlfn.XLOOKUP(I$32,$B$1:$O$1,$B$2:$O$29)),IF(_xlpm.result&lt;0,"",_xlpm.result))</f>
        <v>43.999999999999901</v>
      </c>
      <c r="J88" s="1" cm="1">
        <f t="array" ref="J88">_xlfn.LET(_xlpm.result,10*_xlfn.XLOOKUP($A88,$A$2:$A$29,_xlfn.XLOOKUP(J$32,$B$1:$O$1,$B$2:$O$29)),IF(_xlpm.result&lt;0,"",_xlpm.result))</f>
        <v>60</v>
      </c>
      <c r="K88" s="1" cm="1">
        <f t="array" ref="K88">_xlfn.LET(_xlpm.result,10*_xlfn.XLOOKUP($A88,$A$2:$A$29,_xlfn.XLOOKUP(K$32,$B$1:$O$1,$B$2:$O$29)),IF(_xlpm.result&lt;0,"",_xlpm.result))</f>
        <v>14</v>
      </c>
      <c r="L88" s="1" cm="1">
        <f t="array" ref="L88">_xlfn.LET(_xlpm.result,10*_xlfn.XLOOKUP($A88,$A$2:$A$29,_xlfn.XLOOKUP(L$32,$B$1:$O$1,$B$2:$O$29)),IF(_xlpm.result&lt;0,"",_xlpm.result))</f>
        <v>75</v>
      </c>
      <c r="M88" s="1" cm="1">
        <f t="array" ref="M88">_xlfn.LET(_xlpm.result,10*_xlfn.XLOOKUP($A88,$A$2:$A$29,_xlfn.XLOOKUP(M$32,$B$1:$O$1,$B$2:$O$29)),IF(_xlpm.result&lt;0,"",_xlpm.result))</f>
        <v>31.999999999999901</v>
      </c>
      <c r="N88" s="1" t="str" cm="1">
        <f t="array" ref="N88">_xlfn.LET(_xlpm.result,10*_xlfn.XLOOKUP($A88,$A$2:$A$29,_xlfn.XLOOKUP(N$32,$B$1:$O$1,$B$2:$O$29)),IF(_xlpm.result&lt;0,"",_xlpm.result))</f>
        <v/>
      </c>
      <c r="O88" s="1" cm="1">
        <f t="array" ref="O88">_xlfn.LET(_xlpm.result,10*_xlfn.XLOOKUP($A88,$A$2:$A$29,_xlfn.XLOOKUP(O$32,$B$1:$O$1,$B$2:$O$29)),IF(_xlpm.result&lt;0,"",_xlpm.result))</f>
        <v>31.999999999999901</v>
      </c>
      <c r="P88" s="10">
        <f t="shared" si="2"/>
        <v>107</v>
      </c>
      <c r="Q88">
        <v>7</v>
      </c>
    </row>
    <row r="89" spans="1:18" ht="21" x14ac:dyDescent="0.35">
      <c r="A89" t="s">
        <v>46</v>
      </c>
      <c r="B89" s="1" t="str" cm="1">
        <f t="array" ref="B89">_xlfn.LET(_xlpm.result,10*_xlfn.XLOOKUP($A89,$A$2:$A$29,_xlfn.XLOOKUP(B$32,$B$1:$O$1,$B$2:$O$29)),IF(_xlpm.result&lt;0,"",_xlpm.result))</f>
        <v/>
      </c>
      <c r="C89" s="1" cm="1">
        <f t="array" ref="C89">_xlfn.LET(_xlpm.result,10*_xlfn.XLOOKUP($A89,$A$2:$A$29,_xlfn.XLOOKUP(C$32,$B$1:$O$1,$B$2:$O$29)),IF(_xlpm.result&lt;0,"",_xlpm.result))</f>
        <v>10</v>
      </c>
      <c r="D89" s="1" cm="1">
        <f t="array" ref="D89">_xlfn.LET(_xlpm.result,10*_xlfn.XLOOKUP($A89,$A$2:$A$29,_xlfn.XLOOKUP(D$32,$B$1:$O$1,$B$2:$O$29)),IF(_xlpm.result&lt;0,"",_xlpm.result))</f>
        <v>38</v>
      </c>
      <c r="E89" s="1" cm="1">
        <f t="array" ref="E89">_xlfn.LET(_xlpm.result,10*_xlfn.XLOOKUP($A89,$A$2:$A$29,_xlfn.XLOOKUP(E$32,$B$1:$O$1,$B$2:$O$29)),IF(_xlpm.result&lt;0,"",_xlpm.result))</f>
        <v>19</v>
      </c>
      <c r="F89" s="1" cm="1">
        <f t="array" ref="F89">_xlfn.LET(_xlpm.result,10*_xlfn.XLOOKUP($A89,$A$2:$A$29,_xlfn.XLOOKUP(F$32,$B$1:$O$1,$B$2:$O$29)),IF(_xlpm.result&lt;0,"",_xlpm.result))</f>
        <v>77</v>
      </c>
      <c r="G89" s="1" t="str" cm="1">
        <f t="array" ref="G89">_xlfn.LET(_xlpm.result,10*_xlfn.XLOOKUP($A89,$A$2:$A$29,_xlfn.XLOOKUP(G$32,$B$1:$O$1,$B$2:$O$29)),IF(_xlpm.result&lt;0,"",_xlpm.result))</f>
        <v/>
      </c>
      <c r="H89" s="1" cm="1">
        <f t="array" ref="H89">_xlfn.LET(_xlpm.result,10*_xlfn.XLOOKUP($A89,$A$2:$A$29,_xlfn.XLOOKUP(H$32,$B$1:$O$1,$B$2:$O$29)),IF(_xlpm.result&lt;0,"",_xlpm.result))</f>
        <v>28</v>
      </c>
      <c r="I89" s="1" cm="1">
        <f t="array" ref="I89">_xlfn.LET(_xlpm.result,10*_xlfn.XLOOKUP($A89,$A$2:$A$29,_xlfn.XLOOKUP(I$32,$B$1:$O$1,$B$2:$O$29)),IF(_xlpm.result&lt;0,"",_xlpm.result))</f>
        <v>63.999999999999901</v>
      </c>
      <c r="J89" s="1" cm="1">
        <f t="array" ref="J89">_xlfn.LET(_xlpm.result,10*_xlfn.XLOOKUP($A89,$A$2:$A$29,_xlfn.XLOOKUP(J$32,$B$1:$O$1,$B$2:$O$29)),IF(_xlpm.result&lt;0,"",_xlpm.result))</f>
        <v>58.999999999999901</v>
      </c>
      <c r="K89" s="1" cm="1">
        <f t="array" ref="K89">_xlfn.LET(_xlpm.result,10*_xlfn.XLOOKUP($A89,$A$2:$A$29,_xlfn.XLOOKUP(K$32,$B$1:$O$1,$B$2:$O$29)),IF(_xlpm.result&lt;0,"",_xlpm.result))</f>
        <v>0</v>
      </c>
      <c r="L89" s="12" cm="1">
        <f t="array" ref="L89">_xlfn.LET(_xlpm.result,10*_xlfn.XLOOKUP($A89,$A$2:$A$29,_xlfn.XLOOKUP(L$32,$B$1:$O$1,$B$2:$O$29)),IF(_xlpm.result&lt;0,"",_xlpm.result))</f>
        <v>108</v>
      </c>
      <c r="M89" s="1" cm="1">
        <f t="array" ref="M89">_xlfn.LET(_xlpm.result,10*_xlfn.XLOOKUP($A89,$A$2:$A$29,_xlfn.XLOOKUP(M$32,$B$1:$O$1,$B$2:$O$29)),IF(_xlpm.result&lt;0,"",_xlpm.result))</f>
        <v>5</v>
      </c>
      <c r="N89" s="1" cm="1">
        <f t="array" ref="N89">_xlfn.LET(_xlpm.result,10*_xlfn.XLOOKUP($A89,$A$2:$A$29,_xlfn.XLOOKUP(N$32,$B$1:$O$1,$B$2:$O$29)),IF(_xlpm.result&lt;0,"",_xlpm.result))</f>
        <v>30</v>
      </c>
      <c r="O89" s="1" cm="1">
        <f t="array" ref="O89">_xlfn.LET(_xlpm.result,10*_xlfn.XLOOKUP($A89,$A$2:$A$29,_xlfn.XLOOKUP(O$32,$B$1:$O$1,$B$2:$O$29)),IF(_xlpm.result&lt;0,"",_xlpm.result))</f>
        <v>9</v>
      </c>
      <c r="P89" s="10">
        <f t="shared" si="2"/>
        <v>108</v>
      </c>
      <c r="Q89">
        <v>6</v>
      </c>
    </row>
    <row r="90" spans="1:18" ht="21" x14ac:dyDescent="0.35">
      <c r="A90" t="s">
        <v>30</v>
      </c>
      <c r="B90" s="1" cm="1">
        <f t="array" ref="B90">_xlfn.LET(_xlpm.result,10*_xlfn.XLOOKUP($A90,$A$2:$A$29,_xlfn.XLOOKUP(B$32,$B$1:$O$1,$B$2:$O$29)),IF(_xlpm.result&lt;0,"",_xlpm.result))</f>
        <v>0</v>
      </c>
      <c r="C90" s="12" cm="1">
        <f t="array" ref="C90">_xlfn.LET(_xlpm.result,10*_xlfn.XLOOKUP($A90,$A$2:$A$29,_xlfn.XLOOKUP(C$32,$B$1:$O$1,$B$2:$O$29)),IF(_xlpm.result&lt;0,"",_xlpm.result))</f>
        <v>113.99999999999901</v>
      </c>
      <c r="D90" s="1" cm="1">
        <f t="array" ref="D90">_xlfn.LET(_xlpm.result,10*_xlfn.XLOOKUP($A90,$A$2:$A$29,_xlfn.XLOOKUP(D$32,$B$1:$O$1,$B$2:$O$29)),IF(_xlpm.result&lt;0,"",_xlpm.result))</f>
        <v>56</v>
      </c>
      <c r="E90" s="1" cm="1">
        <f t="array" ref="E90">_xlfn.LET(_xlpm.result,10*_xlfn.XLOOKUP($A90,$A$2:$A$29,_xlfn.XLOOKUP(E$32,$B$1:$O$1,$B$2:$O$29)),IF(_xlpm.result&lt;0,"",_xlpm.result))</f>
        <v>41.999999999999901</v>
      </c>
      <c r="F90" s="1" cm="1">
        <f t="array" ref="F90">_xlfn.LET(_xlpm.result,10*_xlfn.XLOOKUP($A90,$A$2:$A$29,_xlfn.XLOOKUP(F$32,$B$1:$O$1,$B$2:$O$29)),IF(_xlpm.result&lt;0,"",_xlpm.result))</f>
        <v>92</v>
      </c>
      <c r="G90" s="1" t="str" cm="1">
        <f t="array" ref="G90">_xlfn.LET(_xlpm.result,10*_xlfn.XLOOKUP($A90,$A$2:$A$29,_xlfn.XLOOKUP(G$32,$B$1:$O$1,$B$2:$O$29)),IF(_xlpm.result&lt;0,"",_xlpm.result))</f>
        <v/>
      </c>
      <c r="H90" s="1" cm="1">
        <f t="array" ref="H90">_xlfn.LET(_xlpm.result,10*_xlfn.XLOOKUP($A90,$A$2:$A$29,_xlfn.XLOOKUP(H$32,$B$1:$O$1,$B$2:$O$29)),IF(_xlpm.result&lt;0,"",_xlpm.result))</f>
        <v>105</v>
      </c>
      <c r="I90" s="1" cm="1">
        <f t="array" ref="I90">_xlfn.LET(_xlpm.result,10*_xlfn.XLOOKUP($A90,$A$2:$A$29,_xlfn.XLOOKUP(I$32,$B$1:$O$1,$B$2:$O$29)),IF(_xlpm.result&lt;0,"",_xlpm.result))</f>
        <v>35.999999999999901</v>
      </c>
      <c r="J90" s="1" t="str" cm="1">
        <f t="array" ref="J90">_xlfn.LET(_xlpm.result,10*_xlfn.XLOOKUP($A90,$A$2:$A$29,_xlfn.XLOOKUP(J$32,$B$1:$O$1,$B$2:$O$29)),IF(_xlpm.result&lt;0,"",_xlpm.result))</f>
        <v/>
      </c>
      <c r="K90" s="1" cm="1">
        <f t="array" ref="K90">_xlfn.LET(_xlpm.result,10*_xlfn.XLOOKUP($A90,$A$2:$A$29,_xlfn.XLOOKUP(K$32,$B$1:$O$1,$B$2:$O$29)),IF(_xlpm.result&lt;0,"",_xlpm.result))</f>
        <v>58</v>
      </c>
      <c r="L90" s="1" cm="1">
        <f t="array" ref="L90">_xlfn.LET(_xlpm.result,10*_xlfn.XLOOKUP($A90,$A$2:$A$29,_xlfn.XLOOKUP(L$32,$B$1:$O$1,$B$2:$O$29)),IF(_xlpm.result&lt;0,"",_xlpm.result))</f>
        <v>23</v>
      </c>
      <c r="M90" s="1" cm="1">
        <f t="array" ref="M90">_xlfn.LET(_xlpm.result,10*_xlfn.XLOOKUP($A90,$A$2:$A$29,_xlfn.XLOOKUP(M$32,$B$1:$O$1,$B$2:$O$29)),IF(_xlpm.result&lt;0,"",_xlpm.result))</f>
        <v>58</v>
      </c>
      <c r="N90" s="1" cm="1">
        <f t="array" ref="N90">_xlfn.LET(_xlpm.result,10*_xlfn.XLOOKUP($A90,$A$2:$A$29,_xlfn.XLOOKUP(N$32,$B$1:$O$1,$B$2:$O$29)),IF(_xlpm.result&lt;0,"",_xlpm.result))</f>
        <v>41</v>
      </c>
      <c r="O90" s="1" cm="1">
        <f t="array" ref="O90">_xlfn.LET(_xlpm.result,10*_xlfn.XLOOKUP($A90,$A$2:$A$29,_xlfn.XLOOKUP(O$32,$B$1:$O$1,$B$2:$O$29)),IF(_xlpm.result&lt;0,"",_xlpm.result))</f>
        <v>35.999999999999901</v>
      </c>
      <c r="P90" s="10">
        <f t="shared" si="2"/>
        <v>113.99999999999901</v>
      </c>
      <c r="Q90">
        <v>5</v>
      </c>
    </row>
    <row r="91" spans="1:18" s="16" customFormat="1" ht="21" x14ac:dyDescent="0.35">
      <c r="A91" s="16" t="s">
        <v>22</v>
      </c>
      <c r="B91" s="17" cm="1">
        <f t="array" ref="B91">_xlfn.LET(_xlpm.result,10*_xlfn.XLOOKUP($A91,$A$2:$A$29,_xlfn.XLOOKUP(B$32,$B$1:$O$1,$B$2:$O$29)),IF(_xlpm.result&lt;0,"",_xlpm.result))</f>
        <v>55</v>
      </c>
      <c r="C91" s="17" cm="1">
        <f t="array" ref="C91">_xlfn.LET(_xlpm.result,10*_xlfn.XLOOKUP($A91,$A$2:$A$29,_xlfn.XLOOKUP(C$32,$B$1:$O$1,$B$2:$O$29)),IF(_xlpm.result&lt;0,"",_xlpm.result))</f>
        <v>69</v>
      </c>
      <c r="D91" s="17" cm="1">
        <f t="array" ref="D91">_xlfn.LET(_xlpm.result,10*_xlfn.XLOOKUP($A91,$A$2:$A$29,_xlfn.XLOOKUP(D$32,$B$1:$O$1,$B$2:$O$29)),IF(_xlpm.result&lt;0,"",_xlpm.result))</f>
        <v>0</v>
      </c>
      <c r="E91" s="17" cm="1">
        <f t="array" ref="E91">_xlfn.LET(_xlpm.result,10*_xlfn.XLOOKUP($A91,$A$2:$A$29,_xlfn.XLOOKUP(E$32,$B$1:$O$1,$B$2:$O$29)),IF(_xlpm.result&lt;0,"",_xlpm.result))</f>
        <v>95</v>
      </c>
      <c r="F91" s="17" t="str" cm="1">
        <f t="array" ref="F91">_xlfn.LET(_xlpm.result,10*_xlfn.XLOOKUP($A91,$A$2:$A$29,_xlfn.XLOOKUP(F$32,$B$1:$O$1,$B$2:$O$29)),IF(_xlpm.result&lt;0,"",_xlpm.result))</f>
        <v/>
      </c>
      <c r="G91" s="21" cm="1">
        <f t="array" ref="G91">_xlfn.LET(_xlpm.result,10*_xlfn.XLOOKUP($A91,$A$2:$A$29,_xlfn.XLOOKUP(G$32,$B$1:$O$1,$B$2:$O$29)),IF(_xlpm.result&lt;0,"",_xlpm.result))</f>
        <v>83</v>
      </c>
      <c r="H91" s="17" cm="1">
        <f t="array" ref="H91">_xlfn.LET(_xlpm.result,10*_xlfn.XLOOKUP($A91,$A$2:$A$29,_xlfn.XLOOKUP(H$32,$B$1:$O$1,$B$2:$O$29)),IF(_xlpm.result&lt;0,"",_xlpm.result))</f>
        <v>41</v>
      </c>
      <c r="I91" s="17" cm="1">
        <f t="array" ref="I91">_xlfn.LET(_xlpm.result,10*_xlfn.XLOOKUP($A91,$A$2:$A$29,_xlfn.XLOOKUP(I$32,$B$1:$O$1,$B$2:$O$29)),IF(_xlpm.result&lt;0,"",_xlpm.result))</f>
        <v>50</v>
      </c>
      <c r="J91" s="17" cm="1">
        <f t="array" ref="J91">_xlfn.LET(_xlpm.result,10*_xlfn.XLOOKUP($A91,$A$2:$A$29,_xlfn.XLOOKUP(J$32,$B$1:$O$1,$B$2:$O$29)),IF(_xlpm.result&lt;0,"",_xlpm.result))</f>
        <v>45</v>
      </c>
      <c r="K91" s="17" cm="1">
        <f t="array" ref="K91">_xlfn.LET(_xlpm.result,10*_xlfn.XLOOKUP($A91,$A$2:$A$29,_xlfn.XLOOKUP(K$32,$B$1:$O$1,$B$2:$O$29)),IF(_xlpm.result&lt;0,"",_xlpm.result))</f>
        <v>117</v>
      </c>
      <c r="L91" s="17" cm="1">
        <f t="array" ref="L91">_xlfn.LET(_xlpm.result,10*_xlfn.XLOOKUP($A91,$A$2:$A$29,_xlfn.XLOOKUP(L$32,$B$1:$O$1,$B$2:$O$29)),IF(_xlpm.result&lt;0,"",_xlpm.result))</f>
        <v>55</v>
      </c>
      <c r="M91" s="17" cm="1">
        <f t="array" ref="M91">_xlfn.LET(_xlpm.result,10*_xlfn.XLOOKUP($A91,$A$2:$A$29,_xlfn.XLOOKUP(M$32,$B$1:$O$1,$B$2:$O$29)),IF(_xlpm.result&lt;0,"",_xlpm.result))</f>
        <v>90</v>
      </c>
      <c r="N91" s="17" cm="1">
        <f t="array" ref="N91">_xlfn.LET(_xlpm.result,10*_xlfn.XLOOKUP($A91,$A$2:$A$29,_xlfn.XLOOKUP(N$32,$B$1:$O$1,$B$2:$O$29)),IF(_xlpm.result&lt;0,"",_xlpm.result))</f>
        <v>1</v>
      </c>
      <c r="O91" s="17" cm="1">
        <f t="array" ref="O91">_xlfn.LET(_xlpm.result,10*_xlfn.XLOOKUP($A91,$A$2:$A$29,_xlfn.XLOOKUP(O$32,$B$1:$O$1,$B$2:$O$29)),IF(_xlpm.result&lt;0,"",_xlpm.result))</f>
        <v>96</v>
      </c>
      <c r="P91" s="19">
        <f t="shared" si="2"/>
        <v>117</v>
      </c>
      <c r="Q91" s="16">
        <v>4</v>
      </c>
    </row>
    <row r="92" spans="1:18" ht="21" x14ac:dyDescent="0.35">
      <c r="A92" t="s">
        <v>36</v>
      </c>
      <c r="B92" s="1" cm="1">
        <f t="array" ref="B92">_xlfn.LET(_xlpm.result,10*_xlfn.XLOOKUP($A92,$A$2:$A$29,_xlfn.XLOOKUP(B$32,$B$1:$O$1,$B$2:$O$29)),IF(_xlpm.result&lt;0,"",_xlpm.result))</f>
        <v>17.999999999999901</v>
      </c>
      <c r="C92" s="1" cm="1">
        <f t="array" ref="C92">_xlfn.LET(_xlpm.result,10*_xlfn.XLOOKUP($A92,$A$2:$A$29,_xlfn.XLOOKUP(C$32,$B$1:$O$1,$B$2:$O$29)),IF(_xlpm.result&lt;0,"",_xlpm.result))</f>
        <v>68</v>
      </c>
      <c r="D92" s="1" cm="1">
        <f t="array" ref="D92">_xlfn.LET(_xlpm.result,10*_xlfn.XLOOKUP($A92,$A$2:$A$29,_xlfn.XLOOKUP(D$32,$B$1:$O$1,$B$2:$O$29)),IF(_xlpm.result&lt;0,"",_xlpm.result))</f>
        <v>20.999999999999901</v>
      </c>
      <c r="E92" s="1" cm="1">
        <f t="array" ref="E92">_xlfn.LET(_xlpm.result,10*_xlfn.XLOOKUP($A92,$A$2:$A$29,_xlfn.XLOOKUP(E$32,$B$1:$O$1,$B$2:$O$29)),IF(_xlpm.result&lt;0,"",_xlpm.result))</f>
        <v>24</v>
      </c>
      <c r="F92" s="12" cm="1">
        <f t="array" ref="F92">_xlfn.LET(_xlpm.result,10*_xlfn.XLOOKUP($A92,$A$2:$A$29,_xlfn.XLOOKUP(F$32,$B$1:$O$1,$B$2:$O$29)),IF(_xlpm.result&lt;0,"",_xlpm.result))</f>
        <v>124</v>
      </c>
      <c r="G92" s="1" cm="1">
        <f t="array" ref="G92">_xlfn.LET(_xlpm.result,10*_xlfn.XLOOKUP($A92,$A$2:$A$29,_xlfn.XLOOKUP(G$32,$B$1:$O$1,$B$2:$O$29)),IF(_xlpm.result&lt;0,"",_xlpm.result))</f>
        <v>30</v>
      </c>
      <c r="H92" s="1" cm="1">
        <f t="array" ref="H92">_xlfn.LET(_xlpm.result,10*_xlfn.XLOOKUP($A92,$A$2:$A$29,_xlfn.XLOOKUP(H$32,$B$1:$O$1,$B$2:$O$29)),IF(_xlpm.result&lt;0,"",_xlpm.result))</f>
        <v>39</v>
      </c>
      <c r="I92" s="1" cm="1">
        <f t="array" ref="I92">_xlfn.LET(_xlpm.result,10*_xlfn.XLOOKUP($A92,$A$2:$A$29,_xlfn.XLOOKUP(I$32,$B$1:$O$1,$B$2:$O$29)),IF(_xlpm.result&lt;0,"",_xlpm.result))</f>
        <v>0</v>
      </c>
      <c r="J92" s="1" cm="1">
        <f t="array" ref="J92">_xlfn.LET(_xlpm.result,10*_xlfn.XLOOKUP($A92,$A$2:$A$29,_xlfn.XLOOKUP(J$32,$B$1:$O$1,$B$2:$O$29)),IF(_xlpm.result&lt;0,"",_xlpm.result))</f>
        <v>61</v>
      </c>
      <c r="K92" s="1" t="str" cm="1">
        <f t="array" ref="K92">_xlfn.LET(_xlpm.result,10*_xlfn.XLOOKUP($A92,$A$2:$A$29,_xlfn.XLOOKUP(K$32,$B$1:$O$1,$B$2:$O$29)),IF(_xlpm.result&lt;0,"",_xlpm.result))</f>
        <v/>
      </c>
      <c r="L92" s="1" t="str" cm="1">
        <f t="array" ref="L92">_xlfn.LET(_xlpm.result,10*_xlfn.XLOOKUP($A92,$A$2:$A$29,_xlfn.XLOOKUP(L$32,$B$1:$O$1,$B$2:$O$29)),IF(_xlpm.result&lt;0,"",_xlpm.result))</f>
        <v/>
      </c>
      <c r="M92" s="1" cm="1">
        <f t="array" ref="M92">_xlfn.LET(_xlpm.result,10*_xlfn.XLOOKUP($A92,$A$2:$A$29,_xlfn.XLOOKUP(M$32,$B$1:$O$1,$B$2:$O$29)),IF(_xlpm.result&lt;0,"",_xlpm.result))</f>
        <v>30</v>
      </c>
      <c r="N92" s="1" cm="1">
        <f t="array" ref="N92">_xlfn.LET(_xlpm.result,10*_xlfn.XLOOKUP($A92,$A$2:$A$29,_xlfn.XLOOKUP(N$32,$B$1:$O$1,$B$2:$O$29)),IF(_xlpm.result&lt;0,"",_xlpm.result))</f>
        <v>35</v>
      </c>
      <c r="O92" s="1" cm="1">
        <f t="array" ref="O92">_xlfn.LET(_xlpm.result,10*_xlfn.XLOOKUP($A92,$A$2:$A$29,_xlfn.XLOOKUP(O$32,$B$1:$O$1,$B$2:$O$29)),IF(_xlpm.result&lt;0,"",_xlpm.result))</f>
        <v>11</v>
      </c>
      <c r="P92" s="10">
        <f t="shared" si="2"/>
        <v>124</v>
      </c>
      <c r="Q92">
        <v>3</v>
      </c>
    </row>
    <row r="93" spans="1:18" ht="21" x14ac:dyDescent="0.35">
      <c r="A93" t="s">
        <v>29</v>
      </c>
      <c r="B93" s="12" cm="1">
        <f t="array" ref="B93">_xlfn.LET(_xlpm.result,10*_xlfn.XLOOKUP($A93,$A$2:$A$29,_xlfn.XLOOKUP(B$32,$B$1:$O$1,$B$2:$O$29)),IF(_xlpm.result&lt;0,"",_xlpm.result))</f>
        <v>125</v>
      </c>
      <c r="C93" s="1" t="str" cm="1">
        <f t="array" ref="C93">_xlfn.LET(_xlpm.result,10*_xlfn.XLOOKUP($A93,$A$2:$A$29,_xlfn.XLOOKUP(C$32,$B$1:$O$1,$B$2:$O$29)),IF(_xlpm.result&lt;0,"",_xlpm.result))</f>
        <v/>
      </c>
      <c r="D93" s="1" cm="1">
        <f t="array" ref="D93">_xlfn.LET(_xlpm.result,10*_xlfn.XLOOKUP($A93,$A$2:$A$29,_xlfn.XLOOKUP(D$32,$B$1:$O$1,$B$2:$O$29)),IF(_xlpm.result&lt;0,"",_xlpm.result))</f>
        <v>49</v>
      </c>
      <c r="E93" s="1" cm="1">
        <f t="array" ref="E93">_xlfn.LET(_xlpm.result,10*_xlfn.XLOOKUP($A93,$A$2:$A$29,_xlfn.XLOOKUP(E$32,$B$1:$O$1,$B$2:$O$29)),IF(_xlpm.result&lt;0,"",_xlpm.result))</f>
        <v>0</v>
      </c>
      <c r="F93" s="1" cm="1">
        <f t="array" ref="F93">_xlfn.LET(_xlpm.result,10*_xlfn.XLOOKUP($A93,$A$2:$A$29,_xlfn.XLOOKUP(F$32,$B$1:$O$1,$B$2:$O$29)),IF(_xlpm.result&lt;0,"",_xlpm.result))</f>
        <v>47</v>
      </c>
      <c r="G93" s="1" cm="1">
        <f t="array" ref="G93">_xlfn.LET(_xlpm.result,10*_xlfn.XLOOKUP($A93,$A$2:$A$29,_xlfn.XLOOKUP(G$32,$B$1:$O$1,$B$2:$O$29)),IF(_xlpm.result&lt;0,"",_xlpm.result))</f>
        <v>41</v>
      </c>
      <c r="H93" s="1" cm="1">
        <f t="array" ref="H93">_xlfn.LET(_xlpm.result,10*_xlfn.XLOOKUP($A93,$A$2:$A$29,_xlfn.XLOOKUP(H$32,$B$1:$O$1,$B$2:$O$29)),IF(_xlpm.result&lt;0,"",_xlpm.result))</f>
        <v>9</v>
      </c>
      <c r="I93" s="1" cm="1">
        <f t="array" ref="I93">_xlfn.LET(_xlpm.result,10*_xlfn.XLOOKUP($A93,$A$2:$A$29,_xlfn.XLOOKUP(I$32,$B$1:$O$1,$B$2:$O$29)),IF(_xlpm.result&lt;0,"",_xlpm.result))</f>
        <v>116</v>
      </c>
      <c r="J93" s="1" cm="1">
        <f t="array" ref="J93">_xlfn.LET(_xlpm.result,10*_xlfn.XLOOKUP($A93,$A$2:$A$29,_xlfn.XLOOKUP(J$32,$B$1:$O$1,$B$2:$O$29)),IF(_xlpm.result&lt;0,"",_xlpm.result))</f>
        <v>11</v>
      </c>
      <c r="K93" s="1" cm="1">
        <f t="array" ref="K93">_xlfn.LET(_xlpm.result,10*_xlfn.XLOOKUP($A93,$A$2:$A$29,_xlfn.XLOOKUP(K$32,$B$1:$O$1,$B$2:$O$29)),IF(_xlpm.result&lt;0,"",_xlpm.result))</f>
        <v>53</v>
      </c>
      <c r="L93" s="1" cm="1">
        <f t="array" ref="L93">_xlfn.LET(_xlpm.result,10*_xlfn.XLOOKUP($A93,$A$2:$A$29,_xlfn.XLOOKUP(L$32,$B$1:$O$1,$B$2:$O$29)),IF(_xlpm.result&lt;0,"",_xlpm.result))</f>
        <v>28</v>
      </c>
      <c r="M93" s="1" cm="1">
        <f t="array" ref="M93">_xlfn.LET(_xlpm.result,10*_xlfn.XLOOKUP($A93,$A$2:$A$29,_xlfn.XLOOKUP(M$32,$B$1:$O$1,$B$2:$O$29)),IF(_xlpm.result&lt;0,"",_xlpm.result))</f>
        <v>53</v>
      </c>
      <c r="N93" s="1" cm="1">
        <f t="array" ref="N93">_xlfn.LET(_xlpm.result,10*_xlfn.XLOOKUP($A93,$A$2:$A$29,_xlfn.XLOOKUP(N$32,$B$1:$O$1,$B$2:$O$29)),IF(_xlpm.result&lt;0,"",_xlpm.result))</f>
        <v>47</v>
      </c>
      <c r="O93" s="1" cm="1">
        <f t="array" ref="O93">_xlfn.LET(_xlpm.result,10*_xlfn.XLOOKUP($A93,$A$2:$A$29,_xlfn.XLOOKUP(O$32,$B$1:$O$1,$B$2:$O$29)),IF(_xlpm.result&lt;0,"",_xlpm.result))</f>
        <v>69</v>
      </c>
      <c r="P93" s="10">
        <f t="shared" si="2"/>
        <v>125</v>
      </c>
      <c r="Q93">
        <v>2</v>
      </c>
    </row>
    <row r="94" spans="1:18" s="16" customFormat="1" ht="21" x14ac:dyDescent="0.35">
      <c r="A94" s="16" t="s">
        <v>34</v>
      </c>
      <c r="B94" s="17" cm="1">
        <f t="array" ref="B94">_xlfn.LET(_xlpm.result,10*_xlfn.XLOOKUP($A94,$A$2:$A$29,_xlfn.XLOOKUP(B$32,$B$1:$O$1,$B$2:$O$29)),IF(_xlpm.result&lt;0,"",_xlpm.result))</f>
        <v>66</v>
      </c>
      <c r="C94" s="17" cm="1">
        <f t="array" ref="C94">_xlfn.LET(_xlpm.result,10*_xlfn.XLOOKUP($A94,$A$2:$A$29,_xlfn.XLOOKUP(C$32,$B$1:$O$1,$B$2:$O$29)),IF(_xlpm.result&lt;0,"",_xlpm.result))</f>
        <v>3.9999999999999902</v>
      </c>
      <c r="D94" s="17" cm="1">
        <f t="array" ref="D94">_xlfn.LET(_xlpm.result,10*_xlfn.XLOOKUP($A94,$A$2:$A$29,_xlfn.XLOOKUP(D$32,$B$1:$O$1,$B$2:$O$29)),IF(_xlpm.result&lt;0,"",_xlpm.result))</f>
        <v>88</v>
      </c>
      <c r="E94" s="17" cm="1">
        <f t="array" ref="E94">_xlfn.LET(_xlpm.result,10*_xlfn.XLOOKUP($A94,$A$2:$A$29,_xlfn.XLOOKUP(E$32,$B$1:$O$1,$B$2:$O$29)),IF(_xlpm.result&lt;0,"",_xlpm.result))</f>
        <v>45</v>
      </c>
      <c r="F94" s="17" cm="1">
        <f t="array" ref="F94">_xlfn.LET(_xlpm.result,10*_xlfn.XLOOKUP($A94,$A$2:$A$29,_xlfn.XLOOKUP(F$32,$B$1:$O$1,$B$2:$O$29)),IF(_xlpm.result&lt;0,"",_xlpm.result))</f>
        <v>11.999999999999901</v>
      </c>
      <c r="G94" s="17" cm="1">
        <f t="array" ref="G94">_xlfn.LET(_xlpm.result,10*_xlfn.XLOOKUP($A94,$A$2:$A$29,_xlfn.XLOOKUP(G$32,$B$1:$O$1,$B$2:$O$29)),IF(_xlpm.result&lt;0,"",_xlpm.result))</f>
        <v>0</v>
      </c>
      <c r="H94" s="17" cm="1">
        <f t="array" ref="H94">_xlfn.LET(_xlpm.result,10*_xlfn.XLOOKUP($A94,$A$2:$A$29,_xlfn.XLOOKUP(H$32,$B$1:$O$1,$B$2:$O$29)),IF(_xlpm.result&lt;0,"",_xlpm.result))</f>
        <v>38</v>
      </c>
      <c r="I94" s="17" cm="1">
        <f t="array" ref="I94">_xlfn.LET(_xlpm.result,10*_xlfn.XLOOKUP($A94,$A$2:$A$29,_xlfn.XLOOKUP(I$32,$B$1:$O$1,$B$2:$O$29)),IF(_xlpm.result&lt;0,"",_xlpm.result))</f>
        <v>48</v>
      </c>
      <c r="J94" s="17" cm="1">
        <f t="array" ref="J94">_xlfn.LET(_xlpm.result,10*_xlfn.XLOOKUP($A94,$A$2:$A$29,_xlfn.XLOOKUP(J$32,$B$1:$O$1,$B$2:$O$29)),IF(_xlpm.result&lt;0,"",_xlpm.result))</f>
        <v>56.999999999999901</v>
      </c>
      <c r="K94" s="17" cm="1">
        <f t="array" ref="K94">_xlfn.LET(_xlpm.result,10*_xlfn.XLOOKUP($A94,$A$2:$A$29,_xlfn.XLOOKUP(K$32,$B$1:$O$1,$B$2:$O$29)),IF(_xlpm.result&lt;0,"",_xlpm.result))</f>
        <v>61.999999999999901</v>
      </c>
      <c r="L94" s="17" cm="1">
        <f t="array" ref="L94">_xlfn.LET(_xlpm.result,10*_xlfn.XLOOKUP($A94,$A$2:$A$29,_xlfn.XLOOKUP(L$32,$B$1:$O$1,$B$2:$O$29)),IF(_xlpm.result&lt;0,"",_xlpm.result))</f>
        <v>26.999999999999901</v>
      </c>
      <c r="M94" s="21" cm="1">
        <f t="array" ref="M94">_xlfn.LET(_xlpm.result,10*_xlfn.XLOOKUP($A94,$A$2:$A$29,_xlfn.XLOOKUP(M$32,$B$1:$O$1,$B$2:$O$29)),IF(_xlpm.result&lt;0,"",_xlpm.result))</f>
        <v>151</v>
      </c>
      <c r="N94" s="17" cm="1">
        <f t="array" ref="N94">_xlfn.LET(_xlpm.result,10*_xlfn.XLOOKUP($A94,$A$2:$A$29,_xlfn.XLOOKUP(N$32,$B$1:$O$1,$B$2:$O$29)),IF(_xlpm.result&lt;0,"",_xlpm.result))</f>
        <v>38</v>
      </c>
      <c r="O94" s="17" cm="1">
        <f t="array" ref="O94">_xlfn.LET(_xlpm.result,10*_xlfn.XLOOKUP($A94,$A$2:$A$29,_xlfn.XLOOKUP(O$32,$B$1:$O$1,$B$2:$O$29)),IF(_xlpm.result&lt;0,"",_xlpm.result))</f>
        <v>88</v>
      </c>
      <c r="P94" s="19">
        <f t="shared" si="2"/>
        <v>151</v>
      </c>
      <c r="Q94" s="16">
        <v>1</v>
      </c>
    </row>
    <row r="95" spans="1:18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0"/>
    </row>
    <row r="96" spans="1:18" x14ac:dyDescent="0.25">
      <c r="A96" t="s">
        <v>60</v>
      </c>
      <c r="B96">
        <v>125</v>
      </c>
      <c r="C96">
        <v>114</v>
      </c>
      <c r="D96">
        <v>88</v>
      </c>
      <c r="E96">
        <v>107</v>
      </c>
      <c r="F96">
        <v>124</v>
      </c>
      <c r="G96">
        <v>83</v>
      </c>
      <c r="H96">
        <v>72</v>
      </c>
      <c r="I96">
        <v>99</v>
      </c>
      <c r="J96">
        <v>73</v>
      </c>
      <c r="K96">
        <v>70</v>
      </c>
      <c r="L96">
        <v>108</v>
      </c>
      <c r="M96">
        <v>69</v>
      </c>
      <c r="N96">
        <v>58</v>
      </c>
      <c r="O96">
        <v>63</v>
      </c>
      <c r="P96" s="10">
        <f>SUM(B96:O96)</f>
        <v>1253</v>
      </c>
      <c r="Q96">
        <f>MIN(B96:O96)</f>
        <v>58</v>
      </c>
      <c r="R96" s="23">
        <f>AVERAGE(B96:O96)</f>
        <v>89.5</v>
      </c>
    </row>
    <row r="97" spans="1:18" x14ac:dyDescent="0.25">
      <c r="A97" t="s">
        <v>61</v>
      </c>
      <c r="B97">
        <v>125</v>
      </c>
      <c r="C97">
        <v>114</v>
      </c>
      <c r="D97">
        <v>84</v>
      </c>
      <c r="E97">
        <v>107</v>
      </c>
      <c r="F97">
        <v>124</v>
      </c>
      <c r="G97">
        <v>83</v>
      </c>
      <c r="H97">
        <v>72</v>
      </c>
      <c r="I97">
        <v>99</v>
      </c>
      <c r="J97">
        <v>73</v>
      </c>
      <c r="K97">
        <v>70</v>
      </c>
      <c r="L97">
        <v>108</v>
      </c>
      <c r="M97">
        <v>151</v>
      </c>
      <c r="N97">
        <v>58</v>
      </c>
      <c r="O97">
        <v>85</v>
      </c>
      <c r="P97" s="10">
        <f>SUM(B97:O97)</f>
        <v>1353</v>
      </c>
      <c r="Q97">
        <f>MIN(B97:O97)</f>
        <v>58</v>
      </c>
      <c r="R97" s="23">
        <f>AVERAGE(B97:O97)</f>
        <v>96.642857142857139</v>
      </c>
    </row>
    <row r="99" spans="1:18" x14ac:dyDescent="0.25">
      <c r="A99" t="s">
        <v>62</v>
      </c>
      <c r="B99">
        <f>B97-B96</f>
        <v>0</v>
      </c>
      <c r="C99">
        <f t="shared" ref="C99:R99" si="3">C97-C96</f>
        <v>0</v>
      </c>
      <c r="D99">
        <f t="shared" si="3"/>
        <v>-4</v>
      </c>
      <c r="E99">
        <f t="shared" si="3"/>
        <v>0</v>
      </c>
      <c r="F99">
        <f t="shared" si="3"/>
        <v>0</v>
      </c>
      <c r="G99">
        <f t="shared" si="3"/>
        <v>0</v>
      </c>
      <c r="H99">
        <f t="shared" si="3"/>
        <v>0</v>
      </c>
      <c r="I99">
        <f t="shared" si="3"/>
        <v>0</v>
      </c>
      <c r="J99">
        <f t="shared" si="3"/>
        <v>0</v>
      </c>
      <c r="K99">
        <f t="shared" si="3"/>
        <v>0</v>
      </c>
      <c r="L99">
        <f t="shared" si="3"/>
        <v>0</v>
      </c>
      <c r="M99">
        <f t="shared" si="3"/>
        <v>82</v>
      </c>
      <c r="N99">
        <f t="shared" si="3"/>
        <v>0</v>
      </c>
      <c r="O99">
        <f t="shared" si="3"/>
        <v>22</v>
      </c>
      <c r="P99">
        <f t="shared" si="3"/>
        <v>100</v>
      </c>
      <c r="Q99">
        <f t="shared" si="3"/>
        <v>0</v>
      </c>
      <c r="R99" s="22">
        <f t="shared" si="3"/>
        <v>7.1428571428571388</v>
      </c>
    </row>
  </sheetData>
  <autoFilter ref="A66:P66" xr:uid="{54BE77A0-7D21-425B-A240-22D447E1FEA2}">
    <sortState xmlns:xlrd2="http://schemas.microsoft.com/office/spreadsheetml/2017/richdata2" ref="A67:P94">
      <sortCondition ref="P66"/>
    </sortState>
  </autoFilter>
  <conditionalFormatting sqref="B2:O2"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O3"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O4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O5"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O6"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O7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O8"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O9"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O10"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O11"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O12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O13"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O14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O15"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O16"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O17"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O18"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O19"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O20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O21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O22"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O23"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O24"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O25"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O26"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O27"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O28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9:O29"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3:O60">
    <cfRule type="colorScale" priority="1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7:O9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5:O95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96:O9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7:O9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3FB2-0039-463D-8986-522727E79F1F}">
  <dimension ref="A1:R96"/>
  <sheetViews>
    <sheetView topLeftCell="A62" zoomScale="85" zoomScaleNormal="85" workbookViewId="0">
      <selection activeCell="D84" sqref="D84"/>
    </sheetView>
  </sheetViews>
  <sheetFormatPr defaultRowHeight="15" x14ac:dyDescent="0.25"/>
  <cols>
    <col min="1" max="1" width="24.28515625" customWidth="1"/>
    <col min="2" max="5" width="9.42578125" bestFit="1" customWidth="1"/>
    <col min="6" max="12" width="10.42578125" bestFit="1" customWidth="1"/>
    <col min="13" max="13" width="10.7109375" bestFit="1" customWidth="1"/>
    <col min="14" max="14" width="10.42578125" bestFit="1" customWidth="1"/>
    <col min="15" max="15" width="10.5703125" bestFit="1" customWidth="1"/>
  </cols>
  <sheetData>
    <row r="1" spans="1:14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5">
      <c r="A2" t="s">
        <v>19</v>
      </c>
      <c r="B2">
        <v>-4.5</v>
      </c>
      <c r="C2">
        <v>-6.2</v>
      </c>
      <c r="E2">
        <v>-3</v>
      </c>
      <c r="F2">
        <v>-3.0999999999999899</v>
      </c>
      <c r="G2">
        <v>-4</v>
      </c>
      <c r="H2">
        <v>-1.5999999999999901</v>
      </c>
      <c r="I2">
        <v>-3.0999999999999899</v>
      </c>
      <c r="J2">
        <v>-4.8</v>
      </c>
      <c r="K2">
        <v>-3.5999999999999899</v>
      </c>
      <c r="L2">
        <v>0.3</v>
      </c>
      <c r="M2">
        <v>5.3999999999999897</v>
      </c>
      <c r="N2">
        <v>-4.8</v>
      </c>
    </row>
    <row r="3" spans="1:14" x14ac:dyDescent="0.25">
      <c r="A3" t="s">
        <v>20</v>
      </c>
      <c r="B3">
        <v>-6.2</v>
      </c>
      <c r="C3">
        <v>-4.3</v>
      </c>
      <c r="D3">
        <v>1.6</v>
      </c>
      <c r="E3">
        <v>-1.8</v>
      </c>
      <c r="F3">
        <v>-4.8</v>
      </c>
      <c r="G3">
        <v>2.5</v>
      </c>
      <c r="H3">
        <v>4.4000000000000004</v>
      </c>
      <c r="I3">
        <v>3.5999999999999899</v>
      </c>
      <c r="J3">
        <v>-3.4</v>
      </c>
      <c r="K3">
        <v>-3.4</v>
      </c>
      <c r="L3">
        <v>-0.3</v>
      </c>
      <c r="M3">
        <v>-5.0999999999999996</v>
      </c>
      <c r="N3">
        <v>4.4000000000000004</v>
      </c>
    </row>
    <row r="4" spans="1:14" x14ac:dyDescent="0.25">
      <c r="A4" t="s">
        <v>21</v>
      </c>
      <c r="B4">
        <v>-4.7</v>
      </c>
      <c r="D4">
        <v>-0.2</v>
      </c>
      <c r="E4">
        <v>2</v>
      </c>
      <c r="F4">
        <v>-0.6</v>
      </c>
      <c r="G4">
        <v>2.1</v>
      </c>
      <c r="H4">
        <v>3.9999999999999898</v>
      </c>
      <c r="I4">
        <v>5.5</v>
      </c>
      <c r="J4">
        <v>-1.8</v>
      </c>
      <c r="K4">
        <v>5.5</v>
      </c>
      <c r="L4">
        <v>-1.4</v>
      </c>
      <c r="M4">
        <v>-6.1</v>
      </c>
      <c r="N4">
        <v>-1.8</v>
      </c>
    </row>
    <row r="5" spans="1:14" x14ac:dyDescent="0.25">
      <c r="A5" t="s">
        <v>22</v>
      </c>
      <c r="B5">
        <v>6.2</v>
      </c>
      <c r="D5">
        <v>8.6999999999999993</v>
      </c>
      <c r="E5">
        <v>-1.8999999999999899</v>
      </c>
      <c r="F5">
        <v>7.8</v>
      </c>
      <c r="G5">
        <v>2.8</v>
      </c>
      <c r="H5">
        <v>2.2999999999999998</v>
      </c>
      <c r="I5">
        <v>4</v>
      </c>
      <c r="J5">
        <v>11.3</v>
      </c>
      <c r="K5">
        <v>4.4000000000000004</v>
      </c>
      <c r="L5">
        <v>7.9</v>
      </c>
      <c r="M5">
        <v>0</v>
      </c>
      <c r="N5">
        <v>9.8000000000000007</v>
      </c>
    </row>
    <row r="6" spans="1:14" x14ac:dyDescent="0.25">
      <c r="A6" t="s">
        <v>23</v>
      </c>
      <c r="B6">
        <v>-5.8</v>
      </c>
      <c r="C6">
        <v>1.0999999999999901</v>
      </c>
      <c r="D6">
        <v>-8.6999999999999993</v>
      </c>
      <c r="E6">
        <v>-9</v>
      </c>
      <c r="F6">
        <v>1.9</v>
      </c>
      <c r="G6">
        <v>-2.5</v>
      </c>
      <c r="H6">
        <v>-6.8</v>
      </c>
      <c r="I6">
        <v>-7.6</v>
      </c>
      <c r="K6">
        <v>1.9</v>
      </c>
      <c r="L6">
        <v>-5.9</v>
      </c>
      <c r="M6">
        <v>-5.9</v>
      </c>
      <c r="N6">
        <v>-5.9</v>
      </c>
    </row>
    <row r="7" spans="1:14" x14ac:dyDescent="0.25">
      <c r="A7" t="s">
        <v>24</v>
      </c>
      <c r="B7">
        <v>-4.9000000000000004</v>
      </c>
      <c r="C7">
        <v>5</v>
      </c>
      <c r="D7">
        <v>0.2</v>
      </c>
      <c r="E7">
        <v>5.6999999999999904</v>
      </c>
      <c r="F7">
        <v>5.6</v>
      </c>
      <c r="G7">
        <v>-0.39999999999999902</v>
      </c>
      <c r="H7">
        <v>-1.5999999999999901</v>
      </c>
      <c r="I7">
        <v>-5.6</v>
      </c>
      <c r="J7">
        <v>-5.9</v>
      </c>
      <c r="K7">
        <v>2.2999999999999998</v>
      </c>
      <c r="L7">
        <v>-5.9</v>
      </c>
      <c r="M7">
        <v>-3.69999999999999</v>
      </c>
      <c r="N7">
        <v>-7.1</v>
      </c>
    </row>
    <row r="8" spans="1:14" x14ac:dyDescent="0.25">
      <c r="A8" t="s">
        <v>25</v>
      </c>
      <c r="B8">
        <v>-11.6</v>
      </c>
      <c r="C8">
        <v>-7.3</v>
      </c>
      <c r="D8">
        <v>-1.5</v>
      </c>
      <c r="E8">
        <v>-5.6999999999999904</v>
      </c>
      <c r="G8">
        <v>-7.3</v>
      </c>
      <c r="H8">
        <v>-6.8999999999999897</v>
      </c>
      <c r="I8">
        <v>-5.5</v>
      </c>
      <c r="J8">
        <v>-11.3</v>
      </c>
      <c r="K8">
        <v>-5.5</v>
      </c>
      <c r="L8">
        <v>-3.4999999999999898</v>
      </c>
      <c r="M8">
        <v>-5.3999999999999897</v>
      </c>
      <c r="N8">
        <v>-3.3999999999999901</v>
      </c>
    </row>
    <row r="9" spans="1:14" x14ac:dyDescent="0.25">
      <c r="A9" t="s">
        <v>26</v>
      </c>
      <c r="B9">
        <v>-3.9</v>
      </c>
      <c r="C9">
        <v>-0.1</v>
      </c>
      <c r="D9">
        <v>-3.5</v>
      </c>
      <c r="F9">
        <v>1.8999999999999899</v>
      </c>
      <c r="G9">
        <v>-2.1</v>
      </c>
      <c r="H9">
        <v>0.29999999999999899</v>
      </c>
      <c r="I9">
        <v>-6</v>
      </c>
      <c r="J9">
        <v>4.3999999999999897</v>
      </c>
      <c r="K9">
        <v>-2.2999999999999998</v>
      </c>
      <c r="L9">
        <v>-7.9</v>
      </c>
      <c r="M9">
        <v>-3.9</v>
      </c>
      <c r="N9">
        <v>3.3999999999999901</v>
      </c>
    </row>
    <row r="10" spans="1:14" x14ac:dyDescent="0.25">
      <c r="A10" t="s">
        <v>27</v>
      </c>
      <c r="B10">
        <v>5.8</v>
      </c>
      <c r="C10">
        <v>-2.2000000000000002</v>
      </c>
      <c r="D10">
        <v>-1.49999999999999</v>
      </c>
      <c r="E10">
        <v>3</v>
      </c>
      <c r="G10">
        <v>5.3</v>
      </c>
      <c r="H10">
        <v>-2.9</v>
      </c>
      <c r="I10">
        <v>-4.8</v>
      </c>
      <c r="J10">
        <v>-4.4000000000000004</v>
      </c>
      <c r="K10">
        <v>2.2999999999999998</v>
      </c>
      <c r="L10">
        <v>-0.3</v>
      </c>
      <c r="M10">
        <v>-2.2000000000000002</v>
      </c>
      <c r="N10">
        <v>8.3000000000000007</v>
      </c>
    </row>
    <row r="11" spans="1:14" x14ac:dyDescent="0.25">
      <c r="A11" t="s">
        <v>30</v>
      </c>
      <c r="B11">
        <v>11.6</v>
      </c>
      <c r="C11">
        <v>6.2</v>
      </c>
      <c r="D11">
        <v>4.3</v>
      </c>
      <c r="E11">
        <v>9</v>
      </c>
      <c r="F11">
        <v>0.29999999999999899</v>
      </c>
      <c r="G11">
        <v>11.5</v>
      </c>
      <c r="H11">
        <v>5.5</v>
      </c>
      <c r="I11">
        <v>-1.2</v>
      </c>
      <c r="J11">
        <v>5.9</v>
      </c>
      <c r="K11">
        <v>1.7</v>
      </c>
      <c r="L11">
        <v>5.9</v>
      </c>
      <c r="M11">
        <v>6.1</v>
      </c>
      <c r="N11">
        <v>5.5</v>
      </c>
    </row>
    <row r="12" spans="1:14" x14ac:dyDescent="0.25">
      <c r="A12" t="s">
        <v>33</v>
      </c>
      <c r="B12">
        <v>-1.5</v>
      </c>
      <c r="C12">
        <v>-3.2</v>
      </c>
      <c r="E12">
        <v>3.9</v>
      </c>
      <c r="F12">
        <v>-2</v>
      </c>
      <c r="G12">
        <v>-1.7</v>
      </c>
      <c r="H12">
        <v>1.5999999999999901</v>
      </c>
      <c r="I12">
        <v>8</v>
      </c>
      <c r="J12">
        <v>-2.9</v>
      </c>
      <c r="K12">
        <v>5.5</v>
      </c>
      <c r="L12">
        <v>-2.9</v>
      </c>
      <c r="M12">
        <v>-2.9</v>
      </c>
      <c r="N12">
        <v>8</v>
      </c>
    </row>
    <row r="13" spans="1:14" x14ac:dyDescent="0.25">
      <c r="A13" t="s">
        <v>34</v>
      </c>
      <c r="B13">
        <v>0.39999999999999902</v>
      </c>
      <c r="C13">
        <v>10.1</v>
      </c>
      <c r="D13">
        <v>2.5999999999999899</v>
      </c>
      <c r="E13">
        <v>1.8999999999999899</v>
      </c>
      <c r="G13">
        <v>3.3</v>
      </c>
      <c r="H13">
        <v>3.3</v>
      </c>
      <c r="I13">
        <v>4.8</v>
      </c>
      <c r="J13">
        <v>4.1999999999999904</v>
      </c>
      <c r="K13">
        <v>4.5</v>
      </c>
      <c r="L13">
        <v>14.2</v>
      </c>
      <c r="M13">
        <v>3.3</v>
      </c>
      <c r="N13">
        <v>10.1</v>
      </c>
    </row>
    <row r="14" spans="1:14" x14ac:dyDescent="0.25">
      <c r="A14" t="s">
        <v>35</v>
      </c>
      <c r="B14">
        <v>4.0999999999999996</v>
      </c>
      <c r="C14">
        <v>-10.1</v>
      </c>
      <c r="E14">
        <v>-3.9</v>
      </c>
      <c r="F14">
        <v>-6.8</v>
      </c>
      <c r="G14">
        <v>-5.3</v>
      </c>
      <c r="H14">
        <v>-0.29999999999999899</v>
      </c>
      <c r="I14">
        <v>-5.6</v>
      </c>
      <c r="J14">
        <v>-6.8</v>
      </c>
      <c r="K14">
        <v>-8.1999999999999993</v>
      </c>
      <c r="L14">
        <v>-5.9</v>
      </c>
      <c r="M14">
        <v>3</v>
      </c>
      <c r="N14">
        <v>-10.1</v>
      </c>
    </row>
    <row r="15" spans="1:14" x14ac:dyDescent="0.25">
      <c r="A15" t="s">
        <v>36</v>
      </c>
      <c r="B15">
        <v>5.2</v>
      </c>
      <c r="C15">
        <v>-1.19999999999999</v>
      </c>
      <c r="D15">
        <v>2.6</v>
      </c>
      <c r="E15">
        <v>9.6999999999999993</v>
      </c>
      <c r="F15">
        <v>1.4</v>
      </c>
      <c r="G15">
        <v>1.7</v>
      </c>
      <c r="I15">
        <v>5.6</v>
      </c>
      <c r="J15">
        <v>-2.6</v>
      </c>
      <c r="K15">
        <v>-4.5</v>
      </c>
      <c r="L15">
        <v>0.3</v>
      </c>
      <c r="M15">
        <v>-0.29999999999999899</v>
      </c>
      <c r="N15">
        <v>-1.19999999999999</v>
      </c>
    </row>
    <row r="16" spans="1:14" x14ac:dyDescent="0.25">
      <c r="A16" t="s">
        <v>38</v>
      </c>
      <c r="B16">
        <v>-5.2</v>
      </c>
      <c r="C16">
        <v>0.1</v>
      </c>
      <c r="D16">
        <v>-1.6</v>
      </c>
      <c r="E16">
        <v>-2</v>
      </c>
      <c r="F16">
        <v>-7.8</v>
      </c>
      <c r="G16">
        <v>-7.1</v>
      </c>
      <c r="I16">
        <v>2.8</v>
      </c>
      <c r="J16">
        <v>1.99999999999999</v>
      </c>
      <c r="K16">
        <v>-3.8</v>
      </c>
      <c r="L16">
        <v>3.4999999999999898</v>
      </c>
      <c r="M16">
        <v>-5</v>
      </c>
      <c r="N16">
        <v>-3.4</v>
      </c>
    </row>
    <row r="17" spans="1:18" x14ac:dyDescent="0.25">
      <c r="A17" t="s">
        <v>39</v>
      </c>
      <c r="C17">
        <v>-5.2</v>
      </c>
      <c r="D17">
        <v>-2.6</v>
      </c>
      <c r="E17">
        <v>-6.7</v>
      </c>
      <c r="F17">
        <v>0.6</v>
      </c>
      <c r="G17">
        <v>0.39999999999999902</v>
      </c>
      <c r="H17">
        <v>-5.5</v>
      </c>
      <c r="I17">
        <v>-2.4</v>
      </c>
      <c r="J17">
        <v>-4.5</v>
      </c>
      <c r="K17">
        <v>-2.2999999999999998</v>
      </c>
      <c r="L17">
        <v>6</v>
      </c>
      <c r="M17">
        <v>-6.7</v>
      </c>
      <c r="N17">
        <v>-5.5</v>
      </c>
    </row>
    <row r="18" spans="1:18" x14ac:dyDescent="0.25">
      <c r="A18" t="s">
        <v>40</v>
      </c>
      <c r="B18">
        <v>6.2</v>
      </c>
      <c r="C18">
        <v>7.8999999999999897</v>
      </c>
      <c r="D18">
        <v>3.5</v>
      </c>
      <c r="E18">
        <v>1.8</v>
      </c>
      <c r="F18">
        <v>-1.5999999999999901</v>
      </c>
      <c r="G18">
        <v>5.3999999999999897</v>
      </c>
      <c r="H18">
        <v>6.8999999999999897</v>
      </c>
      <c r="I18">
        <v>6.8</v>
      </c>
      <c r="K18">
        <v>-4.4000000000000004</v>
      </c>
      <c r="L18">
        <v>1.4</v>
      </c>
      <c r="M18">
        <v>5.3999999999999897</v>
      </c>
      <c r="N18">
        <v>3.4</v>
      </c>
    </row>
    <row r="19" spans="1:18" x14ac:dyDescent="0.25">
      <c r="A19" t="s">
        <v>41</v>
      </c>
      <c r="B19">
        <v>-6.2</v>
      </c>
      <c r="C19">
        <v>-5</v>
      </c>
      <c r="D19">
        <v>-7.8</v>
      </c>
      <c r="E19">
        <v>-9.5</v>
      </c>
      <c r="F19">
        <v>-1.9</v>
      </c>
      <c r="H19">
        <v>-4.4000000000000004</v>
      </c>
      <c r="I19">
        <v>-2.8</v>
      </c>
      <c r="J19">
        <v>-7.8</v>
      </c>
      <c r="K19">
        <v>-1.9</v>
      </c>
      <c r="L19">
        <v>-0.8</v>
      </c>
      <c r="M19">
        <v>1.69999999999999</v>
      </c>
      <c r="N19">
        <v>-4.4000000000000004</v>
      </c>
    </row>
    <row r="20" spans="1:18" x14ac:dyDescent="0.25">
      <c r="A20" t="s">
        <v>42</v>
      </c>
      <c r="B20">
        <v>-11.2</v>
      </c>
      <c r="C20">
        <v>-9.8000000000000007</v>
      </c>
      <c r="D20">
        <v>-11.2</v>
      </c>
      <c r="E20">
        <v>-9.3000000000000007</v>
      </c>
      <c r="F20">
        <v>-5.6</v>
      </c>
      <c r="G20">
        <v>-11.5</v>
      </c>
      <c r="H20">
        <v>-12.7</v>
      </c>
      <c r="I20">
        <v>-6.8</v>
      </c>
      <c r="K20">
        <v>-10.5</v>
      </c>
      <c r="L20">
        <v>-6</v>
      </c>
      <c r="M20">
        <v>-3</v>
      </c>
      <c r="N20">
        <v>-8.3000000000000007</v>
      </c>
    </row>
    <row r="21" spans="1:18" x14ac:dyDescent="0.25">
      <c r="A21" t="s">
        <v>43</v>
      </c>
      <c r="B21">
        <v>-8.3999999999999897</v>
      </c>
      <c r="C21">
        <v>-1.0999999999999901</v>
      </c>
      <c r="D21">
        <v>1.5</v>
      </c>
      <c r="F21">
        <v>-1.8999999999999899</v>
      </c>
      <c r="G21">
        <v>-5.3999999999999897</v>
      </c>
      <c r="H21">
        <v>-3.9999999999999898</v>
      </c>
      <c r="I21">
        <v>-3.5999999999999899</v>
      </c>
      <c r="J21">
        <v>-1.99999999999999</v>
      </c>
      <c r="K21">
        <v>-5.5</v>
      </c>
      <c r="L21">
        <v>0.8</v>
      </c>
      <c r="M21">
        <v>-5.3999999999999897</v>
      </c>
      <c r="N21">
        <v>-9.8000000000000007</v>
      </c>
    </row>
    <row r="22" spans="1:18" x14ac:dyDescent="0.25">
      <c r="A22" t="s">
        <v>44</v>
      </c>
      <c r="B22">
        <v>11.2</v>
      </c>
      <c r="C22">
        <v>5.2</v>
      </c>
      <c r="D22">
        <v>11.2</v>
      </c>
      <c r="F22">
        <v>-0.29999999999999899</v>
      </c>
      <c r="G22">
        <v>-1.5</v>
      </c>
      <c r="H22">
        <v>2.9</v>
      </c>
      <c r="I22">
        <v>5.6</v>
      </c>
      <c r="J22">
        <v>2.6</v>
      </c>
      <c r="K22">
        <v>8.1999999999999993</v>
      </c>
      <c r="L22">
        <v>0.7</v>
      </c>
      <c r="M22">
        <v>0</v>
      </c>
      <c r="N22">
        <v>0.7</v>
      </c>
    </row>
    <row r="23" spans="1:18" x14ac:dyDescent="0.25">
      <c r="A23" t="s">
        <v>45</v>
      </c>
      <c r="B23">
        <v>3.9</v>
      </c>
      <c r="C23">
        <v>7.3</v>
      </c>
      <c r="D23">
        <v>-4.3</v>
      </c>
      <c r="E23">
        <v>-2.5999999999999899</v>
      </c>
      <c r="F23">
        <v>-1.4</v>
      </c>
      <c r="G23">
        <v>7.3</v>
      </c>
      <c r="H23">
        <v>1.5999999999999901</v>
      </c>
      <c r="I23">
        <v>-4</v>
      </c>
      <c r="J23">
        <v>1.8</v>
      </c>
      <c r="K23">
        <v>3.8</v>
      </c>
      <c r="L23">
        <v>-5.5</v>
      </c>
      <c r="M23">
        <v>3.9</v>
      </c>
      <c r="N23">
        <v>1.8</v>
      </c>
    </row>
    <row r="24" spans="1:18" x14ac:dyDescent="0.25">
      <c r="A24" t="s">
        <v>46</v>
      </c>
      <c r="B24">
        <v>0.89999999999999902</v>
      </c>
      <c r="C24">
        <v>4.3</v>
      </c>
      <c r="D24">
        <v>0.39999999999999902</v>
      </c>
      <c r="E24">
        <v>9.3000000000000007</v>
      </c>
      <c r="F24">
        <v>-0.8</v>
      </c>
      <c r="G24">
        <v>4</v>
      </c>
      <c r="H24">
        <v>6.8</v>
      </c>
      <c r="I24">
        <v>6</v>
      </c>
      <c r="K24">
        <v>10.399999999999901</v>
      </c>
      <c r="L24">
        <v>-0.5</v>
      </c>
      <c r="M24">
        <v>3.69999999999999</v>
      </c>
      <c r="N24">
        <v>0.89999999999999902</v>
      </c>
      <c r="P24" t="s">
        <v>59</v>
      </c>
    </row>
    <row r="25" spans="1:18" x14ac:dyDescent="0.25">
      <c r="A25" t="s">
        <v>47</v>
      </c>
      <c r="B25">
        <v>1.5</v>
      </c>
      <c r="C25">
        <v>-0.5</v>
      </c>
      <c r="E25">
        <v>-2.1</v>
      </c>
      <c r="F25">
        <v>3.0999999999999899</v>
      </c>
      <c r="G25">
        <v>-1.7</v>
      </c>
      <c r="H25">
        <v>9.5</v>
      </c>
      <c r="I25">
        <v>2.4</v>
      </c>
      <c r="J25">
        <v>3.4</v>
      </c>
      <c r="K25">
        <v>-1.4</v>
      </c>
      <c r="L25">
        <v>-1.7</v>
      </c>
      <c r="M25">
        <v>5.9</v>
      </c>
      <c r="N25">
        <v>-0.89999999999999902</v>
      </c>
    </row>
    <row r="26" spans="1:18" x14ac:dyDescent="0.25">
      <c r="A26" t="s">
        <v>48</v>
      </c>
      <c r="B26">
        <v>-0.89999999999999902</v>
      </c>
      <c r="C26" s="13">
        <v>-4.3</v>
      </c>
      <c r="D26">
        <v>7.8</v>
      </c>
      <c r="F26">
        <v>1.5999999999999901</v>
      </c>
      <c r="G26">
        <v>-2.8</v>
      </c>
      <c r="H26">
        <v>-1.7</v>
      </c>
      <c r="I26">
        <v>3.0999999999999899</v>
      </c>
      <c r="J26">
        <v>7.8</v>
      </c>
      <c r="K26">
        <v>3.4</v>
      </c>
      <c r="L26">
        <v>5.9</v>
      </c>
      <c r="M26">
        <v>5</v>
      </c>
      <c r="N26">
        <v>5.9</v>
      </c>
    </row>
    <row r="27" spans="1:18" x14ac:dyDescent="0.25">
      <c r="A27" t="s">
        <v>49</v>
      </c>
      <c r="B27">
        <v>-4.0999999999999996</v>
      </c>
      <c r="C27">
        <v>-7.8999999999999897</v>
      </c>
      <c r="D27">
        <v>-10.899999999999901</v>
      </c>
      <c r="E27">
        <v>-9.6999999999999993</v>
      </c>
      <c r="G27">
        <v>-10</v>
      </c>
      <c r="H27">
        <v>-9.5</v>
      </c>
      <c r="I27">
        <v>-8</v>
      </c>
      <c r="J27">
        <v>-4.3999999999999897</v>
      </c>
      <c r="K27">
        <v>-10.399999999999901</v>
      </c>
      <c r="L27">
        <v>-14.2</v>
      </c>
      <c r="M27">
        <v>-1.69999999999999</v>
      </c>
      <c r="N27">
        <v>-8</v>
      </c>
    </row>
    <row r="28" spans="1:18" x14ac:dyDescent="0.25">
      <c r="A28" t="s">
        <v>50</v>
      </c>
      <c r="B28">
        <v>4.9000000000000004</v>
      </c>
      <c r="C28">
        <v>2.2000000000000002</v>
      </c>
      <c r="D28">
        <v>-2.5999999999999899</v>
      </c>
      <c r="E28">
        <v>2.1</v>
      </c>
      <c r="F28">
        <v>-2.2000000000000002</v>
      </c>
      <c r="G28">
        <v>7.1</v>
      </c>
      <c r="I28">
        <v>0.7</v>
      </c>
      <c r="J28">
        <v>4.5</v>
      </c>
      <c r="K28">
        <v>10.5</v>
      </c>
      <c r="L28">
        <v>-0.7</v>
      </c>
      <c r="M28">
        <v>2.2000000000000002</v>
      </c>
      <c r="N28">
        <v>-0.7</v>
      </c>
    </row>
    <row r="30" spans="1:1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</row>
    <row r="31" spans="1:18" x14ac:dyDescent="0.25">
      <c r="A31" t="s">
        <v>0</v>
      </c>
      <c r="B31" t="s">
        <v>6</v>
      </c>
      <c r="C31" t="s">
        <v>7</v>
      </c>
      <c r="D31" t="s">
        <v>8</v>
      </c>
      <c r="E31" t="s">
        <v>9</v>
      </c>
      <c r="F31" t="s">
        <v>10</v>
      </c>
      <c r="G31" t="s">
        <v>11</v>
      </c>
      <c r="H31" t="s">
        <v>12</v>
      </c>
      <c r="I31" t="s">
        <v>13</v>
      </c>
      <c r="J31" t="s">
        <v>14</v>
      </c>
      <c r="K31" t="s">
        <v>15</v>
      </c>
      <c r="L31" t="s">
        <v>16</v>
      </c>
      <c r="M31" t="s">
        <v>17</v>
      </c>
      <c r="N31" t="s">
        <v>18</v>
      </c>
      <c r="O31" t="s">
        <v>53</v>
      </c>
      <c r="P31" t="s">
        <v>54</v>
      </c>
    </row>
    <row r="32" spans="1:18" x14ac:dyDescent="0.25">
      <c r="A32" t="s">
        <v>19</v>
      </c>
      <c r="B32" s="1" t="str" cm="1">
        <f t="array" ref="B32">IFERROR(_xlfn.LET(_xlpm.result,RANK(_xlfn.XLOOKUP($A32,$A$2:$A$28,_xlfn.XLOOKUP(B$31,$B$1:$N$1,$B$2:$N$28)),$B$2:$N$28),IF(_xlpm.result&gt;150,"",_xlpm.result)),"")</f>
        <v/>
      </c>
      <c r="C32" s="1" t="str" cm="1">
        <f t="array" ref="C32">IFERROR(_xlfn.LET(_xlpm.result,RANK(_xlfn.XLOOKUP($A32,$A$2:$A$28,_xlfn.XLOOKUP(C$31,$B$1:$N$1,$B$2:$N$28)),$B$2:$N$28),IF(_xlpm.result&gt;150,"",_xlpm.result)),"")</f>
        <v/>
      </c>
      <c r="D32" s="1" cm="1">
        <f t="array" ref="D32">IFERROR(_xlfn.LET(_xlpm.result,RANK(_xlfn.XLOOKUP($A32,$A$2:$A$28,_xlfn.XLOOKUP(D$31,$B$1:$N$1,$B$2:$N$28)),$B$2:$N$28),IF(_xlpm.result&gt;150,"",_xlpm.result)),"")</f>
        <v>147</v>
      </c>
      <c r="E32" s="1" t="str" cm="1">
        <f t="array" ref="E32">IFERROR(_xlfn.LET(_xlpm.result,RANK(_xlfn.XLOOKUP($A32,$A$2:$A$28,_xlfn.XLOOKUP(E$31,$B$1:$N$1,$B$2:$N$28)),$B$2:$N$28),IF(_xlpm.result&gt;150,"",_xlpm.result)),"")</f>
        <v/>
      </c>
      <c r="F32" s="1" t="str" cm="1">
        <f t="array" ref="F32">IFERROR(_xlfn.LET(_xlpm.result,RANK(_xlfn.XLOOKUP($A32,$A$2:$A$28,_xlfn.XLOOKUP(F$31,$B$1:$N$1,$B$2:$N$28)),$B$2:$N$28),IF(_xlpm.result&gt;150,"",_xlpm.result)),"")</f>
        <v/>
      </c>
      <c r="G32" s="1" t="str" cm="1">
        <f t="array" ref="G32">IFERROR(_xlfn.LET(_xlpm.result,RANK(_xlfn.XLOOKUP($A32,$A$2:$A$28,_xlfn.XLOOKUP(G$31,$B$1:$N$1,$B$2:$N$28)),$B$2:$N$28),IF(_xlpm.result&gt;150,"",_xlpm.result)),"")</f>
        <v/>
      </c>
      <c r="H32" s="1" t="str" cm="1">
        <f t="array" ref="H32">IFERROR(_xlfn.LET(_xlpm.result,RANK(_xlfn.XLOOKUP($A32,$A$2:$A$28,_xlfn.XLOOKUP(H$31,$B$1:$N$1,$B$2:$N$28)),$B$2:$N$28),IF(_xlpm.result&gt;150,"",_xlpm.result)),"")</f>
        <v/>
      </c>
      <c r="I32" s="1" t="str" cm="1">
        <f t="array" ref="I32">IFERROR(_xlfn.LET(_xlpm.result,RANK(_xlfn.XLOOKUP($A32,$A$2:$A$28,_xlfn.XLOOKUP(I$31,$B$1:$N$1,$B$2:$N$28)),$B$2:$N$28),IF(_xlpm.result&gt;150,"",_xlpm.result)),"")</f>
        <v/>
      </c>
      <c r="J32" s="1" t="str" cm="1">
        <f t="array" ref="J32">IFERROR(_xlfn.LET(_xlpm.result,RANK(_xlfn.XLOOKUP($A32,$A$2:$A$28,_xlfn.XLOOKUP(J$31,$B$1:$N$1,$B$2:$N$28)),$B$2:$N$28),IF(_xlpm.result&gt;150,"",_xlpm.result)),"")</f>
        <v/>
      </c>
      <c r="K32" s="1" t="str" cm="1">
        <f t="array" ref="K32">IFERROR(_xlfn.LET(_xlpm.result,RANK(_xlfn.XLOOKUP($A32,$A$2:$A$28,_xlfn.XLOOKUP(K$31,$B$1:$N$1,$B$2:$N$28)),$B$2:$N$28),IF(_xlpm.result&gt;150,"",_xlpm.result)),"")</f>
        <v/>
      </c>
      <c r="L32" s="1" cm="1">
        <f t="array" ref="L32">IFERROR(_xlfn.LET(_xlpm.result,RANK(_xlfn.XLOOKUP($A32,$A$2:$A$28,_xlfn.XLOOKUP(L$31,$B$1:$N$1,$B$2:$N$28)),$B$2:$N$28),IF(_xlpm.result&gt;150,"",_xlpm.result)),"")</f>
        <v>141</v>
      </c>
      <c r="M32" s="1" cm="1">
        <f t="array" ref="M32">IFERROR(_xlfn.LET(_xlpm.result,RANK(_xlfn.XLOOKUP($A32,$A$2:$A$28,_xlfn.XLOOKUP(M$31,$B$1:$N$1,$B$2:$N$28)),$B$2:$N$28),IF(_xlpm.result&gt;150,"",_xlpm.result)),"")</f>
        <v>53</v>
      </c>
      <c r="N32" s="1" t="str" cm="1">
        <f t="array" ref="N32">IFERROR(_xlfn.LET(_xlpm.result,RANK(_xlfn.XLOOKUP($A32,$A$2:$A$28,_xlfn.XLOOKUP(N$31,$B$1:$N$1,$B$2:$N$28)),$B$2:$N$28),IF(_xlpm.result&gt;150,"",_xlpm.result)),"")</f>
        <v/>
      </c>
      <c r="O32">
        <f t="shared" ref="O32:O58" si="0">COUNT(B32:N32)</f>
        <v>3</v>
      </c>
      <c r="P32" s="10">
        <f t="shared" ref="P32:P58" si="1">MIN(B32:N32)</f>
        <v>53</v>
      </c>
    </row>
    <row r="33" spans="1:17" x14ac:dyDescent="0.25">
      <c r="A33" t="s">
        <v>20</v>
      </c>
      <c r="B33" s="1" t="str" cm="1">
        <f t="array" ref="B33">IFERROR(_xlfn.LET(_xlpm.result,RANK(_xlfn.XLOOKUP($A33,$A$2:$A$28,_xlfn.XLOOKUP(B$31,$B$1:$N$1,$B$2:$N$28)),$B$2:$N$28),IF(_xlpm.result&gt;150,"",_xlpm.result)),"")</f>
        <v/>
      </c>
      <c r="C33" s="1" t="str" cm="1">
        <f t="array" ref="C33">IFERROR(_xlfn.LET(_xlpm.result,RANK(_xlfn.XLOOKUP($A33,$A$2:$A$28,_xlfn.XLOOKUP(C$31,$B$1:$N$1,$B$2:$N$28)),$B$2:$N$28),IF(_xlpm.result&gt;150,"",_xlpm.result)),"")</f>
        <v/>
      </c>
      <c r="D33" s="1" cm="1">
        <f t="array" ref="D33">IFERROR(_xlfn.LET(_xlpm.result,RANK(_xlfn.XLOOKUP($A33,$A$2:$A$28,_xlfn.XLOOKUP(D$31,$B$1:$N$1,$B$2:$N$28)),$B$2:$N$28),IF(_xlpm.result&gt;150,"",_xlpm.result)),"")</f>
        <v>122</v>
      </c>
      <c r="E33" s="1" t="str" cm="1">
        <f t="array" ref="E33">IFERROR(_xlfn.LET(_xlpm.result,RANK(_xlfn.XLOOKUP($A33,$A$2:$A$28,_xlfn.XLOOKUP(E$31,$B$1:$N$1,$B$2:$N$28)),$B$2:$N$28),IF(_xlpm.result&gt;150,"",_xlpm.result)),"")</f>
        <v/>
      </c>
      <c r="F33" s="1" t="str" cm="1">
        <f t="array" ref="F33">IFERROR(_xlfn.LET(_xlpm.result,RANK(_xlfn.XLOOKUP($A33,$A$2:$A$28,_xlfn.XLOOKUP(F$31,$B$1:$N$1,$B$2:$N$28)),$B$2:$N$28),IF(_xlpm.result&gt;150,"",_xlpm.result)),"")</f>
        <v/>
      </c>
      <c r="G33" s="1" cm="1">
        <f t="array" ref="G33">IFERROR(_xlfn.LET(_xlpm.result,RANK(_xlfn.XLOOKUP($A33,$A$2:$A$28,_xlfn.XLOOKUP(G$31,$B$1:$N$1,$B$2:$N$28)),$B$2:$N$28),IF(_xlpm.result&gt;150,"",_xlpm.result)),"")</f>
        <v>101</v>
      </c>
      <c r="H33" s="1" cm="1">
        <f t="array" ref="H33">IFERROR(_xlfn.LET(_xlpm.result,RANK(_xlfn.XLOOKUP($A33,$A$2:$A$28,_xlfn.XLOOKUP(H$31,$B$1:$N$1,$B$2:$N$28)),$B$2:$N$28),IF(_xlpm.result&gt;150,"",_xlpm.result)),"")</f>
        <v>65</v>
      </c>
      <c r="I33" s="1" cm="1">
        <f t="array" ref="I33">IFERROR(_xlfn.LET(_xlpm.result,RANK(_xlfn.XLOOKUP($A33,$A$2:$A$28,_xlfn.XLOOKUP(I$31,$B$1:$N$1,$B$2:$N$28)),$B$2:$N$28),IF(_xlpm.result&gt;150,"",_xlpm.result)),"")</f>
        <v>81</v>
      </c>
      <c r="J33" s="1" t="str" cm="1">
        <f t="array" ref="J33">IFERROR(_xlfn.LET(_xlpm.result,RANK(_xlfn.XLOOKUP($A33,$A$2:$A$28,_xlfn.XLOOKUP(J$31,$B$1:$N$1,$B$2:$N$28)),$B$2:$N$28),IF(_xlpm.result&gt;150,"",_xlpm.result)),"")</f>
        <v/>
      </c>
      <c r="K33" s="1" t="str" cm="1">
        <f t="array" ref="K33">IFERROR(_xlfn.LET(_xlpm.result,RANK(_xlfn.XLOOKUP($A33,$A$2:$A$28,_xlfn.XLOOKUP(K$31,$B$1:$N$1,$B$2:$N$28)),$B$2:$N$28),IF(_xlpm.result&gt;150,"",_xlpm.result)),"")</f>
        <v/>
      </c>
      <c r="L33" s="1" t="str" cm="1">
        <f t="array" ref="L33">IFERROR(_xlfn.LET(_xlpm.result,RANK(_xlfn.XLOOKUP($A33,$A$2:$A$28,_xlfn.XLOOKUP(L$31,$B$1:$N$1,$B$2:$N$28)),$B$2:$N$28),IF(_xlpm.result&gt;150,"",_xlpm.result)),"")</f>
        <v/>
      </c>
      <c r="M33" s="1" t="str" cm="1">
        <f t="array" ref="M33">IFERROR(_xlfn.LET(_xlpm.result,RANK(_xlfn.XLOOKUP($A33,$A$2:$A$28,_xlfn.XLOOKUP(M$31,$B$1:$N$1,$B$2:$N$28)),$B$2:$N$28),IF(_xlpm.result&gt;150,"",_xlpm.result)),"")</f>
        <v/>
      </c>
      <c r="N33" s="1" cm="1">
        <f t="array" ref="N33">IFERROR(_xlfn.LET(_xlpm.result,RANK(_xlfn.XLOOKUP($A33,$A$2:$A$28,_xlfn.XLOOKUP(N$31,$B$1:$N$1,$B$2:$N$28)),$B$2:$N$28),IF(_xlpm.result&gt;150,"",_xlpm.result)),"")</f>
        <v>65</v>
      </c>
      <c r="O33">
        <f t="shared" si="0"/>
        <v>5</v>
      </c>
      <c r="P33" s="10">
        <f t="shared" si="1"/>
        <v>65</v>
      </c>
    </row>
    <row r="34" spans="1:17" x14ac:dyDescent="0.25">
      <c r="A34" t="s">
        <v>21</v>
      </c>
      <c r="B34" s="1" t="str" cm="1">
        <f t="array" ref="B34">IFERROR(_xlfn.LET(_xlpm.result,RANK(_xlfn.XLOOKUP($A34,$A$2:$A$28,_xlfn.XLOOKUP(B$31,$B$1:$N$1,$B$2:$N$28)),$B$2:$N$28),IF(_xlpm.result&gt;150,"",_xlpm.result)),"")</f>
        <v/>
      </c>
      <c r="C34" s="1" cm="1">
        <f t="array" ref="C34">IFERROR(_xlfn.LET(_xlpm.result,RANK(_xlfn.XLOOKUP($A34,$A$2:$A$28,_xlfn.XLOOKUP(C$31,$B$1:$N$1,$B$2:$N$28)),$B$2:$N$28),IF(_xlpm.result&gt;150,"",_xlpm.result)),"")</f>
        <v>147</v>
      </c>
      <c r="D34" s="1" cm="1">
        <f t="array" ref="D34">IFERROR(_xlfn.LET(_xlpm.result,RANK(_xlfn.XLOOKUP($A34,$A$2:$A$28,_xlfn.XLOOKUP(D$31,$B$1:$N$1,$B$2:$N$28)),$B$2:$N$28),IF(_xlpm.result&gt;150,"",_xlpm.result)),"")</f>
        <v>150</v>
      </c>
      <c r="E34" s="1" cm="1">
        <f t="array" ref="E34">IFERROR(_xlfn.LET(_xlpm.result,RANK(_xlfn.XLOOKUP($A34,$A$2:$A$28,_xlfn.XLOOKUP(E$31,$B$1:$N$1,$B$2:$N$28)),$B$2:$N$28),IF(_xlpm.result&gt;150,"",_xlpm.result)),"")</f>
        <v>110</v>
      </c>
      <c r="F34" s="1" t="str" cm="1">
        <f t="array" ref="F34">IFERROR(_xlfn.LET(_xlpm.result,RANK(_xlfn.XLOOKUP($A34,$A$2:$A$28,_xlfn.XLOOKUP(F$31,$B$1:$N$1,$B$2:$N$28)),$B$2:$N$28),IF(_xlpm.result&gt;150,"",_xlpm.result)),"")</f>
        <v/>
      </c>
      <c r="G34" s="1" cm="1">
        <f t="array" ref="G34">IFERROR(_xlfn.LET(_xlpm.result,RANK(_xlfn.XLOOKUP($A34,$A$2:$A$28,_xlfn.XLOOKUP(G$31,$B$1:$N$1,$B$2:$N$28)),$B$2:$N$28),IF(_xlpm.result&gt;150,"",_xlpm.result)),"")</f>
        <v>108</v>
      </c>
      <c r="H34" s="1" cm="1">
        <f t="array" ref="H34">IFERROR(_xlfn.LET(_xlpm.result,RANK(_xlfn.XLOOKUP($A34,$A$2:$A$28,_xlfn.XLOOKUP(H$31,$B$1:$N$1,$B$2:$N$28)),$B$2:$N$28),IF(_xlpm.result&gt;150,"",_xlpm.result)),"")</f>
        <v>75</v>
      </c>
      <c r="I34" s="1" cm="1">
        <f t="array" ref="I34">IFERROR(_xlfn.LET(_xlpm.result,RANK(_xlfn.XLOOKUP($A34,$A$2:$A$28,_xlfn.XLOOKUP(I$31,$B$1:$N$1,$B$2:$N$28)),$B$2:$N$28),IF(_xlpm.result&gt;150,"",_xlpm.result)),"")</f>
        <v>48</v>
      </c>
      <c r="J34" s="1" t="str" cm="1">
        <f t="array" ref="J34">IFERROR(_xlfn.LET(_xlpm.result,RANK(_xlfn.XLOOKUP($A34,$A$2:$A$28,_xlfn.XLOOKUP(J$31,$B$1:$N$1,$B$2:$N$28)),$B$2:$N$28),IF(_xlpm.result&gt;150,"",_xlpm.result)),"")</f>
        <v/>
      </c>
      <c r="K34" s="1" cm="1">
        <f t="array" ref="K34">IFERROR(_xlfn.LET(_xlpm.result,RANK(_xlfn.XLOOKUP($A34,$A$2:$A$28,_xlfn.XLOOKUP(K$31,$B$1:$N$1,$B$2:$N$28)),$B$2:$N$28),IF(_xlpm.result&gt;150,"",_xlpm.result)),"")</f>
        <v>48</v>
      </c>
      <c r="L34" s="1" t="str" cm="1">
        <f t="array" ref="L34">IFERROR(_xlfn.LET(_xlpm.result,RANK(_xlfn.XLOOKUP($A34,$A$2:$A$28,_xlfn.XLOOKUP(L$31,$B$1:$N$1,$B$2:$N$28)),$B$2:$N$28),IF(_xlpm.result&gt;150,"",_xlpm.result)),"")</f>
        <v/>
      </c>
      <c r="M34" s="1" t="str" cm="1">
        <f t="array" ref="M34">IFERROR(_xlfn.LET(_xlpm.result,RANK(_xlfn.XLOOKUP($A34,$A$2:$A$28,_xlfn.XLOOKUP(M$31,$B$1:$N$1,$B$2:$N$28)),$B$2:$N$28),IF(_xlpm.result&gt;150,"",_xlpm.result)),"")</f>
        <v/>
      </c>
      <c r="N34" s="1" t="str" cm="1">
        <f t="array" ref="N34">IFERROR(_xlfn.LET(_xlpm.result,RANK(_xlfn.XLOOKUP($A34,$A$2:$A$28,_xlfn.XLOOKUP(N$31,$B$1:$N$1,$B$2:$N$28)),$B$2:$N$28),IF(_xlpm.result&gt;150,"",_xlpm.result)),"")</f>
        <v/>
      </c>
      <c r="O34">
        <f t="shared" si="0"/>
        <v>7</v>
      </c>
      <c r="P34" s="10">
        <f t="shared" si="1"/>
        <v>48</v>
      </c>
    </row>
    <row r="35" spans="1:17" x14ac:dyDescent="0.25">
      <c r="A35" t="s">
        <v>22</v>
      </c>
      <c r="B35" s="1" cm="1">
        <f t="array" ref="B35">IFERROR(_xlfn.LET(_xlpm.result,RANK(_xlfn.XLOOKUP($A35,$A$2:$A$28,_xlfn.XLOOKUP(B$31,$B$1:$N$1,$B$2:$N$28)),$B$2:$N$28),IF(_xlpm.result&gt;150,"",_xlpm.result)),"")</f>
        <v>32</v>
      </c>
      <c r="C35" s="1" cm="1">
        <f t="array" ref="C35">IFERROR(_xlfn.LET(_xlpm.result,RANK(_xlfn.XLOOKUP($A35,$A$2:$A$28,_xlfn.XLOOKUP(C$31,$B$1:$N$1,$B$2:$N$28)),$B$2:$N$28),IF(_xlpm.result&gt;150,"",_xlpm.result)),"")</f>
        <v>147</v>
      </c>
      <c r="D35" s="1" cm="1">
        <f t="array" ref="D35">IFERROR(_xlfn.LET(_xlpm.result,RANK(_xlfn.XLOOKUP($A35,$A$2:$A$28,_xlfn.XLOOKUP(D$31,$B$1:$N$1,$B$2:$N$28)),$B$2:$N$28),IF(_xlpm.result&gt;150,"",_xlpm.result)),"")</f>
        <v>16</v>
      </c>
      <c r="E35" s="1" t="str" cm="1">
        <f t="array" ref="E35">IFERROR(_xlfn.LET(_xlpm.result,RANK(_xlfn.XLOOKUP($A35,$A$2:$A$28,_xlfn.XLOOKUP(E$31,$B$1:$N$1,$B$2:$N$28)),$B$2:$N$28),IF(_xlpm.result&gt;150,"",_xlpm.result)),"")</f>
        <v/>
      </c>
      <c r="F35" s="1" cm="1">
        <f t="array" ref="F35">IFERROR(_xlfn.LET(_xlpm.result,RANK(_xlfn.XLOOKUP($A35,$A$2:$A$28,_xlfn.XLOOKUP(F$31,$B$1:$N$1,$B$2:$N$28)),$B$2:$N$28),IF(_xlpm.result&gt;150,"",_xlpm.result)),"")</f>
        <v>23</v>
      </c>
      <c r="G35" s="1" cm="1">
        <f t="array" ref="G35">IFERROR(_xlfn.LET(_xlpm.result,RANK(_xlfn.XLOOKUP($A35,$A$2:$A$28,_xlfn.XLOOKUP(G$31,$B$1:$N$1,$B$2:$N$28)),$B$2:$N$28),IF(_xlpm.result&gt;150,"",_xlpm.result)),"")</f>
        <v>96</v>
      </c>
      <c r="H35" s="1" cm="1">
        <f t="array" ref="H35">IFERROR(_xlfn.LET(_xlpm.result,RANK(_xlfn.XLOOKUP($A35,$A$2:$A$28,_xlfn.XLOOKUP(H$31,$B$1:$N$1,$B$2:$N$28)),$B$2:$N$28),IF(_xlpm.result&gt;150,"",_xlpm.result)),"")</f>
        <v>103</v>
      </c>
      <c r="I35" s="1" cm="1">
        <f t="array" ref="I35">IFERROR(_xlfn.LET(_xlpm.result,RANK(_xlfn.XLOOKUP($A35,$A$2:$A$28,_xlfn.XLOOKUP(I$31,$B$1:$N$1,$B$2:$N$28)),$B$2:$N$28),IF(_xlpm.result&gt;150,"",_xlpm.result)),"")</f>
        <v>73</v>
      </c>
      <c r="J35" s="1" cm="1">
        <f t="array" ref="J35">IFERROR(_xlfn.LET(_xlpm.result,RANK(_xlfn.XLOOKUP($A35,$A$2:$A$28,_xlfn.XLOOKUP(J$31,$B$1:$N$1,$B$2:$N$28)),$B$2:$N$28),IF(_xlpm.result&gt;150,"",_xlpm.result)),"")</f>
        <v>4</v>
      </c>
      <c r="K35" s="1" cm="1">
        <f t="array" ref="K35">IFERROR(_xlfn.LET(_xlpm.result,RANK(_xlfn.XLOOKUP($A35,$A$2:$A$28,_xlfn.XLOOKUP(K$31,$B$1:$N$1,$B$2:$N$28)),$B$2:$N$28),IF(_xlpm.result&gt;150,"",_xlpm.result)),"")</f>
        <v>65</v>
      </c>
      <c r="L35" s="1" cm="1">
        <f t="array" ref="L35">IFERROR(_xlfn.LET(_xlpm.result,RANK(_xlfn.XLOOKUP($A35,$A$2:$A$28,_xlfn.XLOOKUP(L$31,$B$1:$N$1,$B$2:$N$28)),$B$2:$N$28),IF(_xlpm.result&gt;150,"",_xlpm.result)),"")</f>
        <v>21</v>
      </c>
      <c r="M35" s="1" cm="1">
        <f t="array" ref="M35">IFERROR(_xlfn.LET(_xlpm.result,RANK(_xlfn.XLOOKUP($A35,$A$2:$A$28,_xlfn.XLOOKUP(M$31,$B$1:$N$1,$B$2:$N$28)),$B$2:$N$28),IF(_xlpm.result&gt;150,"",_xlpm.result)),"")</f>
        <v>147</v>
      </c>
      <c r="N35" s="1" cm="1">
        <f t="array" ref="N35">IFERROR(_xlfn.LET(_xlpm.result,RANK(_xlfn.XLOOKUP($A35,$A$2:$A$28,_xlfn.XLOOKUP(N$31,$B$1:$N$1,$B$2:$N$28)),$B$2:$N$28),IF(_xlpm.result&gt;150,"",_xlpm.result)),"")</f>
        <v>11</v>
      </c>
      <c r="O35">
        <f t="shared" si="0"/>
        <v>12</v>
      </c>
      <c r="P35" s="10">
        <f t="shared" si="1"/>
        <v>4</v>
      </c>
    </row>
    <row r="36" spans="1:17" x14ac:dyDescent="0.25">
      <c r="A36" t="s">
        <v>23</v>
      </c>
      <c r="B36" s="1" t="str" cm="1">
        <f t="array" ref="B36">IFERROR(_xlfn.LET(_xlpm.result,RANK(_xlfn.XLOOKUP($A36,$A$2:$A$28,_xlfn.XLOOKUP(B$31,$B$1:$N$1,$B$2:$N$28)),$B$2:$N$28),IF(_xlpm.result&gt;150,"",_xlpm.result)),"")</f>
        <v/>
      </c>
      <c r="C36" s="1" cm="1">
        <f t="array" ref="C36">IFERROR(_xlfn.LET(_xlpm.result,RANK(_xlfn.XLOOKUP($A36,$A$2:$A$28,_xlfn.XLOOKUP(C$31,$B$1:$N$1,$B$2:$N$28)),$B$2:$N$28),IF(_xlpm.result&gt;150,"",_xlpm.result)),"")</f>
        <v>130</v>
      </c>
      <c r="D36" s="1" t="str" cm="1">
        <f t="array" ref="D36">IFERROR(_xlfn.LET(_xlpm.result,RANK(_xlfn.XLOOKUP($A36,$A$2:$A$28,_xlfn.XLOOKUP(D$31,$B$1:$N$1,$B$2:$N$28)),$B$2:$N$28),IF(_xlpm.result&gt;150,"",_xlpm.result)),"")</f>
        <v/>
      </c>
      <c r="E36" s="1" t="str" cm="1">
        <f t="array" ref="E36">IFERROR(_xlfn.LET(_xlpm.result,RANK(_xlfn.XLOOKUP($A36,$A$2:$A$28,_xlfn.XLOOKUP(E$31,$B$1:$N$1,$B$2:$N$28)),$B$2:$N$28),IF(_xlpm.result&gt;150,"",_xlpm.result)),"")</f>
        <v/>
      </c>
      <c r="F36" s="1" cm="1">
        <f t="array" ref="F36">IFERROR(_xlfn.LET(_xlpm.result,RANK(_xlfn.XLOOKUP($A36,$A$2:$A$28,_xlfn.XLOOKUP(F$31,$B$1:$N$1,$B$2:$N$28)),$B$2:$N$28),IF(_xlpm.result&gt;150,"",_xlpm.result)),"")</f>
        <v>112</v>
      </c>
      <c r="G36" s="1" t="str" cm="1">
        <f t="array" ref="G36">IFERROR(_xlfn.LET(_xlpm.result,RANK(_xlfn.XLOOKUP($A36,$A$2:$A$28,_xlfn.XLOOKUP(G$31,$B$1:$N$1,$B$2:$N$28)),$B$2:$N$28),IF(_xlpm.result&gt;150,"",_xlpm.result)),"")</f>
        <v/>
      </c>
      <c r="H36" s="1" t="str" cm="1">
        <f t="array" ref="H36">IFERROR(_xlfn.LET(_xlpm.result,RANK(_xlfn.XLOOKUP($A36,$A$2:$A$28,_xlfn.XLOOKUP(H$31,$B$1:$N$1,$B$2:$N$28)),$B$2:$N$28),IF(_xlpm.result&gt;150,"",_xlpm.result)),"")</f>
        <v/>
      </c>
      <c r="I36" s="1" t="str" cm="1">
        <f t="array" ref="I36">IFERROR(_xlfn.LET(_xlpm.result,RANK(_xlfn.XLOOKUP($A36,$A$2:$A$28,_xlfn.XLOOKUP(I$31,$B$1:$N$1,$B$2:$N$28)),$B$2:$N$28),IF(_xlpm.result&gt;150,"",_xlpm.result)),"")</f>
        <v/>
      </c>
      <c r="J36" s="1" cm="1">
        <f t="array" ref="J36">IFERROR(_xlfn.LET(_xlpm.result,RANK(_xlfn.XLOOKUP($A36,$A$2:$A$28,_xlfn.XLOOKUP(J$31,$B$1:$N$1,$B$2:$N$28)),$B$2:$N$28),IF(_xlpm.result&gt;150,"",_xlpm.result)),"")</f>
        <v>147</v>
      </c>
      <c r="K36" s="1" cm="1">
        <f t="array" ref="K36">IFERROR(_xlfn.LET(_xlpm.result,RANK(_xlfn.XLOOKUP($A36,$A$2:$A$28,_xlfn.XLOOKUP(K$31,$B$1:$N$1,$B$2:$N$28)),$B$2:$N$28),IF(_xlpm.result&gt;150,"",_xlpm.result)),"")</f>
        <v>112</v>
      </c>
      <c r="L36" s="1" t="str" cm="1">
        <f t="array" ref="L36">IFERROR(_xlfn.LET(_xlpm.result,RANK(_xlfn.XLOOKUP($A36,$A$2:$A$28,_xlfn.XLOOKUP(L$31,$B$1:$N$1,$B$2:$N$28)),$B$2:$N$28),IF(_xlpm.result&gt;150,"",_xlpm.result)),"")</f>
        <v/>
      </c>
      <c r="M36" s="1" t="str" cm="1">
        <f t="array" ref="M36">IFERROR(_xlfn.LET(_xlpm.result,RANK(_xlfn.XLOOKUP($A36,$A$2:$A$28,_xlfn.XLOOKUP(M$31,$B$1:$N$1,$B$2:$N$28)),$B$2:$N$28),IF(_xlpm.result&gt;150,"",_xlpm.result)),"")</f>
        <v/>
      </c>
      <c r="N36" s="1" t="str" cm="1">
        <f t="array" ref="N36">IFERROR(_xlfn.LET(_xlpm.result,RANK(_xlfn.XLOOKUP($A36,$A$2:$A$28,_xlfn.XLOOKUP(N$31,$B$1:$N$1,$B$2:$N$28)),$B$2:$N$28),IF(_xlpm.result&gt;150,"",_xlpm.result)),"")</f>
        <v/>
      </c>
      <c r="O36">
        <f t="shared" si="0"/>
        <v>4</v>
      </c>
      <c r="P36" s="10">
        <f t="shared" si="1"/>
        <v>112</v>
      </c>
    </row>
    <row r="37" spans="1:17" x14ac:dyDescent="0.25">
      <c r="A37" t="s">
        <v>24</v>
      </c>
      <c r="B37" s="1" t="str" cm="1">
        <f t="array" ref="B37">IFERROR(_xlfn.LET(_xlpm.result,RANK(_xlfn.XLOOKUP($A37,$A$2:$A$28,_xlfn.XLOOKUP(B$31,$B$1:$N$1,$B$2:$N$28)),$B$2:$N$28),IF(_xlpm.result&gt;150,"",_xlpm.result)),"")</f>
        <v/>
      </c>
      <c r="C37" s="1" cm="1">
        <f t="array" ref="C37">IFERROR(_xlfn.LET(_xlpm.result,RANK(_xlfn.XLOOKUP($A37,$A$2:$A$28,_xlfn.XLOOKUP(C$31,$B$1:$N$1,$B$2:$N$28)),$B$2:$N$28),IF(_xlpm.result&gt;150,"",_xlpm.result)),"")</f>
        <v>59</v>
      </c>
      <c r="D37" s="1" cm="1">
        <f t="array" ref="D37">IFERROR(_xlfn.LET(_xlpm.result,RANK(_xlfn.XLOOKUP($A37,$A$2:$A$28,_xlfn.XLOOKUP(D$31,$B$1:$N$1,$B$2:$N$28)),$B$2:$N$28),IF(_xlpm.result&gt;150,"",_xlpm.result)),"")</f>
        <v>145</v>
      </c>
      <c r="E37" s="1" cm="1">
        <f t="array" ref="E37">IFERROR(_xlfn.LET(_xlpm.result,RANK(_xlfn.XLOOKUP($A37,$A$2:$A$28,_xlfn.XLOOKUP(E$31,$B$1:$N$1,$B$2:$N$28)),$B$2:$N$28),IF(_xlpm.result&gt;150,"",_xlpm.result)),"")</f>
        <v>44</v>
      </c>
      <c r="F37" s="1" cm="1">
        <f t="array" ref="F37">IFERROR(_xlfn.LET(_xlpm.result,RANK(_xlfn.XLOOKUP($A37,$A$2:$A$28,_xlfn.XLOOKUP(F$31,$B$1:$N$1,$B$2:$N$28)),$B$2:$N$28),IF(_xlpm.result&gt;150,"",_xlpm.result)),"")</f>
        <v>45</v>
      </c>
      <c r="G37" s="1" t="str" cm="1">
        <f t="array" ref="G37">IFERROR(_xlfn.LET(_xlpm.result,RANK(_xlfn.XLOOKUP($A37,$A$2:$A$28,_xlfn.XLOOKUP(G$31,$B$1:$N$1,$B$2:$N$28)),$B$2:$N$28),IF(_xlpm.result&gt;150,"",_xlpm.result)),"")</f>
        <v/>
      </c>
      <c r="H37" s="1" t="str" cm="1">
        <f t="array" ref="H37">IFERROR(_xlfn.LET(_xlpm.result,RANK(_xlfn.XLOOKUP($A37,$A$2:$A$28,_xlfn.XLOOKUP(H$31,$B$1:$N$1,$B$2:$N$28)),$B$2:$N$28),IF(_xlpm.result&gt;150,"",_xlpm.result)),"")</f>
        <v/>
      </c>
      <c r="I37" s="1" t="str" cm="1">
        <f t="array" ref="I37">IFERROR(_xlfn.LET(_xlpm.result,RANK(_xlfn.XLOOKUP($A37,$A$2:$A$28,_xlfn.XLOOKUP(I$31,$B$1:$N$1,$B$2:$N$28)),$B$2:$N$28),IF(_xlpm.result&gt;150,"",_xlpm.result)),"")</f>
        <v/>
      </c>
      <c r="J37" s="1" t="str" cm="1">
        <f t="array" ref="J37">IFERROR(_xlfn.LET(_xlpm.result,RANK(_xlfn.XLOOKUP($A37,$A$2:$A$28,_xlfn.XLOOKUP(J$31,$B$1:$N$1,$B$2:$N$28)),$B$2:$N$28),IF(_xlpm.result&gt;150,"",_xlpm.result)),"")</f>
        <v/>
      </c>
      <c r="K37" s="1" cm="1">
        <f t="array" ref="K37">IFERROR(_xlfn.LET(_xlpm.result,RANK(_xlfn.XLOOKUP($A37,$A$2:$A$28,_xlfn.XLOOKUP(K$31,$B$1:$N$1,$B$2:$N$28)),$B$2:$N$28),IF(_xlpm.result&gt;150,"",_xlpm.result)),"")</f>
        <v>103</v>
      </c>
      <c r="L37" s="1" t="str" cm="1">
        <f t="array" ref="L37">IFERROR(_xlfn.LET(_xlpm.result,RANK(_xlfn.XLOOKUP($A37,$A$2:$A$28,_xlfn.XLOOKUP(L$31,$B$1:$N$1,$B$2:$N$28)),$B$2:$N$28),IF(_xlpm.result&gt;150,"",_xlpm.result)),"")</f>
        <v/>
      </c>
      <c r="M37" s="1" t="str" cm="1">
        <f t="array" ref="M37">IFERROR(_xlfn.LET(_xlpm.result,RANK(_xlfn.XLOOKUP($A37,$A$2:$A$28,_xlfn.XLOOKUP(M$31,$B$1:$N$1,$B$2:$N$28)),$B$2:$N$28),IF(_xlpm.result&gt;150,"",_xlpm.result)),"")</f>
        <v/>
      </c>
      <c r="N37" s="1" t="str" cm="1">
        <f t="array" ref="N37">IFERROR(_xlfn.LET(_xlpm.result,RANK(_xlfn.XLOOKUP($A37,$A$2:$A$28,_xlfn.XLOOKUP(N$31,$B$1:$N$1,$B$2:$N$28)),$B$2:$N$28),IF(_xlpm.result&gt;150,"",_xlpm.result)),"")</f>
        <v/>
      </c>
      <c r="O37">
        <f t="shared" si="0"/>
        <v>5</v>
      </c>
      <c r="P37" s="10">
        <f t="shared" si="1"/>
        <v>44</v>
      </c>
    </row>
    <row r="38" spans="1:17" ht="21" x14ac:dyDescent="0.35">
      <c r="A38" t="s">
        <v>25</v>
      </c>
      <c r="B38" s="1" t="str" cm="1">
        <f t="array" ref="B38">IFERROR(_xlfn.LET(_xlpm.result,RANK(_xlfn.XLOOKUP($A38,$A$2:$A$28,_xlfn.XLOOKUP(B$31,$B$1:$N$1,$B$2:$N$28)),$B$2:$N$28),IF(_xlpm.result&gt;150,"",_xlpm.result)),"")</f>
        <v/>
      </c>
      <c r="C38" s="1" t="str" cm="1">
        <f t="array" ref="C38">IFERROR(_xlfn.LET(_xlpm.result,RANK(_xlfn.XLOOKUP($A38,$A$2:$A$28,_xlfn.XLOOKUP(C$31,$B$1:$N$1,$B$2:$N$28)),$B$2:$N$28),IF(_xlpm.result&gt;150,"",_xlpm.result)),"")</f>
        <v/>
      </c>
      <c r="D38" s="1" t="str" cm="1">
        <f t="array" ref="D38">IFERROR(_xlfn.LET(_xlpm.result,RANK(_xlfn.XLOOKUP($A38,$A$2:$A$28,_xlfn.XLOOKUP(D$31,$B$1:$N$1,$B$2:$N$28)),$B$2:$N$28),IF(_xlpm.result&gt;150,"",_xlpm.result)),"")</f>
        <v/>
      </c>
      <c r="E38" s="1" t="str" cm="1">
        <f t="array" ref="E38">IFERROR(_xlfn.LET(_xlpm.result,RANK(_xlfn.XLOOKUP($A38,$A$2:$A$28,_xlfn.XLOOKUP(E$31,$B$1:$N$1,$B$2:$N$28)),$B$2:$N$28),IF(_xlpm.result&gt;150,"",_xlpm.result)),"")</f>
        <v/>
      </c>
      <c r="F38" s="1" cm="1">
        <f t="array" ref="F38">IFERROR(_xlfn.LET(_xlpm.result,RANK(_xlfn.XLOOKUP($A38,$A$2:$A$28,_xlfn.XLOOKUP(F$31,$B$1:$N$1,$B$2:$N$28)),$B$2:$N$28),IF(_xlpm.result&gt;150,"",_xlpm.result)),"")</f>
        <v>147</v>
      </c>
      <c r="G38" s="1" t="str" cm="1">
        <f t="array" ref="G38">IFERROR(_xlfn.LET(_xlpm.result,RANK(_xlfn.XLOOKUP($A38,$A$2:$A$28,_xlfn.XLOOKUP(G$31,$B$1:$N$1,$B$2:$N$28)),$B$2:$N$28),IF(_xlpm.result&gt;150,"",_xlpm.result)),"")</f>
        <v/>
      </c>
      <c r="H38" s="1" t="str" cm="1">
        <f t="array" ref="H38">IFERROR(_xlfn.LET(_xlpm.result,RANK(_xlfn.XLOOKUP($A38,$A$2:$A$28,_xlfn.XLOOKUP(H$31,$B$1:$N$1,$B$2:$N$28)),$B$2:$N$28),IF(_xlpm.result&gt;150,"",_xlpm.result)),"")</f>
        <v/>
      </c>
      <c r="I38" s="1" t="str" cm="1">
        <f t="array" ref="I38">IFERROR(_xlfn.LET(_xlpm.result,RANK(_xlfn.XLOOKUP($A38,$A$2:$A$28,_xlfn.XLOOKUP(I$31,$B$1:$N$1,$B$2:$N$28)),$B$2:$N$28),IF(_xlpm.result&gt;150,"",_xlpm.result)),"")</f>
        <v/>
      </c>
      <c r="J38" s="1" t="str" cm="1">
        <f t="array" ref="J38">IFERROR(_xlfn.LET(_xlpm.result,RANK(_xlfn.XLOOKUP($A38,$A$2:$A$28,_xlfn.XLOOKUP(J$31,$B$1:$N$1,$B$2:$N$28)),$B$2:$N$28),IF(_xlpm.result&gt;150,"",_xlpm.result)),"")</f>
        <v/>
      </c>
      <c r="K38" s="1" t="str" cm="1">
        <f t="array" ref="K38">IFERROR(_xlfn.LET(_xlpm.result,RANK(_xlfn.XLOOKUP($A38,$A$2:$A$28,_xlfn.XLOOKUP(K$31,$B$1:$N$1,$B$2:$N$28)),$B$2:$N$28),IF(_xlpm.result&gt;150,"",_xlpm.result)),"")</f>
        <v/>
      </c>
      <c r="L38" s="1" t="str" cm="1">
        <f t="array" ref="L38">IFERROR(_xlfn.LET(_xlpm.result,RANK(_xlfn.XLOOKUP($A38,$A$2:$A$28,_xlfn.XLOOKUP(L$31,$B$1:$N$1,$B$2:$N$28)),$B$2:$N$28),IF(_xlpm.result&gt;150,"",_xlpm.result)),"")</f>
        <v/>
      </c>
      <c r="M38" s="1" t="str" cm="1">
        <f t="array" ref="M38">IFERROR(_xlfn.LET(_xlpm.result,RANK(_xlfn.XLOOKUP($A38,$A$2:$A$28,_xlfn.XLOOKUP(M$31,$B$1:$N$1,$B$2:$N$28)),$B$2:$N$28),IF(_xlpm.result&gt;150,"",_xlpm.result)),"")</f>
        <v/>
      </c>
      <c r="N38" s="12" t="str" cm="1">
        <f t="array" ref="N38">IFERROR(_xlfn.LET(_xlpm.result,RANK(_xlfn.XLOOKUP($A38,$A$2:$A$28,_xlfn.XLOOKUP(N$31,$B$1:$N$1,$B$2:$N$28)),$B$2:$N$28),IF(_xlpm.result&gt;150,"",_xlpm.result)),"")</f>
        <v/>
      </c>
      <c r="O38">
        <f t="shared" si="0"/>
        <v>1</v>
      </c>
      <c r="P38" s="10">
        <f t="shared" si="1"/>
        <v>147</v>
      </c>
    </row>
    <row r="39" spans="1:17" x14ac:dyDescent="0.25">
      <c r="A39" t="s">
        <v>26</v>
      </c>
      <c r="B39" s="1" t="str" cm="1">
        <f t="array" ref="B39">IFERROR(_xlfn.LET(_xlpm.result,RANK(_xlfn.XLOOKUP($A39,$A$2:$A$28,_xlfn.XLOOKUP(B$31,$B$1:$N$1,$B$2:$N$28)),$B$2:$N$28),IF(_xlpm.result&gt;150,"",_xlpm.result)),"")</f>
        <v/>
      </c>
      <c r="C39" s="1" cm="1">
        <f t="array" ref="C39">IFERROR(_xlfn.LET(_xlpm.result,RANK(_xlfn.XLOOKUP($A39,$A$2:$A$28,_xlfn.XLOOKUP(C$31,$B$1:$N$1,$B$2:$N$28)),$B$2:$N$28),IF(_xlpm.result&gt;150,"",_xlpm.result)),"")</f>
        <v>149</v>
      </c>
      <c r="D39" s="1" t="str" cm="1">
        <f t="array" ref="D39">IFERROR(_xlfn.LET(_xlpm.result,RANK(_xlfn.XLOOKUP($A39,$A$2:$A$28,_xlfn.XLOOKUP(D$31,$B$1:$N$1,$B$2:$N$28)),$B$2:$N$28),IF(_xlpm.result&gt;150,"",_xlpm.result)),"")</f>
        <v/>
      </c>
      <c r="E39" s="1" cm="1">
        <f t="array" ref="E39">IFERROR(_xlfn.LET(_xlpm.result,RANK(_xlfn.XLOOKUP($A39,$A$2:$A$28,_xlfn.XLOOKUP(E$31,$B$1:$N$1,$B$2:$N$28)),$B$2:$N$28),IF(_xlpm.result&gt;150,"",_xlpm.result)),"")</f>
        <v>147</v>
      </c>
      <c r="F39" s="1" cm="1">
        <f t="array" ref="F39">IFERROR(_xlfn.LET(_xlpm.result,RANK(_xlfn.XLOOKUP($A39,$A$2:$A$28,_xlfn.XLOOKUP(F$31,$B$1:$N$1,$B$2:$N$28)),$B$2:$N$28),IF(_xlpm.result&gt;150,"",_xlpm.result)),"")</f>
        <v>114</v>
      </c>
      <c r="G39" s="1" t="str" cm="1">
        <f t="array" ref="G39">IFERROR(_xlfn.LET(_xlpm.result,RANK(_xlfn.XLOOKUP($A39,$A$2:$A$28,_xlfn.XLOOKUP(G$31,$B$1:$N$1,$B$2:$N$28)),$B$2:$N$28),IF(_xlpm.result&gt;150,"",_xlpm.result)),"")</f>
        <v/>
      </c>
      <c r="H39" s="1" cm="1">
        <f t="array" ref="H39">IFERROR(_xlfn.LET(_xlpm.result,RANK(_xlfn.XLOOKUP($A39,$A$2:$A$28,_xlfn.XLOOKUP(H$31,$B$1:$N$1,$B$2:$N$28)),$B$2:$N$28),IF(_xlpm.result&gt;150,"",_xlpm.result)),"")</f>
        <v>143</v>
      </c>
      <c r="I39" s="1" t="str" cm="1">
        <f t="array" ref="I39">IFERROR(_xlfn.LET(_xlpm.result,RANK(_xlfn.XLOOKUP($A39,$A$2:$A$28,_xlfn.XLOOKUP(I$31,$B$1:$N$1,$B$2:$N$28)),$B$2:$N$28),IF(_xlpm.result&gt;150,"",_xlpm.result)),"")</f>
        <v/>
      </c>
      <c r="J39" s="1" cm="1">
        <f t="array" ref="J39">IFERROR(_xlfn.LET(_xlpm.result,RANK(_xlfn.XLOOKUP($A39,$A$2:$A$28,_xlfn.XLOOKUP(J$31,$B$1:$N$1,$B$2:$N$28)),$B$2:$N$28),IF(_xlpm.result&gt;150,"",_xlpm.result)),"")</f>
        <v>68</v>
      </c>
      <c r="K39" s="1" t="str" cm="1">
        <f t="array" ref="K39">IFERROR(_xlfn.LET(_xlpm.result,RANK(_xlfn.XLOOKUP($A39,$A$2:$A$28,_xlfn.XLOOKUP(K$31,$B$1:$N$1,$B$2:$N$28)),$B$2:$N$28),IF(_xlpm.result&gt;150,"",_xlpm.result)),"")</f>
        <v/>
      </c>
      <c r="L39" s="1" t="str" cm="1">
        <f t="array" ref="L39">IFERROR(_xlfn.LET(_xlpm.result,RANK(_xlfn.XLOOKUP($A39,$A$2:$A$28,_xlfn.XLOOKUP(L$31,$B$1:$N$1,$B$2:$N$28)),$B$2:$N$28),IF(_xlpm.result&gt;150,"",_xlpm.result)),"")</f>
        <v/>
      </c>
      <c r="M39" s="1" t="str" cm="1">
        <f t="array" ref="M39">IFERROR(_xlfn.LET(_xlpm.result,RANK(_xlfn.XLOOKUP($A39,$A$2:$A$28,_xlfn.XLOOKUP(M$31,$B$1:$N$1,$B$2:$N$28)),$B$2:$N$28),IF(_xlpm.result&gt;150,"",_xlpm.result)),"")</f>
        <v/>
      </c>
      <c r="N39" s="1" cm="1">
        <f t="array" ref="N39">IFERROR(_xlfn.LET(_xlpm.result,RANK(_xlfn.XLOOKUP($A39,$A$2:$A$28,_xlfn.XLOOKUP(N$31,$B$1:$N$1,$B$2:$N$28)),$B$2:$N$28),IF(_xlpm.result&gt;150,"",_xlpm.result)),"")</f>
        <v>87</v>
      </c>
      <c r="O39">
        <f t="shared" si="0"/>
        <v>6</v>
      </c>
      <c r="P39" s="10">
        <f t="shared" si="1"/>
        <v>68</v>
      </c>
    </row>
    <row r="40" spans="1:17" ht="21" x14ac:dyDescent="0.35">
      <c r="A40" t="s">
        <v>27</v>
      </c>
      <c r="B40" s="1" cm="1">
        <f t="array" ref="B40">IFERROR(_xlfn.LET(_xlpm.result,RANK(_xlfn.XLOOKUP($A40,$A$2:$A$28,_xlfn.XLOOKUP(B$31,$B$1:$N$1,$B$2:$N$28)),$B$2:$N$28),IF(_xlpm.result&gt;150,"",_xlpm.result)),"")</f>
        <v>43</v>
      </c>
      <c r="C40" s="1" t="str" cm="1">
        <f t="array" ref="C40">IFERROR(_xlfn.LET(_xlpm.result,RANK(_xlfn.XLOOKUP($A40,$A$2:$A$28,_xlfn.XLOOKUP(C$31,$B$1:$N$1,$B$2:$N$28)),$B$2:$N$28),IF(_xlpm.result&gt;150,"",_xlpm.result)),"")</f>
        <v/>
      </c>
      <c r="D40" s="1" t="str" cm="1">
        <f t="array" ref="D40">IFERROR(_xlfn.LET(_xlpm.result,RANK(_xlfn.XLOOKUP($A40,$A$2:$A$28,_xlfn.XLOOKUP(D$31,$B$1:$N$1,$B$2:$N$28)),$B$2:$N$28),IF(_xlpm.result&gt;150,"",_xlpm.result)),"")</f>
        <v/>
      </c>
      <c r="E40" s="1" cm="1">
        <f t="array" ref="E40">IFERROR(_xlfn.LET(_xlpm.result,RANK(_xlfn.XLOOKUP($A40,$A$2:$A$28,_xlfn.XLOOKUP(E$31,$B$1:$N$1,$B$2:$N$28)),$B$2:$N$28),IF(_xlpm.result&gt;150,"",_xlpm.result)),"")</f>
        <v>93</v>
      </c>
      <c r="F40" s="1" cm="1">
        <f t="array" ref="F40">IFERROR(_xlfn.LET(_xlpm.result,RANK(_xlfn.XLOOKUP($A40,$A$2:$A$28,_xlfn.XLOOKUP(F$31,$B$1:$N$1,$B$2:$N$28)),$B$2:$N$28),IF(_xlpm.result&gt;150,"",_xlpm.result)),"")</f>
        <v>147</v>
      </c>
      <c r="G40" s="1" cm="1">
        <f t="array" ref="G40">IFERROR(_xlfn.LET(_xlpm.result,RANK(_xlfn.XLOOKUP($A40,$A$2:$A$28,_xlfn.XLOOKUP(G$31,$B$1:$N$1,$B$2:$N$28)),$B$2:$N$28),IF(_xlpm.result&gt;150,"",_xlpm.result)),"")</f>
        <v>56</v>
      </c>
      <c r="H40" s="1" t="str" cm="1">
        <f t="array" ref="H40">IFERROR(_xlfn.LET(_xlpm.result,RANK(_xlfn.XLOOKUP($A40,$A$2:$A$28,_xlfn.XLOOKUP(H$31,$B$1:$N$1,$B$2:$N$28)),$B$2:$N$28),IF(_xlpm.result&gt;150,"",_xlpm.result)),"")</f>
        <v/>
      </c>
      <c r="I40" s="1" t="str" cm="1">
        <f t="array" ref="I40">IFERROR(_xlfn.LET(_xlpm.result,RANK(_xlfn.XLOOKUP($A40,$A$2:$A$28,_xlfn.XLOOKUP(I$31,$B$1:$N$1,$B$2:$N$28)),$B$2:$N$28),IF(_xlpm.result&gt;150,"",_xlpm.result)),"")</f>
        <v/>
      </c>
      <c r="J40" s="1" t="str" cm="1">
        <f t="array" ref="J40">IFERROR(_xlfn.LET(_xlpm.result,RANK(_xlfn.XLOOKUP($A40,$A$2:$A$28,_xlfn.XLOOKUP(J$31,$B$1:$N$1,$B$2:$N$28)),$B$2:$N$28),IF(_xlpm.result&gt;150,"",_xlpm.result)),"")</f>
        <v/>
      </c>
      <c r="K40" s="1" cm="1">
        <f t="array" ref="K40">IFERROR(_xlfn.LET(_xlpm.result,RANK(_xlfn.XLOOKUP($A40,$A$2:$A$28,_xlfn.XLOOKUP(K$31,$B$1:$N$1,$B$2:$N$28)),$B$2:$N$28),IF(_xlpm.result&gt;150,"",_xlpm.result)),"")</f>
        <v>103</v>
      </c>
      <c r="L40" s="12" t="str" cm="1">
        <f t="array" ref="L40">IFERROR(_xlfn.LET(_xlpm.result,RANK(_xlfn.XLOOKUP($A40,$A$2:$A$28,_xlfn.XLOOKUP(L$31,$B$1:$N$1,$B$2:$N$28)),$B$2:$N$28),IF(_xlpm.result&gt;150,"",_xlpm.result)),"")</f>
        <v/>
      </c>
      <c r="M40" s="1" t="str" cm="1">
        <f t="array" ref="M40">IFERROR(_xlfn.LET(_xlpm.result,RANK(_xlfn.XLOOKUP($A40,$A$2:$A$28,_xlfn.XLOOKUP(M$31,$B$1:$N$1,$B$2:$N$28)),$B$2:$N$28),IF(_xlpm.result&gt;150,"",_xlpm.result)),"")</f>
        <v/>
      </c>
      <c r="N40" s="1" cm="1">
        <f t="array" ref="N40">IFERROR(_xlfn.LET(_xlpm.result,RANK(_xlfn.XLOOKUP($A40,$A$2:$A$28,_xlfn.XLOOKUP(N$31,$B$1:$N$1,$B$2:$N$28)),$B$2:$N$28),IF(_xlpm.result&gt;150,"",_xlpm.result)),"")</f>
        <v>17</v>
      </c>
      <c r="O40">
        <f t="shared" si="0"/>
        <v>6</v>
      </c>
      <c r="P40" s="10">
        <f t="shared" si="1"/>
        <v>17</v>
      </c>
    </row>
    <row r="41" spans="1:17" ht="21" x14ac:dyDescent="0.35">
      <c r="A41" t="s">
        <v>30</v>
      </c>
      <c r="B41" s="1" cm="1">
        <f t="array" ref="B41">IFERROR(_xlfn.LET(_xlpm.result,RANK(_xlfn.XLOOKUP($A41,$A$2:$A$28,_xlfn.XLOOKUP(B$31,$B$1:$N$1,$B$2:$N$28)),$B$2:$N$28),IF(_xlpm.result&gt;150,"",_xlpm.result)),"")</f>
        <v>2</v>
      </c>
      <c r="C41" s="1" cm="1">
        <f t="array" ref="C41">IFERROR(_xlfn.LET(_xlpm.result,RANK(_xlfn.XLOOKUP($A41,$A$2:$A$28,_xlfn.XLOOKUP(C$31,$B$1:$N$1,$B$2:$N$28)),$B$2:$N$28),IF(_xlpm.result&gt;150,"",_xlpm.result)),"")</f>
        <v>32</v>
      </c>
      <c r="D41" s="1" cm="1">
        <f t="array" ref="D41">IFERROR(_xlfn.LET(_xlpm.result,RANK(_xlfn.XLOOKUP($A41,$A$2:$A$28,_xlfn.XLOOKUP(D$31,$B$1:$N$1,$B$2:$N$28)),$B$2:$N$28),IF(_xlpm.result&gt;150,"",_xlpm.result)),"")</f>
        <v>69</v>
      </c>
      <c r="E41" s="1" cm="1">
        <f t="array" ref="E41">IFERROR(_xlfn.LET(_xlpm.result,RANK(_xlfn.XLOOKUP($A41,$A$2:$A$28,_xlfn.XLOOKUP(E$31,$B$1:$N$1,$B$2:$N$28)),$B$2:$N$28),IF(_xlpm.result&gt;150,"",_xlpm.result)),"")</f>
        <v>15</v>
      </c>
      <c r="F41" s="1" cm="1">
        <f t="array" ref="F41">IFERROR(_xlfn.LET(_xlpm.result,RANK(_xlfn.XLOOKUP($A41,$A$2:$A$28,_xlfn.XLOOKUP(F$31,$B$1:$N$1,$B$2:$N$28)),$B$2:$N$28),IF(_xlpm.result&gt;150,"",_xlpm.result)),"")</f>
        <v>143</v>
      </c>
      <c r="G41" s="1" cm="1">
        <f t="array" ref="G41">IFERROR(_xlfn.LET(_xlpm.result,RANK(_xlfn.XLOOKUP($A41,$A$2:$A$28,_xlfn.XLOOKUP(G$31,$B$1:$N$1,$B$2:$N$28)),$B$2:$N$28),IF(_xlpm.result&gt;150,"",_xlpm.result)),"")</f>
        <v>3</v>
      </c>
      <c r="H41" s="1" cm="1">
        <f t="array" ref="H41">IFERROR(_xlfn.LET(_xlpm.result,RANK(_xlfn.XLOOKUP($A41,$A$2:$A$28,_xlfn.XLOOKUP(H$31,$B$1:$N$1,$B$2:$N$28)),$B$2:$N$28),IF(_xlpm.result&gt;150,"",_xlpm.result)),"")</f>
        <v>48</v>
      </c>
      <c r="I41" s="1" t="str" cm="1">
        <f t="array" ref="I41">IFERROR(_xlfn.LET(_xlpm.result,RANK(_xlfn.XLOOKUP($A41,$A$2:$A$28,_xlfn.XLOOKUP(I$31,$B$1:$N$1,$B$2:$N$28)),$B$2:$N$28),IF(_xlpm.result&gt;150,"",_xlpm.result)),"")</f>
        <v/>
      </c>
      <c r="J41" s="12" cm="1">
        <f t="array" ref="J41">IFERROR(_xlfn.LET(_xlpm.result,RANK(_xlfn.XLOOKUP($A41,$A$2:$A$28,_xlfn.XLOOKUP(J$31,$B$1:$N$1,$B$2:$N$28)),$B$2:$N$28),IF(_xlpm.result&gt;150,"",_xlpm.result)),"")</f>
        <v>38</v>
      </c>
      <c r="K41" s="1" cm="1">
        <f t="array" ref="K41">IFERROR(_xlfn.LET(_xlpm.result,RANK(_xlfn.XLOOKUP($A41,$A$2:$A$28,_xlfn.XLOOKUP(K$31,$B$1:$N$1,$B$2:$N$28)),$B$2:$N$28),IF(_xlpm.result&gt;150,"",_xlpm.result)),"")</f>
        <v>119</v>
      </c>
      <c r="L41" s="1" cm="1">
        <f t="array" ref="L41">IFERROR(_xlfn.LET(_xlpm.result,RANK(_xlfn.XLOOKUP($A41,$A$2:$A$28,_xlfn.XLOOKUP(L$31,$B$1:$N$1,$B$2:$N$28)),$B$2:$N$28),IF(_xlpm.result&gt;150,"",_xlpm.result)),"")</f>
        <v>38</v>
      </c>
      <c r="M41" s="1" cm="1">
        <f t="array" ref="M41">IFERROR(_xlfn.LET(_xlpm.result,RANK(_xlfn.XLOOKUP($A41,$A$2:$A$28,_xlfn.XLOOKUP(M$31,$B$1:$N$1,$B$2:$N$28)),$B$2:$N$28),IF(_xlpm.result&gt;150,"",_xlpm.result)),"")</f>
        <v>35</v>
      </c>
      <c r="N41" s="1" cm="1">
        <f t="array" ref="N41">IFERROR(_xlfn.LET(_xlpm.result,RANK(_xlfn.XLOOKUP($A41,$A$2:$A$28,_xlfn.XLOOKUP(N$31,$B$1:$N$1,$B$2:$N$28)),$B$2:$N$28),IF(_xlpm.result&gt;150,"",_xlpm.result)),"")</f>
        <v>48</v>
      </c>
      <c r="O41">
        <f t="shared" si="0"/>
        <v>12</v>
      </c>
      <c r="P41" s="10">
        <f t="shared" si="1"/>
        <v>2</v>
      </c>
    </row>
    <row r="42" spans="1:17" s="16" customFormat="1" ht="21" x14ac:dyDescent="0.35">
      <c r="A42" t="s">
        <v>33</v>
      </c>
      <c r="B42" s="1" t="str" cm="1">
        <f t="array" ref="B42">IFERROR(_xlfn.LET(_xlpm.result,RANK(_xlfn.XLOOKUP($A42,$A$2:$A$28,_xlfn.XLOOKUP(B$31,$B$1:$N$1,$B$2:$N$28)),$B$2:$N$28),IF(_xlpm.result&gt;150,"",_xlpm.result)),"")</f>
        <v/>
      </c>
      <c r="C42" s="1" t="str" cm="1">
        <f t="array" ref="C42">IFERROR(_xlfn.LET(_xlpm.result,RANK(_xlfn.XLOOKUP($A42,$A$2:$A$28,_xlfn.XLOOKUP(C$31,$B$1:$N$1,$B$2:$N$28)),$B$2:$N$28),IF(_xlpm.result&gt;150,"",_xlpm.result)),"")</f>
        <v/>
      </c>
      <c r="D42" s="1" cm="1">
        <f t="array" ref="D42">IFERROR(_xlfn.LET(_xlpm.result,RANK(_xlfn.XLOOKUP($A42,$A$2:$A$28,_xlfn.XLOOKUP(D$31,$B$1:$N$1,$B$2:$N$28)),$B$2:$N$28),IF(_xlpm.result&gt;150,"",_xlpm.result)),"")</f>
        <v>147</v>
      </c>
      <c r="E42" s="1" cm="1">
        <f t="array" ref="E42">IFERROR(_xlfn.LET(_xlpm.result,RANK(_xlfn.XLOOKUP($A42,$A$2:$A$28,_xlfn.XLOOKUP(E$31,$B$1:$N$1,$B$2:$N$28)),$B$2:$N$28),IF(_xlpm.result&gt;150,"",_xlpm.result)),"")</f>
        <v>76</v>
      </c>
      <c r="F42" s="1" t="str" cm="1">
        <f t="array" ref="F42">IFERROR(_xlfn.LET(_xlpm.result,RANK(_xlfn.XLOOKUP($A42,$A$2:$A$28,_xlfn.XLOOKUP(F$31,$B$1:$N$1,$B$2:$N$28)),$B$2:$N$28),IF(_xlpm.result&gt;150,"",_xlpm.result)),"")</f>
        <v/>
      </c>
      <c r="G42" s="12" t="str" cm="1">
        <f t="array" ref="G42">IFERROR(_xlfn.LET(_xlpm.result,RANK(_xlfn.XLOOKUP($A42,$A$2:$A$28,_xlfn.XLOOKUP(G$31,$B$1:$N$1,$B$2:$N$28)),$B$2:$N$28),IF(_xlpm.result&gt;150,"",_xlpm.result)),"")</f>
        <v/>
      </c>
      <c r="H42" s="1" cm="1">
        <f t="array" ref="H42">IFERROR(_xlfn.LET(_xlpm.result,RANK(_xlfn.XLOOKUP($A42,$A$2:$A$28,_xlfn.XLOOKUP(H$31,$B$1:$N$1,$B$2:$N$28)),$B$2:$N$28),IF(_xlpm.result&gt;150,"",_xlpm.result)),"")</f>
        <v>123</v>
      </c>
      <c r="I42" s="1" cm="1">
        <f t="array" ref="I42">IFERROR(_xlfn.LET(_xlpm.result,RANK(_xlfn.XLOOKUP($A42,$A$2:$A$28,_xlfn.XLOOKUP(I$31,$B$1:$N$1,$B$2:$N$28)),$B$2:$N$28),IF(_xlpm.result&gt;150,"",_xlpm.result)),"")</f>
        <v>19</v>
      </c>
      <c r="J42" s="1" t="str" cm="1">
        <f t="array" ref="J42">IFERROR(_xlfn.LET(_xlpm.result,RANK(_xlfn.XLOOKUP($A42,$A$2:$A$28,_xlfn.XLOOKUP(J$31,$B$1:$N$1,$B$2:$N$28)),$B$2:$N$28),IF(_xlpm.result&gt;150,"",_xlpm.result)),"")</f>
        <v/>
      </c>
      <c r="K42" s="1" cm="1">
        <f t="array" ref="K42">IFERROR(_xlfn.LET(_xlpm.result,RANK(_xlfn.XLOOKUP($A42,$A$2:$A$28,_xlfn.XLOOKUP(K$31,$B$1:$N$1,$B$2:$N$28)),$B$2:$N$28),IF(_xlpm.result&gt;150,"",_xlpm.result)),"")</f>
        <v>48</v>
      </c>
      <c r="L42" s="1" t="str" cm="1">
        <f t="array" ref="L42">IFERROR(_xlfn.LET(_xlpm.result,RANK(_xlfn.XLOOKUP($A42,$A$2:$A$28,_xlfn.XLOOKUP(L$31,$B$1:$N$1,$B$2:$N$28)),$B$2:$N$28),IF(_xlpm.result&gt;150,"",_xlpm.result)),"")</f>
        <v/>
      </c>
      <c r="M42" s="1" t="str" cm="1">
        <f t="array" ref="M42">IFERROR(_xlfn.LET(_xlpm.result,RANK(_xlfn.XLOOKUP($A42,$A$2:$A$28,_xlfn.XLOOKUP(M$31,$B$1:$N$1,$B$2:$N$28)),$B$2:$N$28),IF(_xlpm.result&gt;150,"",_xlpm.result)),"")</f>
        <v/>
      </c>
      <c r="N42" s="1" cm="1">
        <f t="array" ref="N42">IFERROR(_xlfn.LET(_xlpm.result,RANK(_xlfn.XLOOKUP($A42,$A$2:$A$28,_xlfn.XLOOKUP(N$31,$B$1:$N$1,$B$2:$N$28)),$B$2:$N$28),IF(_xlpm.result&gt;150,"",_xlpm.result)),"")</f>
        <v>19</v>
      </c>
      <c r="O42">
        <f t="shared" si="0"/>
        <v>6</v>
      </c>
      <c r="P42" s="10">
        <f t="shared" si="1"/>
        <v>19</v>
      </c>
      <c r="Q42">
        <v>14</v>
      </c>
    </row>
    <row r="43" spans="1:17" ht="21" x14ac:dyDescent="0.35">
      <c r="A43" t="s">
        <v>34</v>
      </c>
      <c r="B43" s="1" cm="1">
        <f t="array" ref="B43">IFERROR(_xlfn.LET(_xlpm.result,RANK(_xlfn.XLOOKUP($A43,$A$2:$A$28,_xlfn.XLOOKUP(B$31,$B$1:$N$1,$B$2:$N$28)),$B$2:$N$28),IF(_xlpm.result&gt;150,"",_xlpm.result)),"")</f>
        <v>138</v>
      </c>
      <c r="C43" s="1" cm="1">
        <f t="array" ref="C43">IFERROR(_xlfn.LET(_xlpm.result,RANK(_xlfn.XLOOKUP($A43,$A$2:$A$28,_xlfn.XLOOKUP(C$31,$B$1:$N$1,$B$2:$N$28)),$B$2:$N$28),IF(_xlpm.result&gt;150,"",_xlpm.result)),"")</f>
        <v>9</v>
      </c>
      <c r="D43" s="1" cm="1">
        <f t="array" ref="D43">IFERROR(_xlfn.LET(_xlpm.result,RANK(_xlfn.XLOOKUP($A43,$A$2:$A$28,_xlfn.XLOOKUP(D$31,$B$1:$N$1,$B$2:$N$28)),$B$2:$N$28),IF(_xlpm.result&gt;150,"",_xlpm.result)),"")</f>
        <v>100</v>
      </c>
      <c r="E43" s="1" cm="1">
        <f t="array" ref="E43">IFERROR(_xlfn.LET(_xlpm.result,RANK(_xlfn.XLOOKUP($A43,$A$2:$A$28,_xlfn.XLOOKUP(E$31,$B$1:$N$1,$B$2:$N$28)),$B$2:$N$28),IF(_xlpm.result&gt;150,"",_xlpm.result)),"")</f>
        <v>114</v>
      </c>
      <c r="F43" s="1" cm="1">
        <f t="array" ref="F43">IFERROR(_xlfn.LET(_xlpm.result,RANK(_xlfn.XLOOKUP($A43,$A$2:$A$28,_xlfn.XLOOKUP(F$31,$B$1:$N$1,$B$2:$N$28)),$B$2:$N$28),IF(_xlpm.result&gt;150,"",_xlpm.result)),"")</f>
        <v>147</v>
      </c>
      <c r="G43" s="1" cm="1">
        <f t="array" ref="G43">IFERROR(_xlfn.LET(_xlpm.result,RANK(_xlfn.XLOOKUP($A43,$A$2:$A$28,_xlfn.XLOOKUP(G$31,$B$1:$N$1,$B$2:$N$28)),$B$2:$N$28),IF(_xlpm.result&gt;150,"",_xlpm.result)),"")</f>
        <v>88</v>
      </c>
      <c r="H43" s="1" cm="1">
        <f t="array" ref="H43">IFERROR(_xlfn.LET(_xlpm.result,RANK(_xlfn.XLOOKUP($A43,$A$2:$A$28,_xlfn.XLOOKUP(H$31,$B$1:$N$1,$B$2:$N$28)),$B$2:$N$28),IF(_xlpm.result&gt;150,"",_xlpm.result)),"")</f>
        <v>88</v>
      </c>
      <c r="I43" s="12" cm="1">
        <f t="array" ref="I43">IFERROR(_xlfn.LET(_xlpm.result,RANK(_xlfn.XLOOKUP($A43,$A$2:$A$28,_xlfn.XLOOKUP(I$31,$B$1:$N$1,$B$2:$N$28)),$B$2:$N$28),IF(_xlpm.result&gt;150,"",_xlpm.result)),"")</f>
        <v>62</v>
      </c>
      <c r="J43" s="1" cm="1">
        <f t="array" ref="J43">IFERROR(_xlfn.LET(_xlpm.result,RANK(_xlfn.XLOOKUP($A43,$A$2:$A$28,_xlfn.XLOOKUP(J$31,$B$1:$N$1,$B$2:$N$28)),$B$2:$N$28),IF(_xlpm.result&gt;150,"",_xlpm.result)),"")</f>
        <v>71</v>
      </c>
      <c r="K43" s="1" cm="1">
        <f t="array" ref="K43">IFERROR(_xlfn.LET(_xlpm.result,RANK(_xlfn.XLOOKUP($A43,$A$2:$A$28,_xlfn.XLOOKUP(K$31,$B$1:$N$1,$B$2:$N$28)),$B$2:$N$28),IF(_xlpm.result&gt;150,"",_xlpm.result)),"")</f>
        <v>63</v>
      </c>
      <c r="L43" s="1" cm="1">
        <f t="array" ref="L43">IFERROR(_xlfn.LET(_xlpm.result,RANK(_xlfn.XLOOKUP($A43,$A$2:$A$28,_xlfn.XLOOKUP(L$31,$B$1:$N$1,$B$2:$N$28)),$B$2:$N$28),IF(_xlpm.result&gt;150,"",_xlpm.result)),"")</f>
        <v>1</v>
      </c>
      <c r="M43" s="1" cm="1">
        <f t="array" ref="M43">IFERROR(_xlfn.LET(_xlpm.result,RANK(_xlfn.XLOOKUP($A43,$A$2:$A$28,_xlfn.XLOOKUP(M$31,$B$1:$N$1,$B$2:$N$28)),$B$2:$N$28),IF(_xlpm.result&gt;150,"",_xlpm.result)),"")</f>
        <v>88</v>
      </c>
      <c r="N43" s="1" cm="1">
        <f t="array" ref="N43">IFERROR(_xlfn.LET(_xlpm.result,RANK(_xlfn.XLOOKUP($A43,$A$2:$A$28,_xlfn.XLOOKUP(N$31,$B$1:$N$1,$B$2:$N$28)),$B$2:$N$28),IF(_xlpm.result&gt;150,"",_xlpm.result)),"")</f>
        <v>9</v>
      </c>
      <c r="O43">
        <f t="shared" si="0"/>
        <v>13</v>
      </c>
      <c r="P43" s="10">
        <f t="shared" si="1"/>
        <v>1</v>
      </c>
      <c r="Q43">
        <v>13</v>
      </c>
    </row>
    <row r="44" spans="1:17" s="16" customFormat="1" x14ac:dyDescent="0.25">
      <c r="A44" t="s">
        <v>35</v>
      </c>
      <c r="B44" s="1" cm="1">
        <f t="array" ref="B44">IFERROR(_xlfn.LET(_xlpm.result,RANK(_xlfn.XLOOKUP($A44,$A$2:$A$28,_xlfn.XLOOKUP(B$31,$B$1:$N$1,$B$2:$N$28)),$B$2:$N$28),IF(_xlpm.result&gt;150,"",_xlpm.result)),"")</f>
        <v>72</v>
      </c>
      <c r="C44" s="1" t="str" cm="1">
        <f t="array" ref="C44">IFERROR(_xlfn.LET(_xlpm.result,RANK(_xlfn.XLOOKUP($A44,$A$2:$A$28,_xlfn.XLOOKUP(C$31,$B$1:$N$1,$B$2:$N$28)),$B$2:$N$28),IF(_xlpm.result&gt;150,"",_xlpm.result)),"")</f>
        <v/>
      </c>
      <c r="D44" s="1" cm="1">
        <f t="array" ref="D44">IFERROR(_xlfn.LET(_xlpm.result,RANK(_xlfn.XLOOKUP($A44,$A$2:$A$28,_xlfn.XLOOKUP(D$31,$B$1:$N$1,$B$2:$N$28)),$B$2:$N$28),IF(_xlpm.result&gt;150,"",_xlpm.result)),"")</f>
        <v>147</v>
      </c>
      <c r="E44" s="1" t="str" cm="1">
        <f t="array" ref="E44">IFERROR(_xlfn.LET(_xlpm.result,RANK(_xlfn.XLOOKUP($A44,$A$2:$A$28,_xlfn.XLOOKUP(E$31,$B$1:$N$1,$B$2:$N$28)),$B$2:$N$28),IF(_xlpm.result&gt;150,"",_xlpm.result)),"")</f>
        <v/>
      </c>
      <c r="F44" s="1" t="str" cm="1">
        <f t="array" ref="F44">IFERROR(_xlfn.LET(_xlpm.result,RANK(_xlfn.XLOOKUP($A44,$A$2:$A$28,_xlfn.XLOOKUP(F$31,$B$1:$N$1,$B$2:$N$28)),$B$2:$N$28),IF(_xlpm.result&gt;150,"",_xlpm.result)),"")</f>
        <v/>
      </c>
      <c r="G44" s="1" t="str" cm="1">
        <f t="array" ref="G44">IFERROR(_xlfn.LET(_xlpm.result,RANK(_xlfn.XLOOKUP($A44,$A$2:$A$28,_xlfn.XLOOKUP(G$31,$B$1:$N$1,$B$2:$N$28)),$B$2:$N$28),IF(_xlpm.result&gt;150,"",_xlpm.result)),"")</f>
        <v/>
      </c>
      <c r="H44" s="1" t="str" cm="1">
        <f t="array" ref="H44">IFERROR(_xlfn.LET(_xlpm.result,RANK(_xlfn.XLOOKUP($A44,$A$2:$A$28,_xlfn.XLOOKUP(H$31,$B$1:$N$1,$B$2:$N$28)),$B$2:$N$28),IF(_xlpm.result&gt;150,"",_xlpm.result)),"")</f>
        <v/>
      </c>
      <c r="I44" s="1" t="str" cm="1">
        <f t="array" ref="I44">IFERROR(_xlfn.LET(_xlpm.result,RANK(_xlfn.XLOOKUP($A44,$A$2:$A$28,_xlfn.XLOOKUP(I$31,$B$1:$N$1,$B$2:$N$28)),$B$2:$N$28),IF(_xlpm.result&gt;150,"",_xlpm.result)),"")</f>
        <v/>
      </c>
      <c r="J44" s="1" t="str" cm="1">
        <f t="array" ref="J44">IFERROR(_xlfn.LET(_xlpm.result,RANK(_xlfn.XLOOKUP($A44,$A$2:$A$28,_xlfn.XLOOKUP(J$31,$B$1:$N$1,$B$2:$N$28)),$B$2:$N$28),IF(_xlpm.result&gt;150,"",_xlpm.result)),"")</f>
        <v/>
      </c>
      <c r="K44" s="1" t="str" cm="1">
        <f t="array" ref="K44">IFERROR(_xlfn.LET(_xlpm.result,RANK(_xlfn.XLOOKUP($A44,$A$2:$A$28,_xlfn.XLOOKUP(K$31,$B$1:$N$1,$B$2:$N$28)),$B$2:$N$28),IF(_xlpm.result&gt;150,"",_xlpm.result)),"")</f>
        <v/>
      </c>
      <c r="L44" s="1" t="str" cm="1">
        <f t="array" ref="L44">IFERROR(_xlfn.LET(_xlpm.result,RANK(_xlfn.XLOOKUP($A44,$A$2:$A$28,_xlfn.XLOOKUP(L$31,$B$1:$N$1,$B$2:$N$28)),$B$2:$N$28),IF(_xlpm.result&gt;150,"",_xlpm.result)),"")</f>
        <v/>
      </c>
      <c r="M44" s="1" cm="1">
        <f t="array" ref="M44">IFERROR(_xlfn.LET(_xlpm.result,RANK(_xlfn.XLOOKUP($A44,$A$2:$A$28,_xlfn.XLOOKUP(M$31,$B$1:$N$1,$B$2:$N$28)),$B$2:$N$28),IF(_xlpm.result&gt;150,"",_xlpm.result)),"")</f>
        <v>93</v>
      </c>
      <c r="N44" s="1" t="str" cm="1">
        <f t="array" ref="N44">IFERROR(_xlfn.LET(_xlpm.result,RANK(_xlfn.XLOOKUP($A44,$A$2:$A$28,_xlfn.XLOOKUP(N$31,$B$1:$N$1,$B$2:$N$28)),$B$2:$N$28),IF(_xlpm.result&gt;150,"",_xlpm.result)),"")</f>
        <v/>
      </c>
      <c r="O44">
        <f t="shared" si="0"/>
        <v>3</v>
      </c>
      <c r="P44" s="10">
        <f t="shared" si="1"/>
        <v>72</v>
      </c>
      <c r="Q44">
        <v>12</v>
      </c>
    </row>
    <row r="45" spans="1:17" ht="21" x14ac:dyDescent="0.35">
      <c r="A45" t="s">
        <v>36</v>
      </c>
      <c r="B45" s="1" cm="1">
        <f t="array" ref="B45">IFERROR(_xlfn.LET(_xlpm.result,RANK(_xlfn.XLOOKUP($A45,$A$2:$A$28,_xlfn.XLOOKUP(B$31,$B$1:$N$1,$B$2:$N$28)),$B$2:$N$28),IF(_xlpm.result&gt;150,"",_xlpm.result)),"")</f>
        <v>57</v>
      </c>
      <c r="C45" s="1" t="str" cm="1">
        <f t="array" ref="C45">IFERROR(_xlfn.LET(_xlpm.result,RANK(_xlfn.XLOOKUP($A45,$A$2:$A$28,_xlfn.XLOOKUP(C$31,$B$1:$N$1,$B$2:$N$28)),$B$2:$N$28),IF(_xlpm.result&gt;150,"",_xlpm.result)),"")</f>
        <v/>
      </c>
      <c r="D45" s="1" cm="1">
        <f t="array" ref="D45">IFERROR(_xlfn.LET(_xlpm.result,RANK(_xlfn.XLOOKUP($A45,$A$2:$A$28,_xlfn.XLOOKUP(D$31,$B$1:$N$1,$B$2:$N$28)),$B$2:$N$28),IF(_xlpm.result&gt;150,"",_xlpm.result)),"")</f>
        <v>98</v>
      </c>
      <c r="E45" s="1" cm="1">
        <f t="array" ref="E45">IFERROR(_xlfn.LET(_xlpm.result,RANK(_xlfn.XLOOKUP($A45,$A$2:$A$28,_xlfn.XLOOKUP(E$31,$B$1:$N$1,$B$2:$N$28)),$B$2:$N$28),IF(_xlpm.result&gt;150,"",_xlpm.result)),"")</f>
        <v>12</v>
      </c>
      <c r="F45" s="1" cm="1">
        <f t="array" ref="F45">IFERROR(_xlfn.LET(_xlpm.result,RANK(_xlfn.XLOOKUP($A45,$A$2:$A$28,_xlfn.XLOOKUP(F$31,$B$1:$N$1,$B$2:$N$28)),$B$2:$N$28),IF(_xlpm.result&gt;150,"",_xlpm.result)),"")</f>
        <v>128</v>
      </c>
      <c r="G45" s="1" cm="1">
        <f t="array" ref="G45">IFERROR(_xlfn.LET(_xlpm.result,RANK(_xlfn.XLOOKUP($A45,$A$2:$A$28,_xlfn.XLOOKUP(G$31,$B$1:$N$1,$B$2:$N$28)),$B$2:$N$28),IF(_xlpm.result&gt;150,"",_xlpm.result)),"")</f>
        <v>119</v>
      </c>
      <c r="H45" s="1" cm="1">
        <f t="array" ref="H45">IFERROR(_xlfn.LET(_xlpm.result,RANK(_xlfn.XLOOKUP($A45,$A$2:$A$28,_xlfn.XLOOKUP(H$31,$B$1:$N$1,$B$2:$N$28)),$B$2:$N$28),IF(_xlpm.result&gt;150,"",_xlpm.result)),"")</f>
        <v>147</v>
      </c>
      <c r="I45" s="1" cm="1">
        <f t="array" ref="I45">IFERROR(_xlfn.LET(_xlpm.result,RANK(_xlfn.XLOOKUP($A45,$A$2:$A$28,_xlfn.XLOOKUP(I$31,$B$1:$N$1,$B$2:$N$28)),$B$2:$N$28),IF(_xlpm.result&gt;150,"",_xlpm.result)),"")</f>
        <v>45</v>
      </c>
      <c r="J45" s="1" t="str" cm="1">
        <f t="array" ref="J45">IFERROR(_xlfn.LET(_xlpm.result,RANK(_xlfn.XLOOKUP($A45,$A$2:$A$28,_xlfn.XLOOKUP(J$31,$B$1:$N$1,$B$2:$N$28)),$B$2:$N$28),IF(_xlpm.result&gt;150,"",_xlpm.result)),"")</f>
        <v/>
      </c>
      <c r="K45" s="1" t="str" cm="1">
        <f t="array" ref="K45">IFERROR(_xlfn.LET(_xlpm.result,RANK(_xlfn.XLOOKUP($A45,$A$2:$A$28,_xlfn.XLOOKUP(K$31,$B$1:$N$1,$B$2:$N$28)),$B$2:$N$28),IF(_xlpm.result&gt;150,"",_xlpm.result)),"")</f>
        <v/>
      </c>
      <c r="L45" s="1" cm="1">
        <f t="array" ref="L45">IFERROR(_xlfn.LET(_xlpm.result,RANK(_xlfn.XLOOKUP($A45,$A$2:$A$28,_xlfn.XLOOKUP(L$31,$B$1:$N$1,$B$2:$N$28)),$B$2:$N$28),IF(_xlpm.result&gt;150,"",_xlpm.result)),"")</f>
        <v>141</v>
      </c>
      <c r="M45" s="12" t="str" cm="1">
        <f t="array" ref="M45">IFERROR(_xlfn.LET(_xlpm.result,RANK(_xlfn.XLOOKUP($A45,$A$2:$A$28,_xlfn.XLOOKUP(M$31,$B$1:$N$1,$B$2:$N$28)),$B$2:$N$28),IF(_xlpm.result&gt;150,"",_xlpm.result)),"")</f>
        <v/>
      </c>
      <c r="N45" s="1" t="str" cm="1">
        <f t="array" ref="N45">IFERROR(_xlfn.LET(_xlpm.result,RANK(_xlfn.XLOOKUP($A45,$A$2:$A$28,_xlfn.XLOOKUP(N$31,$B$1:$N$1,$B$2:$N$28)),$B$2:$N$28),IF(_xlpm.result&gt;150,"",_xlpm.result)),"")</f>
        <v/>
      </c>
      <c r="O45" s="2">
        <f t="shared" si="0"/>
        <v>8</v>
      </c>
      <c r="P45" s="10">
        <f t="shared" si="1"/>
        <v>12</v>
      </c>
      <c r="Q45">
        <v>11</v>
      </c>
    </row>
    <row r="46" spans="1:17" s="16" customFormat="1" x14ac:dyDescent="0.25">
      <c r="A46" t="s">
        <v>38</v>
      </c>
      <c r="B46" s="1" t="str" cm="1">
        <f t="array" ref="B46">IFERROR(_xlfn.LET(_xlpm.result,RANK(_xlfn.XLOOKUP($A46,$A$2:$A$28,_xlfn.XLOOKUP(B$31,$B$1:$N$1,$B$2:$N$28)),$B$2:$N$28),IF(_xlpm.result&gt;150,"",_xlpm.result)),"")</f>
        <v/>
      </c>
      <c r="C46" s="1" cm="1">
        <f t="array" ref="C46">IFERROR(_xlfn.LET(_xlpm.result,RANK(_xlfn.XLOOKUP($A46,$A$2:$A$28,_xlfn.XLOOKUP(C$31,$B$1:$N$1,$B$2:$N$28)),$B$2:$N$28),IF(_xlpm.result&gt;150,"",_xlpm.result)),"")</f>
        <v>146</v>
      </c>
      <c r="D46" s="1" t="str" cm="1">
        <f t="array" ref="D46">IFERROR(_xlfn.LET(_xlpm.result,RANK(_xlfn.XLOOKUP($A46,$A$2:$A$28,_xlfn.XLOOKUP(D$31,$B$1:$N$1,$B$2:$N$28)),$B$2:$N$28),IF(_xlpm.result&gt;150,"",_xlpm.result)),"")</f>
        <v/>
      </c>
      <c r="E46" s="1" t="str" cm="1">
        <f t="array" ref="E46">IFERROR(_xlfn.LET(_xlpm.result,RANK(_xlfn.XLOOKUP($A46,$A$2:$A$28,_xlfn.XLOOKUP(E$31,$B$1:$N$1,$B$2:$N$28)),$B$2:$N$28),IF(_xlpm.result&gt;150,"",_xlpm.result)),"")</f>
        <v/>
      </c>
      <c r="F46" s="1" t="str" cm="1">
        <f t="array" ref="F46">IFERROR(_xlfn.LET(_xlpm.result,RANK(_xlfn.XLOOKUP($A46,$A$2:$A$28,_xlfn.XLOOKUP(F$31,$B$1:$N$1,$B$2:$N$28)),$B$2:$N$28),IF(_xlpm.result&gt;150,"",_xlpm.result)),"")</f>
        <v/>
      </c>
      <c r="G46" s="1" t="str" cm="1">
        <f t="array" ref="G46">IFERROR(_xlfn.LET(_xlpm.result,RANK(_xlfn.XLOOKUP($A46,$A$2:$A$28,_xlfn.XLOOKUP(G$31,$B$1:$N$1,$B$2:$N$28)),$B$2:$N$28),IF(_xlpm.result&gt;150,"",_xlpm.result)),"")</f>
        <v/>
      </c>
      <c r="H46" s="1" cm="1">
        <f t="array" ref="H46">IFERROR(_xlfn.LET(_xlpm.result,RANK(_xlfn.XLOOKUP($A46,$A$2:$A$28,_xlfn.XLOOKUP(H$31,$B$1:$N$1,$B$2:$N$28)),$B$2:$N$28),IF(_xlpm.result&gt;150,"",_xlpm.result)),"")</f>
        <v>147</v>
      </c>
      <c r="I46" s="1" cm="1">
        <f t="array" ref="I46">IFERROR(_xlfn.LET(_xlpm.result,RANK(_xlfn.XLOOKUP($A46,$A$2:$A$28,_xlfn.XLOOKUP(I$31,$B$1:$N$1,$B$2:$N$28)),$B$2:$N$28),IF(_xlpm.result&gt;150,"",_xlpm.result)),"")</f>
        <v>96</v>
      </c>
      <c r="J46" s="1" cm="1">
        <f t="array" ref="J46">IFERROR(_xlfn.LET(_xlpm.result,RANK(_xlfn.XLOOKUP($A46,$A$2:$A$28,_xlfn.XLOOKUP(J$31,$B$1:$N$1,$B$2:$N$28)),$B$2:$N$28),IF(_xlpm.result&gt;150,"",_xlpm.result)),"")</f>
        <v>111</v>
      </c>
      <c r="K46" s="1" t="str" cm="1">
        <f t="array" ref="K46">IFERROR(_xlfn.LET(_xlpm.result,RANK(_xlfn.XLOOKUP($A46,$A$2:$A$28,_xlfn.XLOOKUP(K$31,$B$1:$N$1,$B$2:$N$28)),$B$2:$N$28),IF(_xlpm.result&gt;150,"",_xlpm.result)),"")</f>
        <v/>
      </c>
      <c r="L46" s="1" cm="1">
        <f t="array" ref="L46">IFERROR(_xlfn.LET(_xlpm.result,RANK(_xlfn.XLOOKUP($A46,$A$2:$A$28,_xlfn.XLOOKUP(L$31,$B$1:$N$1,$B$2:$N$28)),$B$2:$N$28),IF(_xlpm.result&gt;150,"",_xlpm.result)),"")</f>
        <v>83</v>
      </c>
      <c r="M46" s="1" t="str" cm="1">
        <f t="array" ref="M46">IFERROR(_xlfn.LET(_xlpm.result,RANK(_xlfn.XLOOKUP($A46,$A$2:$A$28,_xlfn.XLOOKUP(M$31,$B$1:$N$1,$B$2:$N$28)),$B$2:$N$28),IF(_xlpm.result&gt;150,"",_xlpm.result)),"")</f>
        <v/>
      </c>
      <c r="N46" s="1" t="str" cm="1">
        <f t="array" ref="N46">IFERROR(_xlfn.LET(_xlpm.result,RANK(_xlfn.XLOOKUP($A46,$A$2:$A$28,_xlfn.XLOOKUP(N$31,$B$1:$N$1,$B$2:$N$28)),$B$2:$N$28),IF(_xlpm.result&gt;150,"",_xlpm.result)),"")</f>
        <v/>
      </c>
      <c r="O46">
        <f t="shared" si="0"/>
        <v>5</v>
      </c>
      <c r="P46" s="10">
        <f t="shared" si="1"/>
        <v>83</v>
      </c>
      <c r="Q46">
        <v>10</v>
      </c>
    </row>
    <row r="47" spans="1:17" x14ac:dyDescent="0.25">
      <c r="A47" t="s">
        <v>39</v>
      </c>
      <c r="B47" s="1" cm="1">
        <f t="array" ref="B47">IFERROR(_xlfn.LET(_xlpm.result,RANK(_xlfn.XLOOKUP($A47,$A$2:$A$28,_xlfn.XLOOKUP(B$31,$B$1:$N$1,$B$2:$N$28)),$B$2:$N$28),IF(_xlpm.result&gt;150,"",_xlpm.result)),"")</f>
        <v>147</v>
      </c>
      <c r="C47" s="1" t="str" cm="1">
        <f t="array" ref="C47">IFERROR(_xlfn.LET(_xlpm.result,RANK(_xlfn.XLOOKUP($A47,$A$2:$A$28,_xlfn.XLOOKUP(C$31,$B$1:$N$1,$B$2:$N$28)),$B$2:$N$28),IF(_xlpm.result&gt;150,"",_xlpm.result)),"")</f>
        <v/>
      </c>
      <c r="D47" s="1" t="str" cm="1">
        <f t="array" ref="D47">IFERROR(_xlfn.LET(_xlpm.result,RANK(_xlfn.XLOOKUP($A47,$A$2:$A$28,_xlfn.XLOOKUP(D$31,$B$1:$N$1,$B$2:$N$28)),$B$2:$N$28),IF(_xlpm.result&gt;150,"",_xlpm.result)),"")</f>
        <v/>
      </c>
      <c r="E47" s="1" t="str" cm="1">
        <f t="array" ref="E47">IFERROR(_xlfn.LET(_xlpm.result,RANK(_xlfn.XLOOKUP($A47,$A$2:$A$28,_xlfn.XLOOKUP(E$31,$B$1:$N$1,$B$2:$N$28)),$B$2:$N$28),IF(_xlpm.result&gt;150,"",_xlpm.result)),"")</f>
        <v/>
      </c>
      <c r="F47" s="1" cm="1">
        <f t="array" ref="F47">IFERROR(_xlfn.LET(_xlpm.result,RANK(_xlfn.XLOOKUP($A47,$A$2:$A$28,_xlfn.XLOOKUP(F$31,$B$1:$N$1,$B$2:$N$28)),$B$2:$N$28),IF(_xlpm.result&gt;150,"",_xlpm.result)),"")</f>
        <v>137</v>
      </c>
      <c r="G47" s="1" cm="1">
        <f t="array" ref="G47">IFERROR(_xlfn.LET(_xlpm.result,RANK(_xlfn.XLOOKUP($A47,$A$2:$A$28,_xlfn.XLOOKUP(G$31,$B$1:$N$1,$B$2:$N$28)),$B$2:$N$28),IF(_xlpm.result&gt;150,"",_xlpm.result)),"")</f>
        <v>138</v>
      </c>
      <c r="H47" s="1" t="str" cm="1">
        <f t="array" ref="H47">IFERROR(_xlfn.LET(_xlpm.result,RANK(_xlfn.XLOOKUP($A47,$A$2:$A$28,_xlfn.XLOOKUP(H$31,$B$1:$N$1,$B$2:$N$28)),$B$2:$N$28),IF(_xlpm.result&gt;150,"",_xlpm.result)),"")</f>
        <v/>
      </c>
      <c r="I47" s="1" t="str" cm="1">
        <f t="array" ref="I47">IFERROR(_xlfn.LET(_xlpm.result,RANK(_xlfn.XLOOKUP($A47,$A$2:$A$28,_xlfn.XLOOKUP(I$31,$B$1:$N$1,$B$2:$N$28)),$B$2:$N$28),IF(_xlpm.result&gt;150,"",_xlpm.result)),"")</f>
        <v/>
      </c>
      <c r="J47" s="1" t="str" cm="1">
        <f t="array" ref="J47">IFERROR(_xlfn.LET(_xlpm.result,RANK(_xlfn.XLOOKUP($A47,$A$2:$A$28,_xlfn.XLOOKUP(J$31,$B$1:$N$1,$B$2:$N$28)),$B$2:$N$28),IF(_xlpm.result&gt;150,"",_xlpm.result)),"")</f>
        <v/>
      </c>
      <c r="K47" s="1" t="str" cm="1">
        <f t="array" ref="K47">IFERROR(_xlfn.LET(_xlpm.result,RANK(_xlfn.XLOOKUP($A47,$A$2:$A$28,_xlfn.XLOOKUP(K$31,$B$1:$N$1,$B$2:$N$28)),$B$2:$N$28),IF(_xlpm.result&gt;150,"",_xlpm.result)),"")</f>
        <v/>
      </c>
      <c r="L47" s="1" cm="1">
        <f t="array" ref="L47">IFERROR(_xlfn.LET(_xlpm.result,RANK(_xlfn.XLOOKUP($A47,$A$2:$A$28,_xlfn.XLOOKUP(L$31,$B$1:$N$1,$B$2:$N$28)),$B$2:$N$28),IF(_xlpm.result&gt;150,"",_xlpm.result)),"")</f>
        <v>36</v>
      </c>
      <c r="M47" s="1" t="str" cm="1">
        <f t="array" ref="M47">IFERROR(_xlfn.LET(_xlpm.result,RANK(_xlfn.XLOOKUP($A47,$A$2:$A$28,_xlfn.XLOOKUP(M$31,$B$1:$N$1,$B$2:$N$28)),$B$2:$N$28),IF(_xlpm.result&gt;150,"",_xlpm.result)),"")</f>
        <v/>
      </c>
      <c r="N47" s="1" t="str" cm="1">
        <f t="array" ref="N47">IFERROR(_xlfn.LET(_xlpm.result,RANK(_xlfn.XLOOKUP($A47,$A$2:$A$28,_xlfn.XLOOKUP(N$31,$B$1:$N$1,$B$2:$N$28)),$B$2:$N$28),IF(_xlpm.result&gt;150,"",_xlpm.result)),"")</f>
        <v/>
      </c>
      <c r="O47">
        <f t="shared" si="0"/>
        <v>4</v>
      </c>
      <c r="P47" s="10">
        <f t="shared" si="1"/>
        <v>36</v>
      </c>
      <c r="Q47">
        <v>9</v>
      </c>
    </row>
    <row r="48" spans="1:17" ht="21" x14ac:dyDescent="0.35">
      <c r="A48" t="s">
        <v>40</v>
      </c>
      <c r="B48" s="1" cm="1">
        <f t="array" ref="B48">IFERROR(_xlfn.LET(_xlpm.result,RANK(_xlfn.XLOOKUP($A48,$A$2:$A$28,_xlfn.XLOOKUP(B$31,$B$1:$N$1,$B$2:$N$28)),$B$2:$N$28),IF(_xlpm.result&gt;150,"",_xlpm.result)),"")</f>
        <v>32</v>
      </c>
      <c r="C48" s="1" cm="1">
        <f t="array" ref="C48">IFERROR(_xlfn.LET(_xlpm.result,RANK(_xlfn.XLOOKUP($A48,$A$2:$A$28,_xlfn.XLOOKUP(C$31,$B$1:$N$1,$B$2:$N$28)),$B$2:$N$28),IF(_xlpm.result&gt;150,"",_xlpm.result)),"")</f>
        <v>22</v>
      </c>
      <c r="D48" s="1" cm="1">
        <f t="array" ref="D48">IFERROR(_xlfn.LET(_xlpm.result,RANK(_xlfn.XLOOKUP($A48,$A$2:$A$28,_xlfn.XLOOKUP(D$31,$B$1:$N$1,$B$2:$N$28)),$B$2:$N$28),IF(_xlpm.result&gt;150,"",_xlpm.result)),"")</f>
        <v>82</v>
      </c>
      <c r="E48" s="1" cm="1">
        <f t="array" ref="E48">IFERROR(_xlfn.LET(_xlpm.result,RANK(_xlfn.XLOOKUP($A48,$A$2:$A$28,_xlfn.XLOOKUP(E$31,$B$1:$N$1,$B$2:$N$28)),$B$2:$N$28),IF(_xlpm.result&gt;150,"",_xlpm.result)),"")</f>
        <v>116</v>
      </c>
      <c r="F48" s="1" t="str" cm="1">
        <f t="array" ref="F48">IFERROR(_xlfn.LET(_xlpm.result,RANK(_xlfn.XLOOKUP($A48,$A$2:$A$28,_xlfn.XLOOKUP(F$31,$B$1:$N$1,$B$2:$N$28)),$B$2:$N$28),IF(_xlpm.result&gt;150,"",_xlpm.result)),"")</f>
        <v/>
      </c>
      <c r="G48" s="1" cm="1">
        <f t="array" ref="G48">IFERROR(_xlfn.LET(_xlpm.result,RANK(_xlfn.XLOOKUP($A48,$A$2:$A$28,_xlfn.XLOOKUP(G$31,$B$1:$N$1,$B$2:$N$28)),$B$2:$N$28),IF(_xlpm.result&gt;150,"",_xlpm.result)),"")</f>
        <v>53</v>
      </c>
      <c r="H48" s="12" cm="1">
        <f t="array" ref="H48">IFERROR(_xlfn.LET(_xlpm.result,RANK(_xlfn.XLOOKUP($A48,$A$2:$A$28,_xlfn.XLOOKUP(H$31,$B$1:$N$1,$B$2:$N$28)),$B$2:$N$28),IF(_xlpm.result&gt;150,"",_xlpm.result)),"")</f>
        <v>29</v>
      </c>
      <c r="I48" s="1" cm="1">
        <f t="array" ref="I48">IFERROR(_xlfn.LET(_xlpm.result,RANK(_xlfn.XLOOKUP($A48,$A$2:$A$28,_xlfn.XLOOKUP(I$31,$B$1:$N$1,$B$2:$N$28)),$B$2:$N$28),IF(_xlpm.result&gt;150,"",_xlpm.result)),"")</f>
        <v>30</v>
      </c>
      <c r="J48" s="1" cm="1">
        <f t="array" ref="J48">IFERROR(_xlfn.LET(_xlpm.result,RANK(_xlfn.XLOOKUP($A48,$A$2:$A$28,_xlfn.XLOOKUP(J$31,$B$1:$N$1,$B$2:$N$28)),$B$2:$N$28),IF(_xlpm.result&gt;150,"",_xlpm.result)),"")</f>
        <v>147</v>
      </c>
      <c r="K48" s="1" t="str" cm="1">
        <f t="array" ref="K48">IFERROR(_xlfn.LET(_xlpm.result,RANK(_xlfn.XLOOKUP($A48,$A$2:$A$28,_xlfn.XLOOKUP(K$31,$B$1:$N$1,$B$2:$N$28)),$B$2:$N$28),IF(_xlpm.result&gt;150,"",_xlpm.result)),"")</f>
        <v/>
      </c>
      <c r="L48" s="1" cm="1">
        <f t="array" ref="L48">IFERROR(_xlfn.LET(_xlpm.result,RANK(_xlfn.XLOOKUP($A48,$A$2:$A$28,_xlfn.XLOOKUP(L$31,$B$1:$N$1,$B$2:$N$28)),$B$2:$N$28),IF(_xlpm.result&gt;150,"",_xlpm.result)),"")</f>
        <v>128</v>
      </c>
      <c r="M48" s="1" cm="1">
        <f t="array" ref="M48">IFERROR(_xlfn.LET(_xlpm.result,RANK(_xlfn.XLOOKUP($A48,$A$2:$A$28,_xlfn.XLOOKUP(M$31,$B$1:$N$1,$B$2:$N$28)),$B$2:$N$28),IF(_xlpm.result&gt;150,"",_xlpm.result)),"")</f>
        <v>53</v>
      </c>
      <c r="N48" s="1" cm="1">
        <f t="array" ref="N48">IFERROR(_xlfn.LET(_xlpm.result,RANK(_xlfn.XLOOKUP($A48,$A$2:$A$28,_xlfn.XLOOKUP(N$31,$B$1:$N$1,$B$2:$N$28)),$B$2:$N$28),IF(_xlpm.result&gt;150,"",_xlpm.result)),"")</f>
        <v>84</v>
      </c>
      <c r="O48">
        <f t="shared" si="0"/>
        <v>11</v>
      </c>
      <c r="P48" s="10">
        <f t="shared" si="1"/>
        <v>22</v>
      </c>
      <c r="Q48">
        <v>8</v>
      </c>
    </row>
    <row r="49" spans="1:17" ht="21" x14ac:dyDescent="0.35">
      <c r="A49" t="s">
        <v>41</v>
      </c>
      <c r="B49" s="1" t="str" cm="1">
        <f t="array" ref="B49">IFERROR(_xlfn.LET(_xlpm.result,RANK(_xlfn.XLOOKUP($A49,$A$2:$A$28,_xlfn.XLOOKUP(B$31,$B$1:$N$1,$B$2:$N$28)),$B$2:$N$28),IF(_xlpm.result&gt;150,"",_xlpm.result)),"")</f>
        <v/>
      </c>
      <c r="C49" s="1" t="str" cm="1">
        <f t="array" ref="C49">IFERROR(_xlfn.LET(_xlpm.result,RANK(_xlfn.XLOOKUP($A49,$A$2:$A$28,_xlfn.XLOOKUP(C$31,$B$1:$N$1,$B$2:$N$28)),$B$2:$N$28),IF(_xlpm.result&gt;150,"",_xlpm.result)),"")</f>
        <v/>
      </c>
      <c r="D49" s="12" t="str" cm="1">
        <f t="array" ref="D49">IFERROR(_xlfn.LET(_xlpm.result,RANK(_xlfn.XLOOKUP($A49,$A$2:$A$28,_xlfn.XLOOKUP(D$31,$B$1:$N$1,$B$2:$N$28)),$B$2:$N$28),IF(_xlpm.result&gt;150,"",_xlpm.result)),"")</f>
        <v/>
      </c>
      <c r="E49" s="1" t="str" cm="1">
        <f t="array" ref="E49">IFERROR(_xlfn.LET(_xlpm.result,RANK(_xlfn.XLOOKUP($A49,$A$2:$A$28,_xlfn.XLOOKUP(E$31,$B$1:$N$1,$B$2:$N$28)),$B$2:$N$28),IF(_xlpm.result&gt;150,"",_xlpm.result)),"")</f>
        <v/>
      </c>
      <c r="F49" s="1" t="str" cm="1">
        <f t="array" ref="F49">IFERROR(_xlfn.LET(_xlpm.result,RANK(_xlfn.XLOOKUP($A49,$A$2:$A$28,_xlfn.XLOOKUP(F$31,$B$1:$N$1,$B$2:$N$28)),$B$2:$N$28),IF(_xlpm.result&gt;150,"",_xlpm.result)),"")</f>
        <v/>
      </c>
      <c r="G49" s="1" cm="1">
        <f t="array" ref="G49">IFERROR(_xlfn.LET(_xlpm.result,RANK(_xlfn.XLOOKUP($A49,$A$2:$A$28,_xlfn.XLOOKUP(G$31,$B$1:$N$1,$B$2:$N$28)),$B$2:$N$28),IF(_xlpm.result&gt;150,"",_xlpm.result)),"")</f>
        <v>147</v>
      </c>
      <c r="H49" s="1" t="str" cm="1">
        <f t="array" ref="H49">IFERROR(_xlfn.LET(_xlpm.result,RANK(_xlfn.XLOOKUP($A49,$A$2:$A$28,_xlfn.XLOOKUP(H$31,$B$1:$N$1,$B$2:$N$28)),$B$2:$N$28),IF(_xlpm.result&gt;150,"",_xlpm.result)),"")</f>
        <v/>
      </c>
      <c r="I49" s="1" t="str" cm="1">
        <f t="array" ref="I49">IFERROR(_xlfn.LET(_xlpm.result,RANK(_xlfn.XLOOKUP($A49,$A$2:$A$28,_xlfn.XLOOKUP(I$31,$B$1:$N$1,$B$2:$N$28)),$B$2:$N$28),IF(_xlpm.result&gt;150,"",_xlpm.result)),"")</f>
        <v/>
      </c>
      <c r="J49" s="1" t="str" cm="1">
        <f t="array" ref="J49">IFERROR(_xlfn.LET(_xlpm.result,RANK(_xlfn.XLOOKUP($A49,$A$2:$A$28,_xlfn.XLOOKUP(J$31,$B$1:$N$1,$B$2:$N$28)),$B$2:$N$28),IF(_xlpm.result&gt;150,"",_xlpm.result)),"")</f>
        <v/>
      </c>
      <c r="K49" s="1" t="str" cm="1">
        <f t="array" ref="K49">IFERROR(_xlfn.LET(_xlpm.result,RANK(_xlfn.XLOOKUP($A49,$A$2:$A$28,_xlfn.XLOOKUP(K$31,$B$1:$N$1,$B$2:$N$28)),$B$2:$N$28),IF(_xlpm.result&gt;150,"",_xlpm.result)),"")</f>
        <v/>
      </c>
      <c r="L49" s="1" t="str" cm="1">
        <f t="array" ref="L49">IFERROR(_xlfn.LET(_xlpm.result,RANK(_xlfn.XLOOKUP($A49,$A$2:$A$28,_xlfn.XLOOKUP(L$31,$B$1:$N$1,$B$2:$N$28)),$B$2:$N$28),IF(_xlpm.result&gt;150,"",_xlpm.result)),"")</f>
        <v/>
      </c>
      <c r="M49" s="1" cm="1">
        <f t="array" ref="M49">IFERROR(_xlfn.LET(_xlpm.result,RANK(_xlfn.XLOOKUP($A49,$A$2:$A$28,_xlfn.XLOOKUP(M$31,$B$1:$N$1,$B$2:$N$28)),$B$2:$N$28),IF(_xlpm.result&gt;150,"",_xlpm.result)),"")</f>
        <v>121</v>
      </c>
      <c r="N49" s="1" t="str" cm="1">
        <f t="array" ref="N49">IFERROR(_xlfn.LET(_xlpm.result,RANK(_xlfn.XLOOKUP($A49,$A$2:$A$28,_xlfn.XLOOKUP(N$31,$B$1:$N$1,$B$2:$N$28)),$B$2:$N$28),IF(_xlpm.result&gt;150,"",_xlpm.result)),"")</f>
        <v/>
      </c>
      <c r="O49">
        <f t="shared" si="0"/>
        <v>2</v>
      </c>
      <c r="P49" s="10">
        <f t="shared" si="1"/>
        <v>121</v>
      </c>
      <c r="Q49">
        <v>7</v>
      </c>
    </row>
    <row r="50" spans="1:17" ht="21" x14ac:dyDescent="0.35">
      <c r="A50" t="s">
        <v>42</v>
      </c>
      <c r="B50" s="1" t="str" cm="1">
        <f t="array" ref="B50">IFERROR(_xlfn.LET(_xlpm.result,RANK(_xlfn.XLOOKUP($A50,$A$2:$A$28,_xlfn.XLOOKUP(B$31,$B$1:$N$1,$B$2:$N$28)),$B$2:$N$28),IF(_xlpm.result&gt;150,"",_xlpm.result)),"")</f>
        <v/>
      </c>
      <c r="C50" s="1" t="str" cm="1">
        <f t="array" ref="C50">IFERROR(_xlfn.LET(_xlpm.result,RANK(_xlfn.XLOOKUP($A50,$A$2:$A$28,_xlfn.XLOOKUP(C$31,$B$1:$N$1,$B$2:$N$28)),$B$2:$N$28),IF(_xlpm.result&gt;150,"",_xlpm.result)),"")</f>
        <v/>
      </c>
      <c r="D50" s="1" t="str" cm="1">
        <f t="array" ref="D50">IFERROR(_xlfn.LET(_xlpm.result,RANK(_xlfn.XLOOKUP($A50,$A$2:$A$28,_xlfn.XLOOKUP(D$31,$B$1:$N$1,$B$2:$N$28)),$B$2:$N$28),IF(_xlpm.result&gt;150,"",_xlpm.result)),"")</f>
        <v/>
      </c>
      <c r="E50" s="1" t="str" cm="1">
        <f t="array" ref="E50">IFERROR(_xlfn.LET(_xlpm.result,RANK(_xlfn.XLOOKUP($A50,$A$2:$A$28,_xlfn.XLOOKUP(E$31,$B$1:$N$1,$B$2:$N$28)),$B$2:$N$28),IF(_xlpm.result&gt;150,"",_xlpm.result)),"")</f>
        <v/>
      </c>
      <c r="F50" s="1" t="str" cm="1">
        <f t="array" ref="F50">IFERROR(_xlfn.LET(_xlpm.result,RANK(_xlfn.XLOOKUP($A50,$A$2:$A$28,_xlfn.XLOOKUP(F$31,$B$1:$N$1,$B$2:$N$28)),$B$2:$N$28),IF(_xlpm.result&gt;150,"",_xlpm.result)),"")</f>
        <v/>
      </c>
      <c r="G50" s="1" t="str" cm="1">
        <f t="array" ref="G50">IFERROR(_xlfn.LET(_xlpm.result,RANK(_xlfn.XLOOKUP($A50,$A$2:$A$28,_xlfn.XLOOKUP(G$31,$B$1:$N$1,$B$2:$N$28)),$B$2:$N$28),IF(_xlpm.result&gt;150,"",_xlpm.result)),"")</f>
        <v/>
      </c>
      <c r="H50" s="1" t="str" cm="1">
        <f t="array" ref="H50">IFERROR(_xlfn.LET(_xlpm.result,RANK(_xlfn.XLOOKUP($A50,$A$2:$A$28,_xlfn.XLOOKUP(H$31,$B$1:$N$1,$B$2:$N$28)),$B$2:$N$28),IF(_xlpm.result&gt;150,"",_xlpm.result)),"")</f>
        <v/>
      </c>
      <c r="I50" s="1" t="str" cm="1">
        <f t="array" ref="I50">IFERROR(_xlfn.LET(_xlpm.result,RANK(_xlfn.XLOOKUP($A50,$A$2:$A$28,_xlfn.XLOOKUP(I$31,$B$1:$N$1,$B$2:$N$28)),$B$2:$N$28),IF(_xlpm.result&gt;150,"",_xlpm.result)),"")</f>
        <v/>
      </c>
      <c r="J50" s="1" cm="1">
        <f t="array" ref="J50">IFERROR(_xlfn.LET(_xlpm.result,RANK(_xlfn.XLOOKUP($A50,$A$2:$A$28,_xlfn.XLOOKUP(J$31,$B$1:$N$1,$B$2:$N$28)),$B$2:$N$28),IF(_xlpm.result&gt;150,"",_xlpm.result)),"")</f>
        <v>147</v>
      </c>
      <c r="K50" s="12" t="str" cm="1">
        <f t="array" ref="K50">IFERROR(_xlfn.LET(_xlpm.result,RANK(_xlfn.XLOOKUP($A50,$A$2:$A$28,_xlfn.XLOOKUP(K$31,$B$1:$N$1,$B$2:$N$28)),$B$2:$N$28),IF(_xlpm.result&gt;150,"",_xlpm.result)),"")</f>
        <v/>
      </c>
      <c r="L50" s="1" t="str" cm="1">
        <f t="array" ref="L50">IFERROR(_xlfn.LET(_xlpm.result,RANK(_xlfn.XLOOKUP($A50,$A$2:$A$28,_xlfn.XLOOKUP(L$31,$B$1:$N$1,$B$2:$N$28)),$B$2:$N$28),IF(_xlpm.result&gt;150,"",_xlpm.result)),"")</f>
        <v/>
      </c>
      <c r="M50" s="1" t="str" cm="1">
        <f t="array" ref="M50">IFERROR(_xlfn.LET(_xlpm.result,RANK(_xlfn.XLOOKUP($A50,$A$2:$A$28,_xlfn.XLOOKUP(M$31,$B$1:$N$1,$B$2:$N$28)),$B$2:$N$28),IF(_xlpm.result&gt;150,"",_xlpm.result)),"")</f>
        <v/>
      </c>
      <c r="N50" s="1" t="str" cm="1">
        <f t="array" ref="N50">IFERROR(_xlfn.LET(_xlpm.result,RANK(_xlfn.XLOOKUP($A50,$A$2:$A$28,_xlfn.XLOOKUP(N$31,$B$1:$N$1,$B$2:$N$28)),$B$2:$N$28),IF(_xlpm.result&gt;150,"",_xlpm.result)),"")</f>
        <v/>
      </c>
      <c r="O50">
        <f t="shared" si="0"/>
        <v>1</v>
      </c>
      <c r="P50" s="10">
        <f t="shared" si="1"/>
        <v>147</v>
      </c>
      <c r="Q50">
        <v>6</v>
      </c>
    </row>
    <row r="51" spans="1:17" ht="21" x14ac:dyDescent="0.35">
      <c r="A51" t="s">
        <v>43</v>
      </c>
      <c r="B51" s="12" t="str" cm="1">
        <f t="array" ref="B51">IFERROR(_xlfn.LET(_xlpm.result,RANK(_xlfn.XLOOKUP($A51,$A$2:$A$28,_xlfn.XLOOKUP(B$31,$B$1:$N$1,$B$2:$N$28)),$B$2:$N$28),IF(_xlpm.result&gt;150,"",_xlpm.result)),"")</f>
        <v/>
      </c>
      <c r="C51" s="1" t="str" cm="1">
        <f t="array" ref="C51">IFERROR(_xlfn.LET(_xlpm.result,RANK(_xlfn.XLOOKUP($A51,$A$2:$A$28,_xlfn.XLOOKUP(C$31,$B$1:$N$1,$B$2:$N$28)),$B$2:$N$28),IF(_xlpm.result&gt;150,"",_xlpm.result)),"")</f>
        <v/>
      </c>
      <c r="D51" s="1" cm="1">
        <f t="array" ref="D51">IFERROR(_xlfn.LET(_xlpm.result,RANK(_xlfn.XLOOKUP($A51,$A$2:$A$28,_xlfn.XLOOKUP(D$31,$B$1:$N$1,$B$2:$N$28)),$B$2:$N$28),IF(_xlpm.result&gt;150,"",_xlpm.result)),"")</f>
        <v>126</v>
      </c>
      <c r="E51" s="1" cm="1">
        <f t="array" ref="E51">IFERROR(_xlfn.LET(_xlpm.result,RANK(_xlfn.XLOOKUP($A51,$A$2:$A$28,_xlfn.XLOOKUP(E$31,$B$1:$N$1,$B$2:$N$28)),$B$2:$N$28),IF(_xlpm.result&gt;150,"",_xlpm.result)),"")</f>
        <v>147</v>
      </c>
      <c r="F51" s="1" t="str" cm="1">
        <f t="array" ref="F51">IFERROR(_xlfn.LET(_xlpm.result,RANK(_xlfn.XLOOKUP($A51,$A$2:$A$28,_xlfn.XLOOKUP(F$31,$B$1:$N$1,$B$2:$N$28)),$B$2:$N$28),IF(_xlpm.result&gt;150,"",_xlpm.result)),"")</f>
        <v/>
      </c>
      <c r="G51" s="1" t="str" cm="1">
        <f t="array" ref="G51">IFERROR(_xlfn.LET(_xlpm.result,RANK(_xlfn.XLOOKUP($A51,$A$2:$A$28,_xlfn.XLOOKUP(G$31,$B$1:$N$1,$B$2:$N$28)),$B$2:$N$28),IF(_xlpm.result&gt;150,"",_xlpm.result)),"")</f>
        <v/>
      </c>
      <c r="H51" s="1" t="str" cm="1">
        <f t="array" ref="H51">IFERROR(_xlfn.LET(_xlpm.result,RANK(_xlfn.XLOOKUP($A51,$A$2:$A$28,_xlfn.XLOOKUP(H$31,$B$1:$N$1,$B$2:$N$28)),$B$2:$N$28),IF(_xlpm.result&gt;150,"",_xlpm.result)),"")</f>
        <v/>
      </c>
      <c r="I51" s="1" t="str" cm="1">
        <f t="array" ref="I51">IFERROR(_xlfn.LET(_xlpm.result,RANK(_xlfn.XLOOKUP($A51,$A$2:$A$28,_xlfn.XLOOKUP(I$31,$B$1:$N$1,$B$2:$N$28)),$B$2:$N$28),IF(_xlpm.result&gt;150,"",_xlpm.result)),"")</f>
        <v/>
      </c>
      <c r="J51" s="1" t="str" cm="1">
        <f t="array" ref="J51">IFERROR(_xlfn.LET(_xlpm.result,RANK(_xlfn.XLOOKUP($A51,$A$2:$A$28,_xlfn.XLOOKUP(J$31,$B$1:$N$1,$B$2:$N$28)),$B$2:$N$28),IF(_xlpm.result&gt;150,"",_xlpm.result)),"")</f>
        <v/>
      </c>
      <c r="K51" s="1" t="str" cm="1">
        <f t="array" ref="K51">IFERROR(_xlfn.LET(_xlpm.result,RANK(_xlfn.XLOOKUP($A51,$A$2:$A$28,_xlfn.XLOOKUP(K$31,$B$1:$N$1,$B$2:$N$28)),$B$2:$N$28),IF(_xlpm.result&gt;150,"",_xlpm.result)),"")</f>
        <v/>
      </c>
      <c r="L51" s="1" cm="1">
        <f t="array" ref="L51">IFERROR(_xlfn.LET(_xlpm.result,RANK(_xlfn.XLOOKUP($A51,$A$2:$A$28,_xlfn.XLOOKUP(L$31,$B$1:$N$1,$B$2:$N$28)),$B$2:$N$28),IF(_xlpm.result&gt;150,"",_xlpm.result)),"")</f>
        <v>133</v>
      </c>
      <c r="M51" s="1" t="str" cm="1">
        <f t="array" ref="M51">IFERROR(_xlfn.LET(_xlpm.result,RANK(_xlfn.XLOOKUP($A51,$A$2:$A$28,_xlfn.XLOOKUP(M$31,$B$1:$N$1,$B$2:$N$28)),$B$2:$N$28),IF(_xlpm.result&gt;150,"",_xlpm.result)),"")</f>
        <v/>
      </c>
      <c r="N51" s="1" t="str" cm="1">
        <f t="array" ref="N51">IFERROR(_xlfn.LET(_xlpm.result,RANK(_xlfn.XLOOKUP($A51,$A$2:$A$28,_xlfn.XLOOKUP(N$31,$B$1:$N$1,$B$2:$N$28)),$B$2:$N$28),IF(_xlpm.result&gt;150,"",_xlpm.result)),"")</f>
        <v/>
      </c>
      <c r="O51">
        <f t="shared" si="0"/>
        <v>3</v>
      </c>
      <c r="P51" s="10">
        <f t="shared" si="1"/>
        <v>126</v>
      </c>
      <c r="Q51">
        <v>5</v>
      </c>
    </row>
    <row r="52" spans="1:17" ht="21" x14ac:dyDescent="0.35">
      <c r="A52" t="s">
        <v>44</v>
      </c>
      <c r="B52" s="17" cm="1">
        <f t="array" ref="B52">IFERROR(_xlfn.LET(_xlpm.result,RANK(_xlfn.XLOOKUP($A52,$A$2:$A$28,_xlfn.XLOOKUP(B$31,$B$1:$N$1,$B$2:$N$28)),$B$2:$N$28),IF(_xlpm.result&gt;150,"",_xlpm.result)),"")</f>
        <v>5</v>
      </c>
      <c r="C52" s="17" cm="1">
        <f t="array" ref="C52">IFERROR(_xlfn.LET(_xlpm.result,RANK(_xlfn.XLOOKUP($A52,$A$2:$A$28,_xlfn.XLOOKUP(C$31,$B$1:$N$1,$B$2:$N$28)),$B$2:$N$28),IF(_xlpm.result&gt;150,"",_xlpm.result)),"")</f>
        <v>57</v>
      </c>
      <c r="D52" s="17" cm="1">
        <f t="array" ref="D52">IFERROR(_xlfn.LET(_xlpm.result,RANK(_xlfn.XLOOKUP($A52,$A$2:$A$28,_xlfn.XLOOKUP(D$31,$B$1:$N$1,$B$2:$N$28)),$B$2:$N$28),IF(_xlpm.result&gt;150,"",_xlpm.result)),"")</f>
        <v>5</v>
      </c>
      <c r="E52" s="17" cm="1">
        <f t="array" ref="E52">IFERROR(_xlfn.LET(_xlpm.result,RANK(_xlfn.XLOOKUP($A52,$A$2:$A$28,_xlfn.XLOOKUP(E$31,$B$1:$N$1,$B$2:$N$28)),$B$2:$N$28),IF(_xlpm.result&gt;150,"",_xlpm.result)),"")</f>
        <v>147</v>
      </c>
      <c r="F52" s="21" t="str" cm="1">
        <f t="array" ref="F52">IFERROR(_xlfn.LET(_xlpm.result,RANK(_xlfn.XLOOKUP($A52,$A$2:$A$28,_xlfn.XLOOKUP(F$31,$B$1:$N$1,$B$2:$N$28)),$B$2:$N$28),IF(_xlpm.result&gt;150,"",_xlpm.result)),"")</f>
        <v/>
      </c>
      <c r="G52" s="17" t="str" cm="1">
        <f t="array" ref="G52">IFERROR(_xlfn.LET(_xlpm.result,RANK(_xlfn.XLOOKUP($A52,$A$2:$A$28,_xlfn.XLOOKUP(G$31,$B$1:$N$1,$B$2:$N$28)),$B$2:$N$28),IF(_xlpm.result&gt;150,"",_xlpm.result)),"")</f>
        <v/>
      </c>
      <c r="H52" s="17" cm="1">
        <f t="array" ref="H52">IFERROR(_xlfn.LET(_xlpm.result,RANK(_xlfn.XLOOKUP($A52,$A$2:$A$28,_xlfn.XLOOKUP(H$31,$B$1:$N$1,$B$2:$N$28)),$B$2:$N$28),IF(_xlpm.result&gt;150,"",_xlpm.result)),"")</f>
        <v>95</v>
      </c>
      <c r="I52" s="17" cm="1">
        <f t="array" ref="I52">IFERROR(_xlfn.LET(_xlpm.result,RANK(_xlfn.XLOOKUP($A52,$A$2:$A$28,_xlfn.XLOOKUP(I$31,$B$1:$N$1,$B$2:$N$28)),$B$2:$N$28),IF(_xlpm.result&gt;150,"",_xlpm.result)),"")</f>
        <v>45</v>
      </c>
      <c r="J52" s="17" cm="1">
        <f t="array" ref="J52">IFERROR(_xlfn.LET(_xlpm.result,RANK(_xlfn.XLOOKUP($A52,$A$2:$A$28,_xlfn.XLOOKUP(J$31,$B$1:$N$1,$B$2:$N$28)),$B$2:$N$28),IF(_xlpm.result&gt;150,"",_xlpm.result)),"")</f>
        <v>98</v>
      </c>
      <c r="K52" s="17" cm="1">
        <f t="array" ref="K52">IFERROR(_xlfn.LET(_xlpm.result,RANK(_xlfn.XLOOKUP($A52,$A$2:$A$28,_xlfn.XLOOKUP(K$31,$B$1:$N$1,$B$2:$N$28)),$B$2:$N$28),IF(_xlpm.result&gt;150,"",_xlpm.result)),"")</f>
        <v>18</v>
      </c>
      <c r="L52" s="17" cm="1">
        <f t="array" ref="L52">IFERROR(_xlfn.LET(_xlpm.result,RANK(_xlfn.XLOOKUP($A52,$A$2:$A$28,_xlfn.XLOOKUP(L$31,$B$1:$N$1,$B$2:$N$28)),$B$2:$N$28),IF(_xlpm.result&gt;150,"",_xlpm.result)),"")</f>
        <v>134</v>
      </c>
      <c r="M52" s="17" cm="1">
        <f t="array" ref="M52">IFERROR(_xlfn.LET(_xlpm.result,RANK(_xlfn.XLOOKUP($A52,$A$2:$A$28,_xlfn.XLOOKUP(M$31,$B$1:$N$1,$B$2:$N$28)),$B$2:$N$28),IF(_xlpm.result&gt;150,"",_xlpm.result)),"")</f>
        <v>147</v>
      </c>
      <c r="N52" s="17" cm="1">
        <f t="array" ref="N52">IFERROR(_xlfn.LET(_xlpm.result,RANK(_xlfn.XLOOKUP($A52,$A$2:$A$28,_xlfn.XLOOKUP(N$31,$B$1:$N$1,$B$2:$N$28)),$B$2:$N$28),IF(_xlpm.result&gt;150,"",_xlpm.result)),"")</f>
        <v>134</v>
      </c>
      <c r="O52" s="16">
        <f t="shared" si="0"/>
        <v>11</v>
      </c>
      <c r="P52" s="19">
        <f t="shared" si="1"/>
        <v>5</v>
      </c>
      <c r="Q52" s="16">
        <v>4</v>
      </c>
    </row>
    <row r="53" spans="1:17" ht="21" x14ac:dyDescent="0.35">
      <c r="A53" t="s">
        <v>45</v>
      </c>
      <c r="B53" s="1" cm="1">
        <f t="array" ref="B53">IFERROR(_xlfn.LET(_xlpm.result,RANK(_xlfn.XLOOKUP($A53,$A$2:$A$28,_xlfn.XLOOKUP(B$31,$B$1:$N$1,$B$2:$N$28)),$B$2:$N$28),IF(_xlpm.result&gt;150,"",_xlpm.result)),"")</f>
        <v>76</v>
      </c>
      <c r="C53" s="1" cm="1">
        <f t="array" ref="C53">IFERROR(_xlfn.LET(_xlpm.result,RANK(_xlfn.XLOOKUP($A53,$A$2:$A$28,_xlfn.XLOOKUP(C$31,$B$1:$N$1,$B$2:$N$28)),$B$2:$N$28),IF(_xlpm.result&gt;150,"",_xlpm.result)),"")</f>
        <v>26</v>
      </c>
      <c r="D53" s="1" t="str" cm="1">
        <f t="array" ref="D53">IFERROR(_xlfn.LET(_xlpm.result,RANK(_xlfn.XLOOKUP($A53,$A$2:$A$28,_xlfn.XLOOKUP(D$31,$B$1:$N$1,$B$2:$N$28)),$B$2:$N$28),IF(_xlpm.result&gt;150,"",_xlpm.result)),"")</f>
        <v/>
      </c>
      <c r="E53" s="12" t="str" cm="1">
        <f t="array" ref="E53">IFERROR(_xlfn.LET(_xlpm.result,RANK(_xlfn.XLOOKUP($A53,$A$2:$A$28,_xlfn.XLOOKUP(E$31,$B$1:$N$1,$B$2:$N$28)),$B$2:$N$28),IF(_xlpm.result&gt;150,"",_xlpm.result)),"")</f>
        <v/>
      </c>
      <c r="F53" s="1" t="str" cm="1">
        <f t="array" ref="F53">IFERROR(_xlfn.LET(_xlpm.result,RANK(_xlfn.XLOOKUP($A53,$A$2:$A$28,_xlfn.XLOOKUP(F$31,$B$1:$N$1,$B$2:$N$28)),$B$2:$N$28),IF(_xlpm.result&gt;150,"",_xlpm.result)),"")</f>
        <v/>
      </c>
      <c r="G53" s="1" cm="1">
        <f t="array" ref="G53">IFERROR(_xlfn.LET(_xlpm.result,RANK(_xlfn.XLOOKUP($A53,$A$2:$A$28,_xlfn.XLOOKUP(G$31,$B$1:$N$1,$B$2:$N$28)),$B$2:$N$28),IF(_xlpm.result&gt;150,"",_xlpm.result)),"")</f>
        <v>26</v>
      </c>
      <c r="H53" s="1" cm="1">
        <f t="array" ref="H53">IFERROR(_xlfn.LET(_xlpm.result,RANK(_xlfn.XLOOKUP($A53,$A$2:$A$28,_xlfn.XLOOKUP(H$31,$B$1:$N$1,$B$2:$N$28)),$B$2:$N$28),IF(_xlpm.result&gt;150,"",_xlpm.result)),"")</f>
        <v>123</v>
      </c>
      <c r="I53" s="1" t="str" cm="1">
        <f t="array" ref="I53">IFERROR(_xlfn.LET(_xlpm.result,RANK(_xlfn.XLOOKUP($A53,$A$2:$A$28,_xlfn.XLOOKUP(I$31,$B$1:$N$1,$B$2:$N$28)),$B$2:$N$28),IF(_xlpm.result&gt;150,"",_xlpm.result)),"")</f>
        <v/>
      </c>
      <c r="J53" s="1" cm="1">
        <f t="array" ref="J53">IFERROR(_xlfn.LET(_xlpm.result,RANK(_xlfn.XLOOKUP($A53,$A$2:$A$28,_xlfn.XLOOKUP(J$31,$B$1:$N$1,$B$2:$N$28)),$B$2:$N$28),IF(_xlpm.result&gt;150,"",_xlpm.result)),"")</f>
        <v>116</v>
      </c>
      <c r="K53" s="1" cm="1">
        <f t="array" ref="K53">IFERROR(_xlfn.LET(_xlpm.result,RANK(_xlfn.XLOOKUP($A53,$A$2:$A$28,_xlfn.XLOOKUP(K$31,$B$1:$N$1,$B$2:$N$28)),$B$2:$N$28),IF(_xlpm.result&gt;150,"",_xlpm.result)),"")</f>
        <v>79</v>
      </c>
      <c r="L53" s="1" t="str" cm="1">
        <f t="array" ref="L53">IFERROR(_xlfn.LET(_xlpm.result,RANK(_xlfn.XLOOKUP($A53,$A$2:$A$28,_xlfn.XLOOKUP(L$31,$B$1:$N$1,$B$2:$N$28)),$B$2:$N$28),IF(_xlpm.result&gt;150,"",_xlpm.result)),"")</f>
        <v/>
      </c>
      <c r="M53" s="1" cm="1">
        <f t="array" ref="M53">IFERROR(_xlfn.LET(_xlpm.result,RANK(_xlfn.XLOOKUP($A53,$A$2:$A$28,_xlfn.XLOOKUP(M$31,$B$1:$N$1,$B$2:$N$28)),$B$2:$N$28),IF(_xlpm.result&gt;150,"",_xlpm.result)),"")</f>
        <v>76</v>
      </c>
      <c r="N53" s="1" cm="1">
        <f t="array" ref="N53">IFERROR(_xlfn.LET(_xlpm.result,RANK(_xlfn.XLOOKUP($A53,$A$2:$A$28,_xlfn.XLOOKUP(N$31,$B$1:$N$1,$B$2:$N$28)),$B$2:$N$28),IF(_xlpm.result&gt;150,"",_xlpm.result)),"")</f>
        <v>116</v>
      </c>
      <c r="O53">
        <f t="shared" si="0"/>
        <v>8</v>
      </c>
      <c r="P53" s="10">
        <f t="shared" si="1"/>
        <v>26</v>
      </c>
      <c r="Q53">
        <v>3</v>
      </c>
    </row>
    <row r="54" spans="1:17" x14ac:dyDescent="0.25">
      <c r="A54" t="s">
        <v>46</v>
      </c>
      <c r="B54" s="1" cm="1">
        <f t="array" ref="B54">IFERROR(_xlfn.LET(_xlpm.result,RANK(_xlfn.XLOOKUP($A54,$A$2:$A$28,_xlfn.XLOOKUP(B$31,$B$1:$N$1,$B$2:$N$28)),$B$2:$N$28),IF(_xlpm.result&gt;150,"",_xlpm.result)),"")</f>
        <v>131</v>
      </c>
      <c r="C54" s="1" cm="1">
        <f t="array" ref="C54">IFERROR(_xlfn.LET(_xlpm.result,RANK(_xlfn.XLOOKUP($A54,$A$2:$A$28,_xlfn.XLOOKUP(C$31,$B$1:$N$1,$B$2:$N$28)),$B$2:$N$28),IF(_xlpm.result&gt;150,"",_xlpm.result)),"")</f>
        <v>69</v>
      </c>
      <c r="D54" s="1" cm="1">
        <f t="array" ref="D54">IFERROR(_xlfn.LET(_xlpm.result,RANK(_xlfn.XLOOKUP($A54,$A$2:$A$28,_xlfn.XLOOKUP(D$31,$B$1:$N$1,$B$2:$N$28)),$B$2:$N$28),IF(_xlpm.result&gt;150,"",_xlpm.result)),"")</f>
        <v>138</v>
      </c>
      <c r="E54" s="1" cm="1">
        <f t="array" ref="E54">IFERROR(_xlfn.LET(_xlpm.result,RANK(_xlfn.XLOOKUP($A54,$A$2:$A$28,_xlfn.XLOOKUP(E$31,$B$1:$N$1,$B$2:$N$28)),$B$2:$N$28),IF(_xlpm.result&gt;150,"",_xlpm.result)),"")</f>
        <v>14</v>
      </c>
      <c r="F54" s="1" t="str" cm="1">
        <f t="array" ref="F54">IFERROR(_xlfn.LET(_xlpm.result,RANK(_xlfn.XLOOKUP($A54,$A$2:$A$28,_xlfn.XLOOKUP(F$31,$B$1:$N$1,$B$2:$N$28)),$B$2:$N$28),IF(_xlpm.result&gt;150,"",_xlpm.result)),"")</f>
        <v/>
      </c>
      <c r="G54" s="1" cm="1">
        <f t="array" ref="G54">IFERROR(_xlfn.LET(_xlpm.result,RANK(_xlfn.XLOOKUP($A54,$A$2:$A$28,_xlfn.XLOOKUP(G$31,$B$1:$N$1,$B$2:$N$28)),$B$2:$N$28),IF(_xlpm.result&gt;150,"",_xlpm.result)),"")</f>
        <v>73</v>
      </c>
      <c r="H54" s="1" cm="1">
        <f t="array" ref="H54">IFERROR(_xlfn.LET(_xlpm.result,RANK(_xlfn.XLOOKUP($A54,$A$2:$A$28,_xlfn.XLOOKUP(H$31,$B$1:$N$1,$B$2:$N$28)),$B$2:$N$28),IF(_xlpm.result&gt;150,"",_xlpm.result)),"")</f>
        <v>30</v>
      </c>
      <c r="I54" s="1" cm="1">
        <f t="array" ref="I54">IFERROR(_xlfn.LET(_xlpm.result,RANK(_xlfn.XLOOKUP($A54,$A$2:$A$28,_xlfn.XLOOKUP(I$31,$B$1:$N$1,$B$2:$N$28)),$B$2:$N$28),IF(_xlpm.result&gt;150,"",_xlpm.result)),"")</f>
        <v>36</v>
      </c>
      <c r="J54" s="1" cm="1">
        <f t="array" ref="J54">IFERROR(_xlfn.LET(_xlpm.result,RANK(_xlfn.XLOOKUP($A54,$A$2:$A$28,_xlfn.XLOOKUP(J$31,$B$1:$N$1,$B$2:$N$28)),$B$2:$N$28),IF(_xlpm.result&gt;150,"",_xlpm.result)),"")</f>
        <v>147</v>
      </c>
      <c r="K54" s="1" cm="1">
        <f t="array" ref="K54">IFERROR(_xlfn.LET(_xlpm.result,RANK(_xlfn.XLOOKUP($A54,$A$2:$A$28,_xlfn.XLOOKUP(K$31,$B$1:$N$1,$B$2:$N$28)),$B$2:$N$28),IF(_xlpm.result&gt;150,"",_xlpm.result)),"")</f>
        <v>8</v>
      </c>
      <c r="L54" s="1" t="str" cm="1">
        <f t="array" ref="L54">IFERROR(_xlfn.LET(_xlpm.result,RANK(_xlfn.XLOOKUP($A54,$A$2:$A$28,_xlfn.XLOOKUP(L$31,$B$1:$N$1,$B$2:$N$28)),$B$2:$N$28),IF(_xlpm.result&gt;150,"",_xlpm.result)),"")</f>
        <v/>
      </c>
      <c r="M54" s="1" cm="1">
        <f t="array" ref="M54">IFERROR(_xlfn.LET(_xlpm.result,RANK(_xlfn.XLOOKUP($A54,$A$2:$A$28,_xlfn.XLOOKUP(M$31,$B$1:$N$1,$B$2:$N$28)),$B$2:$N$28),IF(_xlpm.result&gt;150,"",_xlpm.result)),"")</f>
        <v>80</v>
      </c>
      <c r="N54" s="1" cm="1">
        <f t="array" ref="N54">IFERROR(_xlfn.LET(_xlpm.result,RANK(_xlfn.XLOOKUP($A54,$A$2:$A$28,_xlfn.XLOOKUP(N$31,$B$1:$N$1,$B$2:$N$28)),$B$2:$N$28),IF(_xlpm.result&gt;150,"",_xlpm.result)),"")</f>
        <v>131</v>
      </c>
      <c r="O54">
        <f t="shared" si="0"/>
        <v>11</v>
      </c>
      <c r="P54" s="10">
        <f t="shared" si="1"/>
        <v>8</v>
      </c>
      <c r="Q54">
        <v>2</v>
      </c>
    </row>
    <row r="55" spans="1:17" ht="21" x14ac:dyDescent="0.35">
      <c r="A55" t="s">
        <v>47</v>
      </c>
      <c r="B55" s="1" cm="1">
        <f t="array" ref="B55">IFERROR(_xlfn.LET(_xlpm.result,RANK(_xlfn.XLOOKUP($A55,$A$2:$A$28,_xlfn.XLOOKUP(B$31,$B$1:$N$1,$B$2:$N$28)),$B$2:$N$28),IF(_xlpm.result&gt;150,"",_xlpm.result)),"")</f>
        <v>126</v>
      </c>
      <c r="C55" s="12" t="str" cm="1">
        <f t="array" ref="C55">IFERROR(_xlfn.LET(_xlpm.result,RANK(_xlfn.XLOOKUP($A55,$A$2:$A$28,_xlfn.XLOOKUP(C$31,$B$1:$N$1,$B$2:$N$28)),$B$2:$N$28),IF(_xlpm.result&gt;150,"",_xlpm.result)),"")</f>
        <v/>
      </c>
      <c r="D55" s="1" cm="1">
        <f t="array" ref="D55">IFERROR(_xlfn.LET(_xlpm.result,RANK(_xlfn.XLOOKUP($A55,$A$2:$A$28,_xlfn.XLOOKUP(D$31,$B$1:$N$1,$B$2:$N$28)),$B$2:$N$28),IF(_xlpm.result&gt;150,"",_xlpm.result)),"")</f>
        <v>147</v>
      </c>
      <c r="E55" s="1" t="str" cm="1">
        <f t="array" ref="E55">IFERROR(_xlfn.LET(_xlpm.result,RANK(_xlfn.XLOOKUP($A55,$A$2:$A$28,_xlfn.XLOOKUP(E$31,$B$1:$N$1,$B$2:$N$28)),$B$2:$N$28),IF(_xlpm.result&gt;150,"",_xlpm.result)),"")</f>
        <v/>
      </c>
      <c r="F55" s="1" cm="1">
        <f t="array" ref="F55">IFERROR(_xlfn.LET(_xlpm.result,RANK(_xlfn.XLOOKUP($A55,$A$2:$A$28,_xlfn.XLOOKUP(F$31,$B$1:$N$1,$B$2:$N$28)),$B$2:$N$28),IF(_xlpm.result&gt;150,"",_xlpm.result)),"")</f>
        <v>91</v>
      </c>
      <c r="G55" s="1" t="str" cm="1">
        <f t="array" ref="G55">IFERROR(_xlfn.LET(_xlpm.result,RANK(_xlfn.XLOOKUP($A55,$A$2:$A$28,_xlfn.XLOOKUP(G$31,$B$1:$N$1,$B$2:$N$28)),$B$2:$N$28),IF(_xlpm.result&gt;150,"",_xlpm.result)),"")</f>
        <v/>
      </c>
      <c r="H55" s="1" cm="1">
        <f t="array" ref="H55">IFERROR(_xlfn.LET(_xlpm.result,RANK(_xlfn.XLOOKUP($A55,$A$2:$A$28,_xlfn.XLOOKUP(H$31,$B$1:$N$1,$B$2:$N$28)),$B$2:$N$28),IF(_xlpm.result&gt;150,"",_xlpm.result)),"")</f>
        <v>13</v>
      </c>
      <c r="I55" s="1" cm="1">
        <f t="array" ref="I55">IFERROR(_xlfn.LET(_xlpm.result,RANK(_xlfn.XLOOKUP($A55,$A$2:$A$28,_xlfn.XLOOKUP(I$31,$B$1:$N$1,$B$2:$N$28)),$B$2:$N$28),IF(_xlpm.result&gt;150,"",_xlpm.result)),"")</f>
        <v>102</v>
      </c>
      <c r="J55" s="1" cm="1">
        <f t="array" ref="J55">IFERROR(_xlfn.LET(_xlpm.result,RANK(_xlfn.XLOOKUP($A55,$A$2:$A$28,_xlfn.XLOOKUP(J$31,$B$1:$N$1,$B$2:$N$28)),$B$2:$N$28),IF(_xlpm.result&gt;150,"",_xlpm.result)),"")</f>
        <v>84</v>
      </c>
      <c r="K55" s="1" t="str" cm="1">
        <f t="array" ref="K55">IFERROR(_xlfn.LET(_xlpm.result,RANK(_xlfn.XLOOKUP($A55,$A$2:$A$28,_xlfn.XLOOKUP(K$31,$B$1:$N$1,$B$2:$N$28)),$B$2:$N$28),IF(_xlpm.result&gt;150,"",_xlpm.result)),"")</f>
        <v/>
      </c>
      <c r="L55" s="1" t="str" cm="1">
        <f t="array" ref="L55">IFERROR(_xlfn.LET(_xlpm.result,RANK(_xlfn.XLOOKUP($A55,$A$2:$A$28,_xlfn.XLOOKUP(L$31,$B$1:$N$1,$B$2:$N$28)),$B$2:$N$28),IF(_xlpm.result&gt;150,"",_xlpm.result)),"")</f>
        <v/>
      </c>
      <c r="M55" s="1" cm="1">
        <f t="array" ref="M55">IFERROR(_xlfn.LET(_xlpm.result,RANK(_xlfn.XLOOKUP($A55,$A$2:$A$28,_xlfn.XLOOKUP(M$31,$B$1:$N$1,$B$2:$N$28)),$B$2:$N$28),IF(_xlpm.result&gt;150,"",_xlpm.result)),"")</f>
        <v>38</v>
      </c>
      <c r="N55" s="1" t="str" cm="1">
        <f t="array" ref="N55">IFERROR(_xlfn.LET(_xlpm.result,RANK(_xlfn.XLOOKUP($A55,$A$2:$A$28,_xlfn.XLOOKUP(N$31,$B$1:$N$1,$B$2:$N$28)),$B$2:$N$28),IF(_xlpm.result&gt;150,"",_xlpm.result)),"")</f>
        <v/>
      </c>
      <c r="O55">
        <f t="shared" si="0"/>
        <v>7</v>
      </c>
      <c r="P55" s="10">
        <f t="shared" si="1"/>
        <v>13</v>
      </c>
      <c r="Q55">
        <v>1</v>
      </c>
    </row>
    <row r="56" spans="1:17" x14ac:dyDescent="0.25">
      <c r="A56" t="s">
        <v>48</v>
      </c>
      <c r="B56" s="1" t="str" cm="1">
        <f t="array" ref="B56">IFERROR(_xlfn.LET(_xlpm.result,RANK(_xlfn.XLOOKUP($A56,$A$2:$A$28,_xlfn.XLOOKUP(B$31,$B$1:$N$1,$B$2:$N$28)),$B$2:$N$28),IF(_xlpm.result&gt;150,"",_xlpm.result)),"")</f>
        <v/>
      </c>
      <c r="C56" s="1" t="str" cm="1">
        <f t="array" ref="C56">IFERROR(_xlfn.LET(_xlpm.result,RANK(_xlfn.XLOOKUP($A56,$A$2:$A$28,_xlfn.XLOOKUP(C$31,$B$1:$N$1,$B$2:$N$28)),$B$2:$N$28),IF(_xlpm.result&gt;150,"",_xlpm.result)),"")</f>
        <v/>
      </c>
      <c r="D56" s="1" cm="1">
        <f t="array" ref="D56">IFERROR(_xlfn.LET(_xlpm.result,RANK(_xlfn.XLOOKUP($A56,$A$2:$A$28,_xlfn.XLOOKUP(D$31,$B$1:$N$1,$B$2:$N$28)),$B$2:$N$28),IF(_xlpm.result&gt;150,"",_xlpm.result)),"")</f>
        <v>23</v>
      </c>
      <c r="E56" s="1" cm="1">
        <f t="array" ref="E56">IFERROR(_xlfn.LET(_xlpm.result,RANK(_xlfn.XLOOKUP($A56,$A$2:$A$28,_xlfn.XLOOKUP(E$31,$B$1:$N$1,$B$2:$N$28)),$B$2:$N$28),IF(_xlpm.result&gt;150,"",_xlpm.result)),"")</f>
        <v>147</v>
      </c>
      <c r="F56" s="1" cm="1">
        <f t="array" ref="F56">IFERROR(_xlfn.LET(_xlpm.result,RANK(_xlfn.XLOOKUP($A56,$A$2:$A$28,_xlfn.XLOOKUP(F$31,$B$1:$N$1,$B$2:$N$28)),$B$2:$N$28),IF(_xlpm.result&gt;150,"",_xlpm.result)),"")</f>
        <v>123</v>
      </c>
      <c r="G56" s="1" t="str" cm="1">
        <f t="array" ref="G56">IFERROR(_xlfn.LET(_xlpm.result,RANK(_xlfn.XLOOKUP($A56,$A$2:$A$28,_xlfn.XLOOKUP(G$31,$B$1:$N$1,$B$2:$N$28)),$B$2:$N$28),IF(_xlpm.result&gt;150,"",_xlpm.result)),"")</f>
        <v/>
      </c>
      <c r="H56" s="1" t="str" cm="1">
        <f t="array" ref="H56">IFERROR(_xlfn.LET(_xlpm.result,RANK(_xlfn.XLOOKUP($A56,$A$2:$A$28,_xlfn.XLOOKUP(H$31,$B$1:$N$1,$B$2:$N$28)),$B$2:$N$28),IF(_xlpm.result&gt;150,"",_xlpm.result)),"")</f>
        <v/>
      </c>
      <c r="I56" s="1" cm="1">
        <f t="array" ref="I56">IFERROR(_xlfn.LET(_xlpm.result,RANK(_xlfn.XLOOKUP($A56,$A$2:$A$28,_xlfn.XLOOKUP(I$31,$B$1:$N$1,$B$2:$N$28)),$B$2:$N$28),IF(_xlpm.result&gt;150,"",_xlpm.result)),"")</f>
        <v>91</v>
      </c>
      <c r="J56" s="1" cm="1">
        <f t="array" ref="J56">IFERROR(_xlfn.LET(_xlpm.result,RANK(_xlfn.XLOOKUP($A56,$A$2:$A$28,_xlfn.XLOOKUP(J$31,$B$1:$N$1,$B$2:$N$28)),$B$2:$N$28),IF(_xlpm.result&gt;150,"",_xlpm.result)),"")</f>
        <v>23</v>
      </c>
      <c r="K56" s="1" cm="1">
        <f t="array" ref="K56">IFERROR(_xlfn.LET(_xlpm.result,RANK(_xlfn.XLOOKUP($A56,$A$2:$A$28,_xlfn.XLOOKUP(K$31,$B$1:$N$1,$B$2:$N$28)),$B$2:$N$28),IF(_xlpm.result&gt;150,"",_xlpm.result)),"")</f>
        <v>84</v>
      </c>
      <c r="L56" s="1" cm="1">
        <f t="array" ref="L56">IFERROR(_xlfn.LET(_xlpm.result,RANK(_xlfn.XLOOKUP($A56,$A$2:$A$28,_xlfn.XLOOKUP(L$31,$B$1:$N$1,$B$2:$N$28)),$B$2:$N$28),IF(_xlpm.result&gt;150,"",_xlpm.result)),"")</f>
        <v>38</v>
      </c>
      <c r="M56" s="1" cm="1">
        <f t="array" ref="M56">IFERROR(_xlfn.LET(_xlpm.result,RANK(_xlfn.XLOOKUP($A56,$A$2:$A$28,_xlfn.XLOOKUP(M$31,$B$1:$N$1,$B$2:$N$28)),$B$2:$N$28),IF(_xlpm.result&gt;150,"",_xlpm.result)),"")</f>
        <v>59</v>
      </c>
      <c r="N56" s="1" cm="1">
        <f t="array" ref="N56">IFERROR(_xlfn.LET(_xlpm.result,RANK(_xlfn.XLOOKUP($A56,$A$2:$A$28,_xlfn.XLOOKUP(N$31,$B$1:$N$1,$B$2:$N$28)),$B$2:$N$28),IF(_xlpm.result&gt;150,"",_xlpm.result)),"")</f>
        <v>38</v>
      </c>
      <c r="O56">
        <f t="shared" si="0"/>
        <v>9</v>
      </c>
      <c r="P56" s="10">
        <f t="shared" si="1"/>
        <v>23</v>
      </c>
    </row>
    <row r="57" spans="1:17" x14ac:dyDescent="0.25">
      <c r="A57" t="s">
        <v>49</v>
      </c>
      <c r="B57" s="1" t="str" cm="1">
        <f t="array" ref="B57">IFERROR(_xlfn.LET(_xlpm.result,RANK(_xlfn.XLOOKUP($A57,$A$2:$A$28,_xlfn.XLOOKUP(B$31,$B$1:$N$1,$B$2:$N$28)),$B$2:$N$28),IF(_xlpm.result&gt;150,"",_xlpm.result)),"")</f>
        <v/>
      </c>
      <c r="C57" s="1" t="str" cm="1">
        <f t="array" ref="C57">IFERROR(_xlfn.LET(_xlpm.result,RANK(_xlfn.XLOOKUP($A57,$A$2:$A$28,_xlfn.XLOOKUP(C$31,$B$1:$N$1,$B$2:$N$28)),$B$2:$N$28),IF(_xlpm.result&gt;150,"",_xlpm.result)),"")</f>
        <v/>
      </c>
      <c r="D57" s="1" t="str" cm="1">
        <f t="array" ref="D57">IFERROR(_xlfn.LET(_xlpm.result,RANK(_xlfn.XLOOKUP($A57,$A$2:$A$28,_xlfn.XLOOKUP(D$31,$B$1:$N$1,$B$2:$N$28)),$B$2:$N$28),IF(_xlpm.result&gt;150,"",_xlpm.result)),"")</f>
        <v/>
      </c>
      <c r="E57" s="1" t="str" cm="1">
        <f t="array" ref="E57">IFERROR(_xlfn.LET(_xlpm.result,RANK(_xlfn.XLOOKUP($A57,$A$2:$A$28,_xlfn.XLOOKUP(E$31,$B$1:$N$1,$B$2:$N$28)),$B$2:$N$28),IF(_xlpm.result&gt;150,"",_xlpm.result)),"")</f>
        <v/>
      </c>
      <c r="F57" s="1" cm="1">
        <f t="array" ref="F57">IFERROR(_xlfn.LET(_xlpm.result,RANK(_xlfn.XLOOKUP($A57,$A$2:$A$28,_xlfn.XLOOKUP(F$31,$B$1:$N$1,$B$2:$N$28)),$B$2:$N$28),IF(_xlpm.result&gt;150,"",_xlpm.result)),"")</f>
        <v>147</v>
      </c>
      <c r="G57" s="1" t="str" cm="1">
        <f t="array" ref="G57">IFERROR(_xlfn.LET(_xlpm.result,RANK(_xlfn.XLOOKUP($A57,$A$2:$A$28,_xlfn.XLOOKUP(G$31,$B$1:$N$1,$B$2:$N$28)),$B$2:$N$28),IF(_xlpm.result&gt;150,"",_xlpm.result)),"")</f>
        <v/>
      </c>
      <c r="H57" s="1" t="str" cm="1">
        <f t="array" ref="H57">IFERROR(_xlfn.LET(_xlpm.result,RANK(_xlfn.XLOOKUP($A57,$A$2:$A$28,_xlfn.XLOOKUP(H$31,$B$1:$N$1,$B$2:$N$28)),$B$2:$N$28),IF(_xlpm.result&gt;150,"",_xlpm.result)),"")</f>
        <v/>
      </c>
      <c r="I57" s="1" t="str" cm="1">
        <f t="array" ref="I57">IFERROR(_xlfn.LET(_xlpm.result,RANK(_xlfn.XLOOKUP($A57,$A$2:$A$28,_xlfn.XLOOKUP(I$31,$B$1:$N$1,$B$2:$N$28)),$B$2:$N$28),IF(_xlpm.result&gt;150,"",_xlpm.result)),"")</f>
        <v/>
      </c>
      <c r="J57" s="1" t="str" cm="1">
        <f t="array" ref="J57">IFERROR(_xlfn.LET(_xlpm.result,RANK(_xlfn.XLOOKUP($A57,$A$2:$A$28,_xlfn.XLOOKUP(J$31,$B$1:$N$1,$B$2:$N$28)),$B$2:$N$28),IF(_xlpm.result&gt;150,"",_xlpm.result)),"")</f>
        <v/>
      </c>
      <c r="K57" s="1" t="str" cm="1">
        <f t="array" ref="K57">IFERROR(_xlfn.LET(_xlpm.result,RANK(_xlfn.XLOOKUP($A57,$A$2:$A$28,_xlfn.XLOOKUP(K$31,$B$1:$N$1,$B$2:$N$28)),$B$2:$N$28),IF(_xlpm.result&gt;150,"",_xlpm.result)),"")</f>
        <v/>
      </c>
      <c r="L57" s="1" t="str" cm="1">
        <f t="array" ref="L57">IFERROR(_xlfn.LET(_xlpm.result,RANK(_xlfn.XLOOKUP($A57,$A$2:$A$28,_xlfn.XLOOKUP(L$31,$B$1:$N$1,$B$2:$N$28)),$B$2:$N$28),IF(_xlpm.result&gt;150,"",_xlpm.result)),"")</f>
        <v/>
      </c>
      <c r="M57" s="1" t="str" cm="1">
        <f t="array" ref="M57">IFERROR(_xlfn.LET(_xlpm.result,RANK(_xlfn.XLOOKUP($A57,$A$2:$A$28,_xlfn.XLOOKUP(M$31,$B$1:$N$1,$B$2:$N$28)),$B$2:$N$28),IF(_xlpm.result&gt;150,"",_xlpm.result)),"")</f>
        <v/>
      </c>
      <c r="N57" s="1" t="str" cm="1">
        <f t="array" ref="N57">IFERROR(_xlfn.LET(_xlpm.result,RANK(_xlfn.XLOOKUP($A57,$A$2:$A$28,_xlfn.XLOOKUP(N$31,$B$1:$N$1,$B$2:$N$28)),$B$2:$N$28),IF(_xlpm.result&gt;150,"",_xlpm.result)),"")</f>
        <v/>
      </c>
      <c r="O57">
        <f t="shared" si="0"/>
        <v>1</v>
      </c>
      <c r="P57" s="10">
        <f t="shared" si="1"/>
        <v>147</v>
      </c>
    </row>
    <row r="58" spans="1:17" x14ac:dyDescent="0.25">
      <c r="A58" t="s">
        <v>50</v>
      </c>
      <c r="B58" s="1" cm="1">
        <f t="array" ref="B58">IFERROR(_xlfn.LET(_xlpm.result,RANK(_xlfn.XLOOKUP($A58,$A$2:$A$28,_xlfn.XLOOKUP(B$31,$B$1:$N$1,$B$2:$N$28)),$B$2:$N$28),IF(_xlpm.result&gt;150,"",_xlpm.result)),"")</f>
        <v>61</v>
      </c>
      <c r="C58" s="1" cm="1">
        <f t="array" ref="C58">IFERROR(_xlfn.LET(_xlpm.result,RANK(_xlfn.XLOOKUP($A58,$A$2:$A$28,_xlfn.XLOOKUP(C$31,$B$1:$N$1,$B$2:$N$28)),$B$2:$N$28),IF(_xlpm.result&gt;150,"",_xlpm.result)),"")</f>
        <v>106</v>
      </c>
      <c r="D58" s="1" t="str" cm="1">
        <f t="array" ref="D58">IFERROR(_xlfn.LET(_xlpm.result,RANK(_xlfn.XLOOKUP($A58,$A$2:$A$28,_xlfn.XLOOKUP(D$31,$B$1:$N$1,$B$2:$N$28)),$B$2:$N$28),IF(_xlpm.result&gt;150,"",_xlpm.result)),"")</f>
        <v/>
      </c>
      <c r="E58" s="1" cm="1">
        <f t="array" ref="E58">IFERROR(_xlfn.LET(_xlpm.result,RANK(_xlfn.XLOOKUP($A58,$A$2:$A$28,_xlfn.XLOOKUP(E$31,$B$1:$N$1,$B$2:$N$28)),$B$2:$N$28),IF(_xlpm.result&gt;150,"",_xlpm.result)),"")</f>
        <v>108</v>
      </c>
      <c r="F58" s="1" t="str" cm="1">
        <f t="array" ref="F58">IFERROR(_xlfn.LET(_xlpm.result,RANK(_xlfn.XLOOKUP($A58,$A$2:$A$28,_xlfn.XLOOKUP(F$31,$B$1:$N$1,$B$2:$N$28)),$B$2:$N$28),IF(_xlpm.result&gt;150,"",_xlpm.result)),"")</f>
        <v/>
      </c>
      <c r="G58" s="1" cm="1">
        <f t="array" ref="G58">IFERROR(_xlfn.LET(_xlpm.result,RANK(_xlfn.XLOOKUP($A58,$A$2:$A$28,_xlfn.XLOOKUP(G$31,$B$1:$N$1,$B$2:$N$28)),$B$2:$N$28),IF(_xlpm.result&gt;150,"",_xlpm.result)),"")</f>
        <v>28</v>
      </c>
      <c r="H58" s="1" cm="1">
        <f t="array" ref="H58">IFERROR(_xlfn.LET(_xlpm.result,RANK(_xlfn.XLOOKUP($A58,$A$2:$A$28,_xlfn.XLOOKUP(H$31,$B$1:$N$1,$B$2:$N$28)),$B$2:$N$28),IF(_xlpm.result&gt;150,"",_xlpm.result)),"")</f>
        <v>147</v>
      </c>
      <c r="I58" s="1" cm="1">
        <f t="array" ref="I58">IFERROR(_xlfn.LET(_xlpm.result,RANK(_xlfn.XLOOKUP($A58,$A$2:$A$28,_xlfn.XLOOKUP(I$31,$B$1:$N$1,$B$2:$N$28)),$B$2:$N$28),IF(_xlpm.result&gt;150,"",_xlpm.result)),"")</f>
        <v>134</v>
      </c>
      <c r="J58" s="1" cm="1">
        <f t="array" ref="J58">IFERROR(_xlfn.LET(_xlpm.result,RANK(_xlfn.XLOOKUP($A58,$A$2:$A$28,_xlfn.XLOOKUP(J$31,$B$1:$N$1,$B$2:$N$28)),$B$2:$N$28),IF(_xlpm.result&gt;150,"",_xlpm.result)),"")</f>
        <v>63</v>
      </c>
      <c r="K58" s="1" cm="1">
        <f t="array" ref="K58">IFERROR(_xlfn.LET(_xlpm.result,RANK(_xlfn.XLOOKUP($A58,$A$2:$A$28,_xlfn.XLOOKUP(K$31,$B$1:$N$1,$B$2:$N$28)),$B$2:$N$28),IF(_xlpm.result&gt;150,"",_xlpm.result)),"")</f>
        <v>7</v>
      </c>
      <c r="L58" s="1" t="str" cm="1">
        <f t="array" ref="L58">IFERROR(_xlfn.LET(_xlpm.result,RANK(_xlfn.XLOOKUP($A58,$A$2:$A$28,_xlfn.XLOOKUP(L$31,$B$1:$N$1,$B$2:$N$28)),$B$2:$N$28),IF(_xlpm.result&gt;150,"",_xlpm.result)),"")</f>
        <v/>
      </c>
      <c r="M58" s="1" cm="1">
        <f t="array" ref="M58">IFERROR(_xlfn.LET(_xlpm.result,RANK(_xlfn.XLOOKUP($A58,$A$2:$A$28,_xlfn.XLOOKUP(M$31,$B$1:$N$1,$B$2:$N$28)),$B$2:$N$28),IF(_xlpm.result&gt;150,"",_xlpm.result)),"")</f>
        <v>106</v>
      </c>
      <c r="N58" s="1" t="str" cm="1">
        <f t="array" ref="N58">IFERROR(_xlfn.LET(_xlpm.result,RANK(_xlfn.XLOOKUP($A58,$A$2:$A$28,_xlfn.XLOOKUP(N$31,$B$1:$N$1,$B$2:$N$28)),$B$2:$N$28),IF(_xlpm.result&gt;150,"",_xlpm.result)),"")</f>
        <v/>
      </c>
      <c r="O58">
        <f t="shared" si="0"/>
        <v>9</v>
      </c>
      <c r="P58" s="10">
        <f t="shared" si="1"/>
        <v>7</v>
      </c>
    </row>
    <row r="59" spans="1:17" x14ac:dyDescent="0.25">
      <c r="B59" s="1">
        <v>6</v>
      </c>
      <c r="C59" s="1">
        <v>16</v>
      </c>
      <c r="D59" s="1">
        <v>8</v>
      </c>
      <c r="E59" s="1">
        <v>3</v>
      </c>
      <c r="F59" s="1">
        <v>21</v>
      </c>
      <c r="G59" s="1">
        <v>28</v>
      </c>
      <c r="H59" s="1">
        <v>11</v>
      </c>
      <c r="I59" s="1">
        <v>26</v>
      </c>
      <c r="J59" s="1">
        <v>30</v>
      </c>
      <c r="K59" s="1">
        <v>7</v>
      </c>
      <c r="L59" s="1">
        <v>32</v>
      </c>
      <c r="M59" s="1">
        <v>45</v>
      </c>
      <c r="N59" s="1">
        <v>38</v>
      </c>
      <c r="P59" s="10"/>
    </row>
    <row r="64" spans="1:17" x14ac:dyDescent="0.25">
      <c r="A64" t="s">
        <v>0</v>
      </c>
      <c r="B64" t="s">
        <v>6</v>
      </c>
      <c r="C64" t="s">
        <v>7</v>
      </c>
      <c r="D64" t="s">
        <v>8</v>
      </c>
      <c r="E64" t="s">
        <v>9</v>
      </c>
      <c r="F64" t="s">
        <v>10</v>
      </c>
      <c r="G64" t="s">
        <v>11</v>
      </c>
      <c r="H64" t="s">
        <v>12</v>
      </c>
      <c r="I64" t="s">
        <v>13</v>
      </c>
      <c r="J64" t="s">
        <v>14</v>
      </c>
      <c r="K64" t="s">
        <v>15</v>
      </c>
      <c r="L64" t="s">
        <v>16</v>
      </c>
      <c r="M64" t="s">
        <v>17</v>
      </c>
      <c r="N64" t="s">
        <v>18</v>
      </c>
      <c r="O64" t="s">
        <v>54</v>
      </c>
    </row>
    <row r="65" spans="1:16" x14ac:dyDescent="0.25">
      <c r="A65" t="s">
        <v>25</v>
      </c>
      <c r="B65" s="1" t="str" cm="1">
        <f t="array" ref="B65">_xlfn.LET(_xlpm.result,10*_xlfn.XLOOKUP($A65,$A$2:$A$28,_xlfn.XLOOKUP(B$31,$B$1:$N$1,$B$2:$N$28)),IF(_xlpm.result&lt;0,"",_xlpm.result))</f>
        <v/>
      </c>
      <c r="C65" s="1" t="str" cm="1">
        <f t="array" ref="C65">_xlfn.LET(_xlpm.result,10*_xlfn.XLOOKUP($A65,$A$2:$A$28,_xlfn.XLOOKUP(C$31,$B$1:$N$1,$B$2:$N$28)),IF(_xlpm.result&lt;0,"",_xlpm.result))</f>
        <v/>
      </c>
      <c r="D65" s="1" t="str" cm="1">
        <f t="array" ref="D65">_xlfn.LET(_xlpm.result,10*_xlfn.XLOOKUP($A65,$A$2:$A$28,_xlfn.XLOOKUP(D$31,$B$1:$N$1,$B$2:$N$28)),IF(_xlpm.result&lt;0,"",_xlpm.result))</f>
        <v/>
      </c>
      <c r="E65" s="1" t="str" cm="1">
        <f t="array" ref="E65">_xlfn.LET(_xlpm.result,10*_xlfn.XLOOKUP($A65,$A$2:$A$28,_xlfn.XLOOKUP(E$31,$B$1:$N$1,$B$2:$N$28)),IF(_xlpm.result&lt;0,"",_xlpm.result))</f>
        <v/>
      </c>
      <c r="F65" s="1" cm="1">
        <f t="array" ref="F65">_xlfn.LET(_xlpm.result,10*_xlfn.XLOOKUP($A65,$A$2:$A$28,_xlfn.XLOOKUP(F$31,$B$1:$N$1,$B$2:$N$28)),IF(_xlpm.result&lt;0,"",_xlpm.result))</f>
        <v>0</v>
      </c>
      <c r="G65" s="1" t="str" cm="1">
        <f t="array" ref="G65">_xlfn.LET(_xlpm.result,10*_xlfn.XLOOKUP($A65,$A$2:$A$28,_xlfn.XLOOKUP(G$31,$B$1:$N$1,$B$2:$N$28)),IF(_xlpm.result&lt;0,"",_xlpm.result))</f>
        <v/>
      </c>
      <c r="H65" s="1" t="str" cm="1">
        <f t="array" ref="H65">_xlfn.LET(_xlpm.result,10*_xlfn.XLOOKUP($A65,$A$2:$A$28,_xlfn.XLOOKUP(H$31,$B$1:$N$1,$B$2:$N$28)),IF(_xlpm.result&lt;0,"",_xlpm.result))</f>
        <v/>
      </c>
      <c r="I65" s="1" t="str" cm="1">
        <f t="array" ref="I65">_xlfn.LET(_xlpm.result,10*_xlfn.XLOOKUP($A65,$A$2:$A$28,_xlfn.XLOOKUP(I$31,$B$1:$N$1,$B$2:$N$28)),IF(_xlpm.result&lt;0,"",_xlpm.result))</f>
        <v/>
      </c>
      <c r="J65" s="1" t="str" cm="1">
        <f t="array" ref="J65">_xlfn.LET(_xlpm.result,10*_xlfn.XLOOKUP($A65,$A$2:$A$28,_xlfn.XLOOKUP(J$31,$B$1:$N$1,$B$2:$N$28)),IF(_xlpm.result&lt;0,"",_xlpm.result))</f>
        <v/>
      </c>
      <c r="K65" s="1" t="str" cm="1">
        <f t="array" ref="K65">_xlfn.LET(_xlpm.result,10*_xlfn.XLOOKUP($A65,$A$2:$A$28,_xlfn.XLOOKUP(K$31,$B$1:$N$1,$B$2:$N$28)),IF(_xlpm.result&lt;0,"",_xlpm.result))</f>
        <v/>
      </c>
      <c r="L65" s="1" t="str" cm="1">
        <f t="array" ref="L65">_xlfn.LET(_xlpm.result,10*_xlfn.XLOOKUP($A65,$A$2:$A$28,_xlfn.XLOOKUP(L$31,$B$1:$N$1,$B$2:$N$28)),IF(_xlpm.result&lt;0,"",_xlpm.result))</f>
        <v/>
      </c>
      <c r="M65" s="1" t="str" cm="1">
        <f t="array" ref="M65">_xlfn.LET(_xlpm.result,10*_xlfn.XLOOKUP($A65,$A$2:$A$28,_xlfn.XLOOKUP(M$31,$B$1:$N$1,$B$2:$N$28)),IF(_xlpm.result&lt;0,"",_xlpm.result))</f>
        <v/>
      </c>
      <c r="N65" s="1" t="str" cm="1">
        <f t="array" ref="N65">_xlfn.LET(_xlpm.result,10*_xlfn.XLOOKUP($A65,$A$2:$A$28,_xlfn.XLOOKUP(N$31,$B$1:$N$1,$B$2:$N$28)),IF(_xlpm.result&lt;0,"",_xlpm.result))</f>
        <v/>
      </c>
      <c r="O65" s="10">
        <f t="shared" ref="O65:O91" si="2">MAX(B65:N65)</f>
        <v>0</v>
      </c>
    </row>
    <row r="66" spans="1:16" x14ac:dyDescent="0.25">
      <c r="A66" t="s">
        <v>42</v>
      </c>
      <c r="B66" s="1" t="str" cm="1">
        <f t="array" ref="B66">_xlfn.LET(_xlpm.result,10*_xlfn.XLOOKUP($A66,$A$2:$A$28,_xlfn.XLOOKUP(B$31,$B$1:$N$1,$B$2:$N$28)),IF(_xlpm.result&lt;0,"",_xlpm.result))</f>
        <v/>
      </c>
      <c r="C66" s="1" t="str" cm="1">
        <f t="array" ref="C66">_xlfn.LET(_xlpm.result,10*_xlfn.XLOOKUP($A66,$A$2:$A$28,_xlfn.XLOOKUP(C$31,$B$1:$N$1,$B$2:$N$28)),IF(_xlpm.result&lt;0,"",_xlpm.result))</f>
        <v/>
      </c>
      <c r="D66" s="1" t="str" cm="1">
        <f t="array" ref="D66">_xlfn.LET(_xlpm.result,10*_xlfn.XLOOKUP($A66,$A$2:$A$28,_xlfn.XLOOKUP(D$31,$B$1:$N$1,$B$2:$N$28)),IF(_xlpm.result&lt;0,"",_xlpm.result))</f>
        <v/>
      </c>
      <c r="E66" s="1" t="str" cm="1">
        <f t="array" ref="E66">_xlfn.LET(_xlpm.result,10*_xlfn.XLOOKUP($A66,$A$2:$A$28,_xlfn.XLOOKUP(E$31,$B$1:$N$1,$B$2:$N$28)),IF(_xlpm.result&lt;0,"",_xlpm.result))</f>
        <v/>
      </c>
      <c r="F66" s="1" t="str" cm="1">
        <f t="array" ref="F66">_xlfn.LET(_xlpm.result,10*_xlfn.XLOOKUP($A66,$A$2:$A$28,_xlfn.XLOOKUP(F$31,$B$1:$N$1,$B$2:$N$28)),IF(_xlpm.result&lt;0,"",_xlpm.result))</f>
        <v/>
      </c>
      <c r="G66" s="1" t="str" cm="1">
        <f t="array" ref="G66">_xlfn.LET(_xlpm.result,10*_xlfn.XLOOKUP($A66,$A$2:$A$28,_xlfn.XLOOKUP(G$31,$B$1:$N$1,$B$2:$N$28)),IF(_xlpm.result&lt;0,"",_xlpm.result))</f>
        <v/>
      </c>
      <c r="H66" s="1" t="str" cm="1">
        <f t="array" ref="H66">_xlfn.LET(_xlpm.result,10*_xlfn.XLOOKUP($A66,$A$2:$A$28,_xlfn.XLOOKUP(H$31,$B$1:$N$1,$B$2:$N$28)),IF(_xlpm.result&lt;0,"",_xlpm.result))</f>
        <v/>
      </c>
      <c r="I66" s="1" t="str" cm="1">
        <f t="array" ref="I66">_xlfn.LET(_xlpm.result,10*_xlfn.XLOOKUP($A66,$A$2:$A$28,_xlfn.XLOOKUP(I$31,$B$1:$N$1,$B$2:$N$28)),IF(_xlpm.result&lt;0,"",_xlpm.result))</f>
        <v/>
      </c>
      <c r="J66" s="1" cm="1">
        <f t="array" ref="J66">_xlfn.LET(_xlpm.result,10*_xlfn.XLOOKUP($A66,$A$2:$A$28,_xlfn.XLOOKUP(J$31,$B$1:$N$1,$B$2:$N$28)),IF(_xlpm.result&lt;0,"",_xlpm.result))</f>
        <v>0</v>
      </c>
      <c r="K66" s="1" t="str" cm="1">
        <f t="array" ref="K66">_xlfn.LET(_xlpm.result,10*_xlfn.XLOOKUP($A66,$A$2:$A$28,_xlfn.XLOOKUP(K$31,$B$1:$N$1,$B$2:$N$28)),IF(_xlpm.result&lt;0,"",_xlpm.result))</f>
        <v/>
      </c>
      <c r="L66" s="1" t="str" cm="1">
        <f t="array" ref="L66">_xlfn.LET(_xlpm.result,10*_xlfn.XLOOKUP($A66,$A$2:$A$28,_xlfn.XLOOKUP(L$31,$B$1:$N$1,$B$2:$N$28)),IF(_xlpm.result&lt;0,"",_xlpm.result))</f>
        <v/>
      </c>
      <c r="M66" s="1" t="str" cm="1">
        <f t="array" ref="M66">_xlfn.LET(_xlpm.result,10*_xlfn.XLOOKUP($A66,$A$2:$A$28,_xlfn.XLOOKUP(M$31,$B$1:$N$1,$B$2:$N$28)),IF(_xlpm.result&lt;0,"",_xlpm.result))</f>
        <v/>
      </c>
      <c r="N66" s="1" t="str" cm="1">
        <f t="array" ref="N66">_xlfn.LET(_xlpm.result,10*_xlfn.XLOOKUP($A66,$A$2:$A$28,_xlfn.XLOOKUP(N$31,$B$1:$N$1,$B$2:$N$28)),IF(_xlpm.result&lt;0,"",_xlpm.result))</f>
        <v/>
      </c>
      <c r="O66" s="19">
        <f t="shared" si="2"/>
        <v>0</v>
      </c>
    </row>
    <row r="67" spans="1:16" x14ac:dyDescent="0.25">
      <c r="A67" t="s">
        <v>49</v>
      </c>
      <c r="B67" s="1" t="str" cm="1">
        <f t="array" ref="B67">_xlfn.LET(_xlpm.result,10*_xlfn.XLOOKUP($A67,$A$2:$A$28,_xlfn.XLOOKUP(B$31,$B$1:$N$1,$B$2:$N$28)),IF(_xlpm.result&lt;0,"",_xlpm.result))</f>
        <v/>
      </c>
      <c r="C67" s="1" t="str" cm="1">
        <f t="array" ref="C67">_xlfn.LET(_xlpm.result,10*_xlfn.XLOOKUP($A67,$A$2:$A$28,_xlfn.XLOOKUP(C$31,$B$1:$N$1,$B$2:$N$28)),IF(_xlpm.result&lt;0,"",_xlpm.result))</f>
        <v/>
      </c>
      <c r="D67" s="1" t="str" cm="1">
        <f t="array" ref="D67">_xlfn.LET(_xlpm.result,10*_xlfn.XLOOKUP($A67,$A$2:$A$28,_xlfn.XLOOKUP(D$31,$B$1:$N$1,$B$2:$N$28)),IF(_xlpm.result&lt;0,"",_xlpm.result))</f>
        <v/>
      </c>
      <c r="E67" s="1" t="str" cm="1">
        <f t="array" ref="E67">_xlfn.LET(_xlpm.result,10*_xlfn.XLOOKUP($A67,$A$2:$A$28,_xlfn.XLOOKUP(E$31,$B$1:$N$1,$B$2:$N$28)),IF(_xlpm.result&lt;0,"",_xlpm.result))</f>
        <v/>
      </c>
      <c r="F67" s="1" cm="1">
        <f t="array" ref="F67">_xlfn.LET(_xlpm.result,10*_xlfn.XLOOKUP($A67,$A$2:$A$28,_xlfn.XLOOKUP(F$31,$B$1:$N$1,$B$2:$N$28)),IF(_xlpm.result&lt;0,"",_xlpm.result))</f>
        <v>0</v>
      </c>
      <c r="G67" s="1" t="str" cm="1">
        <f t="array" ref="G67">_xlfn.LET(_xlpm.result,10*_xlfn.XLOOKUP($A67,$A$2:$A$28,_xlfn.XLOOKUP(G$31,$B$1:$N$1,$B$2:$N$28)),IF(_xlpm.result&lt;0,"",_xlpm.result))</f>
        <v/>
      </c>
      <c r="H67" s="1" t="str" cm="1">
        <f t="array" ref="H67">_xlfn.LET(_xlpm.result,10*_xlfn.XLOOKUP($A67,$A$2:$A$28,_xlfn.XLOOKUP(H$31,$B$1:$N$1,$B$2:$N$28)),IF(_xlpm.result&lt;0,"",_xlpm.result))</f>
        <v/>
      </c>
      <c r="I67" s="1" t="str" cm="1">
        <f t="array" ref="I67">_xlfn.LET(_xlpm.result,10*_xlfn.XLOOKUP($A67,$A$2:$A$28,_xlfn.XLOOKUP(I$31,$B$1:$N$1,$B$2:$N$28)),IF(_xlpm.result&lt;0,"",_xlpm.result))</f>
        <v/>
      </c>
      <c r="J67" s="1" t="str" cm="1">
        <f t="array" ref="J67">_xlfn.LET(_xlpm.result,10*_xlfn.XLOOKUP($A67,$A$2:$A$28,_xlfn.XLOOKUP(J$31,$B$1:$N$1,$B$2:$N$28)),IF(_xlpm.result&lt;0,"",_xlpm.result))</f>
        <v/>
      </c>
      <c r="K67" s="1" t="str" cm="1">
        <f t="array" ref="K67">_xlfn.LET(_xlpm.result,10*_xlfn.XLOOKUP($A67,$A$2:$A$28,_xlfn.XLOOKUP(K$31,$B$1:$N$1,$B$2:$N$28)),IF(_xlpm.result&lt;0,"",_xlpm.result))</f>
        <v/>
      </c>
      <c r="L67" s="1" t="str" cm="1">
        <f t="array" ref="L67">_xlfn.LET(_xlpm.result,10*_xlfn.XLOOKUP($A67,$A$2:$A$28,_xlfn.XLOOKUP(L$31,$B$1:$N$1,$B$2:$N$28)),IF(_xlpm.result&lt;0,"",_xlpm.result))</f>
        <v/>
      </c>
      <c r="M67" s="1" t="str" cm="1">
        <f t="array" ref="M67">_xlfn.LET(_xlpm.result,10*_xlfn.XLOOKUP($A67,$A$2:$A$28,_xlfn.XLOOKUP(M$31,$B$1:$N$1,$B$2:$N$28)),IF(_xlpm.result&lt;0,"",_xlpm.result))</f>
        <v/>
      </c>
      <c r="N67" s="1" t="str" cm="1">
        <f t="array" ref="N67">_xlfn.LET(_xlpm.result,10*_xlfn.XLOOKUP($A67,$A$2:$A$28,_xlfn.XLOOKUP(N$31,$B$1:$N$1,$B$2:$N$28)),IF(_xlpm.result&lt;0,"",_xlpm.result))</f>
        <v/>
      </c>
      <c r="O67" s="10">
        <f t="shared" si="2"/>
        <v>0</v>
      </c>
    </row>
    <row r="68" spans="1:16" x14ac:dyDescent="0.25">
      <c r="A68" t="s">
        <v>43</v>
      </c>
      <c r="B68" s="1" t="str" cm="1">
        <f t="array" ref="B68">_xlfn.LET(_xlpm.result,10*_xlfn.XLOOKUP($A68,$A$2:$A$28,_xlfn.XLOOKUP(B$31,$B$1:$N$1,$B$2:$N$28)),IF(_xlpm.result&lt;0,"",_xlpm.result))</f>
        <v/>
      </c>
      <c r="C68" s="1" t="str" cm="1">
        <f t="array" ref="C68">_xlfn.LET(_xlpm.result,10*_xlfn.XLOOKUP($A68,$A$2:$A$28,_xlfn.XLOOKUP(C$31,$B$1:$N$1,$B$2:$N$28)),IF(_xlpm.result&lt;0,"",_xlpm.result))</f>
        <v/>
      </c>
      <c r="D68" s="1" cm="1">
        <f t="array" ref="D68">_xlfn.LET(_xlpm.result,10*_xlfn.XLOOKUP($A68,$A$2:$A$28,_xlfn.XLOOKUP(D$31,$B$1:$N$1,$B$2:$N$28)),IF(_xlpm.result&lt;0,"",_xlpm.result))</f>
        <v>15</v>
      </c>
      <c r="E68" s="1" cm="1">
        <f t="array" ref="E68">_xlfn.LET(_xlpm.result,10*_xlfn.XLOOKUP($A68,$A$2:$A$28,_xlfn.XLOOKUP(E$31,$B$1:$N$1,$B$2:$N$28)),IF(_xlpm.result&lt;0,"",_xlpm.result))</f>
        <v>0</v>
      </c>
      <c r="F68" s="1" t="str" cm="1">
        <f t="array" ref="F68">_xlfn.LET(_xlpm.result,10*_xlfn.XLOOKUP($A68,$A$2:$A$28,_xlfn.XLOOKUP(F$31,$B$1:$N$1,$B$2:$N$28)),IF(_xlpm.result&lt;0,"",_xlpm.result))</f>
        <v/>
      </c>
      <c r="G68" s="1" t="str" cm="1">
        <f t="array" ref="G68">_xlfn.LET(_xlpm.result,10*_xlfn.XLOOKUP($A68,$A$2:$A$28,_xlfn.XLOOKUP(G$31,$B$1:$N$1,$B$2:$N$28)),IF(_xlpm.result&lt;0,"",_xlpm.result))</f>
        <v/>
      </c>
      <c r="H68" s="1" t="str" cm="1">
        <f t="array" ref="H68">_xlfn.LET(_xlpm.result,10*_xlfn.XLOOKUP($A68,$A$2:$A$28,_xlfn.XLOOKUP(H$31,$B$1:$N$1,$B$2:$N$28)),IF(_xlpm.result&lt;0,"",_xlpm.result))</f>
        <v/>
      </c>
      <c r="I68" s="1" t="str" cm="1">
        <f t="array" ref="I68">_xlfn.LET(_xlpm.result,10*_xlfn.XLOOKUP($A68,$A$2:$A$28,_xlfn.XLOOKUP(I$31,$B$1:$N$1,$B$2:$N$28)),IF(_xlpm.result&lt;0,"",_xlpm.result))</f>
        <v/>
      </c>
      <c r="J68" s="1" t="str" cm="1">
        <f t="array" ref="J68">_xlfn.LET(_xlpm.result,10*_xlfn.XLOOKUP($A68,$A$2:$A$28,_xlfn.XLOOKUP(J$31,$B$1:$N$1,$B$2:$N$28)),IF(_xlpm.result&lt;0,"",_xlpm.result))</f>
        <v/>
      </c>
      <c r="K68" s="1" t="str" cm="1">
        <f t="array" ref="K68">_xlfn.LET(_xlpm.result,10*_xlfn.XLOOKUP($A68,$A$2:$A$28,_xlfn.XLOOKUP(K$31,$B$1:$N$1,$B$2:$N$28)),IF(_xlpm.result&lt;0,"",_xlpm.result))</f>
        <v/>
      </c>
      <c r="L68" s="1" cm="1">
        <f t="array" ref="L68">_xlfn.LET(_xlpm.result,10*_xlfn.XLOOKUP($A68,$A$2:$A$28,_xlfn.XLOOKUP(L$31,$B$1:$N$1,$B$2:$N$28)),IF(_xlpm.result&lt;0,"",_xlpm.result))</f>
        <v>8</v>
      </c>
      <c r="M68" s="1" t="str" cm="1">
        <f t="array" ref="M68">_xlfn.LET(_xlpm.result,10*_xlfn.XLOOKUP($A68,$A$2:$A$28,_xlfn.XLOOKUP(M$31,$B$1:$N$1,$B$2:$N$28)),IF(_xlpm.result&lt;0,"",_xlpm.result))</f>
        <v/>
      </c>
      <c r="N68" s="1" t="str" cm="1">
        <f t="array" ref="N68">_xlfn.LET(_xlpm.result,10*_xlfn.XLOOKUP($A68,$A$2:$A$28,_xlfn.XLOOKUP(N$31,$B$1:$N$1,$B$2:$N$28)),IF(_xlpm.result&lt;0,"",_xlpm.result))</f>
        <v/>
      </c>
      <c r="O68" s="19">
        <f t="shared" si="2"/>
        <v>15</v>
      </c>
    </row>
    <row r="69" spans="1:16" x14ac:dyDescent="0.25">
      <c r="A69" t="s">
        <v>41</v>
      </c>
      <c r="B69" s="1" t="str" cm="1">
        <f t="array" ref="B69">_xlfn.LET(_xlpm.result,10*_xlfn.XLOOKUP($A69,$A$2:$A$28,_xlfn.XLOOKUP(B$31,$B$1:$N$1,$B$2:$N$28)),IF(_xlpm.result&lt;0,"",_xlpm.result))</f>
        <v/>
      </c>
      <c r="C69" s="1" t="str" cm="1">
        <f t="array" ref="C69">_xlfn.LET(_xlpm.result,10*_xlfn.XLOOKUP($A69,$A$2:$A$28,_xlfn.XLOOKUP(C$31,$B$1:$N$1,$B$2:$N$28)),IF(_xlpm.result&lt;0,"",_xlpm.result))</f>
        <v/>
      </c>
      <c r="D69" s="1" t="str" cm="1">
        <f t="array" ref="D69">_xlfn.LET(_xlpm.result,10*_xlfn.XLOOKUP($A69,$A$2:$A$28,_xlfn.XLOOKUP(D$31,$B$1:$N$1,$B$2:$N$28)),IF(_xlpm.result&lt;0,"",_xlpm.result))</f>
        <v/>
      </c>
      <c r="E69" s="1" t="str" cm="1">
        <f t="array" ref="E69">_xlfn.LET(_xlpm.result,10*_xlfn.XLOOKUP($A69,$A$2:$A$28,_xlfn.XLOOKUP(E$31,$B$1:$N$1,$B$2:$N$28)),IF(_xlpm.result&lt;0,"",_xlpm.result))</f>
        <v/>
      </c>
      <c r="F69" s="1" t="str" cm="1">
        <f t="array" ref="F69">_xlfn.LET(_xlpm.result,10*_xlfn.XLOOKUP($A69,$A$2:$A$28,_xlfn.XLOOKUP(F$31,$B$1:$N$1,$B$2:$N$28)),IF(_xlpm.result&lt;0,"",_xlpm.result))</f>
        <v/>
      </c>
      <c r="G69" s="1" cm="1">
        <f t="array" ref="G69">_xlfn.LET(_xlpm.result,10*_xlfn.XLOOKUP($A69,$A$2:$A$28,_xlfn.XLOOKUP(G$31,$B$1:$N$1,$B$2:$N$28)),IF(_xlpm.result&lt;0,"",_xlpm.result))</f>
        <v>0</v>
      </c>
      <c r="H69" s="1" t="str" cm="1">
        <f t="array" ref="H69">_xlfn.LET(_xlpm.result,10*_xlfn.XLOOKUP($A69,$A$2:$A$28,_xlfn.XLOOKUP(H$31,$B$1:$N$1,$B$2:$N$28)),IF(_xlpm.result&lt;0,"",_xlpm.result))</f>
        <v/>
      </c>
      <c r="I69" s="1" t="str" cm="1">
        <f t="array" ref="I69">_xlfn.LET(_xlpm.result,10*_xlfn.XLOOKUP($A69,$A$2:$A$28,_xlfn.XLOOKUP(I$31,$B$1:$N$1,$B$2:$N$28)),IF(_xlpm.result&lt;0,"",_xlpm.result))</f>
        <v/>
      </c>
      <c r="J69" s="1" t="str" cm="1">
        <f t="array" ref="J69">_xlfn.LET(_xlpm.result,10*_xlfn.XLOOKUP($A69,$A$2:$A$28,_xlfn.XLOOKUP(J$31,$B$1:$N$1,$B$2:$N$28)),IF(_xlpm.result&lt;0,"",_xlpm.result))</f>
        <v/>
      </c>
      <c r="K69" s="1" t="str" cm="1">
        <f t="array" ref="K69">_xlfn.LET(_xlpm.result,10*_xlfn.XLOOKUP($A69,$A$2:$A$28,_xlfn.XLOOKUP(K$31,$B$1:$N$1,$B$2:$N$28)),IF(_xlpm.result&lt;0,"",_xlpm.result))</f>
        <v/>
      </c>
      <c r="L69" s="1" t="str" cm="1">
        <f t="array" ref="L69">_xlfn.LET(_xlpm.result,10*_xlfn.XLOOKUP($A69,$A$2:$A$28,_xlfn.XLOOKUP(L$31,$B$1:$N$1,$B$2:$N$28)),IF(_xlpm.result&lt;0,"",_xlpm.result))</f>
        <v/>
      </c>
      <c r="M69" s="1" cm="1">
        <f t="array" ref="M69">_xlfn.LET(_xlpm.result,10*_xlfn.XLOOKUP($A69,$A$2:$A$28,_xlfn.XLOOKUP(M$31,$B$1:$N$1,$B$2:$N$28)),IF(_xlpm.result&lt;0,"",_xlpm.result))</f>
        <v>16.999999999999901</v>
      </c>
      <c r="N69" s="1" t="str" cm="1">
        <f t="array" ref="N69">_xlfn.LET(_xlpm.result,10*_xlfn.XLOOKUP($A69,$A$2:$A$28,_xlfn.XLOOKUP(N$31,$B$1:$N$1,$B$2:$N$28)),IF(_xlpm.result&lt;0,"",_xlpm.result))</f>
        <v/>
      </c>
      <c r="O69" s="10">
        <f t="shared" si="2"/>
        <v>16.999999999999901</v>
      </c>
    </row>
    <row r="70" spans="1:16" x14ac:dyDescent="0.25">
      <c r="A70" t="s">
        <v>23</v>
      </c>
      <c r="B70" s="1" t="str" cm="1">
        <f t="array" ref="B70">_xlfn.LET(_xlpm.result,10*_xlfn.XLOOKUP($A70,$A$2:$A$28,_xlfn.XLOOKUP(B$31,$B$1:$N$1,$B$2:$N$28)),IF(_xlpm.result&lt;0,"",_xlpm.result))</f>
        <v/>
      </c>
      <c r="C70" s="1" cm="1">
        <f t="array" ref="C70">_xlfn.LET(_xlpm.result,10*_xlfn.XLOOKUP($A70,$A$2:$A$28,_xlfn.XLOOKUP(C$31,$B$1:$N$1,$B$2:$N$28)),IF(_xlpm.result&lt;0,"",_xlpm.result))</f>
        <v>10.999999999999901</v>
      </c>
      <c r="D70" s="1" t="str" cm="1">
        <f t="array" ref="D70">_xlfn.LET(_xlpm.result,10*_xlfn.XLOOKUP($A70,$A$2:$A$28,_xlfn.XLOOKUP(D$31,$B$1:$N$1,$B$2:$N$28)),IF(_xlpm.result&lt;0,"",_xlpm.result))</f>
        <v/>
      </c>
      <c r="E70" s="1" t="str" cm="1">
        <f t="array" ref="E70">_xlfn.LET(_xlpm.result,10*_xlfn.XLOOKUP($A70,$A$2:$A$28,_xlfn.XLOOKUP(E$31,$B$1:$N$1,$B$2:$N$28)),IF(_xlpm.result&lt;0,"",_xlpm.result))</f>
        <v/>
      </c>
      <c r="F70" s="1" cm="1">
        <f t="array" ref="F70">_xlfn.LET(_xlpm.result,10*_xlfn.XLOOKUP($A70,$A$2:$A$28,_xlfn.XLOOKUP(F$31,$B$1:$N$1,$B$2:$N$28)),IF(_xlpm.result&lt;0,"",_xlpm.result))</f>
        <v>19</v>
      </c>
      <c r="G70" s="1" t="str" cm="1">
        <f t="array" ref="G70">_xlfn.LET(_xlpm.result,10*_xlfn.XLOOKUP($A70,$A$2:$A$28,_xlfn.XLOOKUP(G$31,$B$1:$N$1,$B$2:$N$28)),IF(_xlpm.result&lt;0,"",_xlpm.result))</f>
        <v/>
      </c>
      <c r="H70" s="1" t="str" cm="1">
        <f t="array" ref="H70">_xlfn.LET(_xlpm.result,10*_xlfn.XLOOKUP($A70,$A$2:$A$28,_xlfn.XLOOKUP(H$31,$B$1:$N$1,$B$2:$N$28)),IF(_xlpm.result&lt;0,"",_xlpm.result))</f>
        <v/>
      </c>
      <c r="I70" s="1" t="str" cm="1">
        <f t="array" ref="I70">_xlfn.LET(_xlpm.result,10*_xlfn.XLOOKUP($A70,$A$2:$A$28,_xlfn.XLOOKUP(I$31,$B$1:$N$1,$B$2:$N$28)),IF(_xlpm.result&lt;0,"",_xlpm.result))</f>
        <v/>
      </c>
      <c r="J70" s="1" cm="1">
        <f t="array" ref="J70">_xlfn.LET(_xlpm.result,10*_xlfn.XLOOKUP($A70,$A$2:$A$28,_xlfn.XLOOKUP(J$31,$B$1:$N$1,$B$2:$N$28)),IF(_xlpm.result&lt;0,"",_xlpm.result))</f>
        <v>0</v>
      </c>
      <c r="K70" s="1" cm="1">
        <f t="array" ref="K70">_xlfn.LET(_xlpm.result,10*_xlfn.XLOOKUP($A70,$A$2:$A$28,_xlfn.XLOOKUP(K$31,$B$1:$N$1,$B$2:$N$28)),IF(_xlpm.result&lt;0,"",_xlpm.result))</f>
        <v>19</v>
      </c>
      <c r="L70" s="1" t="str" cm="1">
        <f t="array" ref="L70">_xlfn.LET(_xlpm.result,10*_xlfn.XLOOKUP($A70,$A$2:$A$28,_xlfn.XLOOKUP(L$31,$B$1:$N$1,$B$2:$N$28)),IF(_xlpm.result&lt;0,"",_xlpm.result))</f>
        <v/>
      </c>
      <c r="M70" s="1" t="str" cm="1">
        <f t="array" ref="M70">_xlfn.LET(_xlpm.result,10*_xlfn.XLOOKUP($A70,$A$2:$A$28,_xlfn.XLOOKUP(M$31,$B$1:$N$1,$B$2:$N$28)),IF(_xlpm.result&lt;0,"",_xlpm.result))</f>
        <v/>
      </c>
      <c r="N70" s="1" t="str" cm="1">
        <f t="array" ref="N70">_xlfn.LET(_xlpm.result,10*_xlfn.XLOOKUP($A70,$A$2:$A$28,_xlfn.XLOOKUP(N$31,$B$1:$N$1,$B$2:$N$28)),IF(_xlpm.result&lt;0,"",_xlpm.result))</f>
        <v/>
      </c>
      <c r="O70" s="10">
        <f t="shared" si="2"/>
        <v>19</v>
      </c>
    </row>
    <row r="71" spans="1:16" x14ac:dyDescent="0.25">
      <c r="A71" t="s">
        <v>38</v>
      </c>
      <c r="B71" s="1" t="str" cm="1">
        <f t="array" ref="B71">_xlfn.LET(_xlpm.result,10*_xlfn.XLOOKUP($A71,$A$2:$A$28,_xlfn.XLOOKUP(B$31,$B$1:$N$1,$B$2:$N$28)),IF(_xlpm.result&lt;0,"",_xlpm.result))</f>
        <v/>
      </c>
      <c r="C71" s="1" cm="1">
        <f t="array" ref="C71">_xlfn.LET(_xlpm.result,10*_xlfn.XLOOKUP($A71,$A$2:$A$28,_xlfn.XLOOKUP(C$31,$B$1:$N$1,$B$2:$N$28)),IF(_xlpm.result&lt;0,"",_xlpm.result))</f>
        <v>1</v>
      </c>
      <c r="D71" s="1" t="str" cm="1">
        <f t="array" ref="D71">_xlfn.LET(_xlpm.result,10*_xlfn.XLOOKUP($A71,$A$2:$A$28,_xlfn.XLOOKUP(D$31,$B$1:$N$1,$B$2:$N$28)),IF(_xlpm.result&lt;0,"",_xlpm.result))</f>
        <v/>
      </c>
      <c r="E71" s="1" t="str" cm="1">
        <f t="array" ref="E71">_xlfn.LET(_xlpm.result,10*_xlfn.XLOOKUP($A71,$A$2:$A$28,_xlfn.XLOOKUP(E$31,$B$1:$N$1,$B$2:$N$28)),IF(_xlpm.result&lt;0,"",_xlpm.result))</f>
        <v/>
      </c>
      <c r="F71" s="1" t="str" cm="1">
        <f t="array" ref="F71">_xlfn.LET(_xlpm.result,10*_xlfn.XLOOKUP($A71,$A$2:$A$28,_xlfn.XLOOKUP(F$31,$B$1:$N$1,$B$2:$N$28)),IF(_xlpm.result&lt;0,"",_xlpm.result))</f>
        <v/>
      </c>
      <c r="G71" s="1" t="str" cm="1">
        <f t="array" ref="G71">_xlfn.LET(_xlpm.result,10*_xlfn.XLOOKUP($A71,$A$2:$A$28,_xlfn.XLOOKUP(G$31,$B$1:$N$1,$B$2:$N$28)),IF(_xlpm.result&lt;0,"",_xlpm.result))</f>
        <v/>
      </c>
      <c r="H71" s="1" cm="1">
        <f t="array" ref="H71">_xlfn.LET(_xlpm.result,10*_xlfn.XLOOKUP($A71,$A$2:$A$28,_xlfn.XLOOKUP(H$31,$B$1:$N$1,$B$2:$N$28)),IF(_xlpm.result&lt;0,"",_xlpm.result))</f>
        <v>0</v>
      </c>
      <c r="I71" s="1" cm="1">
        <f t="array" ref="I71">_xlfn.LET(_xlpm.result,10*_xlfn.XLOOKUP($A71,$A$2:$A$28,_xlfn.XLOOKUP(I$31,$B$1:$N$1,$B$2:$N$28)),IF(_xlpm.result&lt;0,"",_xlpm.result))</f>
        <v>28</v>
      </c>
      <c r="J71" s="1" cm="1">
        <f t="array" ref="J71">_xlfn.LET(_xlpm.result,10*_xlfn.XLOOKUP($A71,$A$2:$A$28,_xlfn.XLOOKUP(J$31,$B$1:$N$1,$B$2:$N$28)),IF(_xlpm.result&lt;0,"",_xlpm.result))</f>
        <v>19.999999999999901</v>
      </c>
      <c r="K71" s="1" t="str" cm="1">
        <f t="array" ref="K71">_xlfn.LET(_xlpm.result,10*_xlfn.XLOOKUP($A71,$A$2:$A$28,_xlfn.XLOOKUP(K$31,$B$1:$N$1,$B$2:$N$28)),IF(_xlpm.result&lt;0,"",_xlpm.result))</f>
        <v/>
      </c>
      <c r="L71" s="1" cm="1">
        <f t="array" ref="L71">_xlfn.LET(_xlpm.result,10*_xlfn.XLOOKUP($A71,$A$2:$A$28,_xlfn.XLOOKUP(L$31,$B$1:$N$1,$B$2:$N$28)),IF(_xlpm.result&lt;0,"",_xlpm.result))</f>
        <v>34.999999999999901</v>
      </c>
      <c r="M71" s="1" t="str" cm="1">
        <f t="array" ref="M71">_xlfn.LET(_xlpm.result,10*_xlfn.XLOOKUP($A71,$A$2:$A$28,_xlfn.XLOOKUP(M$31,$B$1:$N$1,$B$2:$N$28)),IF(_xlpm.result&lt;0,"",_xlpm.result))</f>
        <v/>
      </c>
      <c r="N71" s="1" t="str" cm="1">
        <f t="array" ref="N71">_xlfn.LET(_xlpm.result,10*_xlfn.XLOOKUP($A71,$A$2:$A$28,_xlfn.XLOOKUP(N$31,$B$1:$N$1,$B$2:$N$28)),IF(_xlpm.result&lt;0,"",_xlpm.result))</f>
        <v/>
      </c>
      <c r="O71" s="10">
        <f t="shared" si="2"/>
        <v>34.999999999999901</v>
      </c>
    </row>
    <row r="72" spans="1:16" x14ac:dyDescent="0.25">
      <c r="A72" t="s">
        <v>35</v>
      </c>
      <c r="B72" s="1" cm="1">
        <f t="array" ref="B72">_xlfn.LET(_xlpm.result,10*_xlfn.XLOOKUP($A72,$A$2:$A$28,_xlfn.XLOOKUP(B$31,$B$1:$N$1,$B$2:$N$28)),IF(_xlpm.result&lt;0,"",_xlpm.result))</f>
        <v>41</v>
      </c>
      <c r="C72" s="1" t="str" cm="1">
        <f t="array" ref="C72">_xlfn.LET(_xlpm.result,10*_xlfn.XLOOKUP($A72,$A$2:$A$28,_xlfn.XLOOKUP(C$31,$B$1:$N$1,$B$2:$N$28)),IF(_xlpm.result&lt;0,"",_xlpm.result))</f>
        <v/>
      </c>
      <c r="D72" s="1" cm="1">
        <f t="array" ref="D72">_xlfn.LET(_xlpm.result,10*_xlfn.XLOOKUP($A72,$A$2:$A$28,_xlfn.XLOOKUP(D$31,$B$1:$N$1,$B$2:$N$28)),IF(_xlpm.result&lt;0,"",_xlpm.result))</f>
        <v>0</v>
      </c>
      <c r="E72" s="1" t="str" cm="1">
        <f t="array" ref="E72">_xlfn.LET(_xlpm.result,10*_xlfn.XLOOKUP($A72,$A$2:$A$28,_xlfn.XLOOKUP(E$31,$B$1:$N$1,$B$2:$N$28)),IF(_xlpm.result&lt;0,"",_xlpm.result))</f>
        <v/>
      </c>
      <c r="F72" s="1" t="str" cm="1">
        <f t="array" ref="F72">_xlfn.LET(_xlpm.result,10*_xlfn.XLOOKUP($A72,$A$2:$A$28,_xlfn.XLOOKUP(F$31,$B$1:$N$1,$B$2:$N$28)),IF(_xlpm.result&lt;0,"",_xlpm.result))</f>
        <v/>
      </c>
      <c r="G72" s="1" t="str" cm="1">
        <f t="array" ref="G72">_xlfn.LET(_xlpm.result,10*_xlfn.XLOOKUP($A72,$A$2:$A$28,_xlfn.XLOOKUP(G$31,$B$1:$N$1,$B$2:$N$28)),IF(_xlpm.result&lt;0,"",_xlpm.result))</f>
        <v/>
      </c>
      <c r="H72" s="1" t="str" cm="1">
        <f t="array" ref="H72">_xlfn.LET(_xlpm.result,10*_xlfn.XLOOKUP($A72,$A$2:$A$28,_xlfn.XLOOKUP(H$31,$B$1:$N$1,$B$2:$N$28)),IF(_xlpm.result&lt;0,"",_xlpm.result))</f>
        <v/>
      </c>
      <c r="I72" s="1" t="str" cm="1">
        <f t="array" ref="I72">_xlfn.LET(_xlpm.result,10*_xlfn.XLOOKUP($A72,$A$2:$A$28,_xlfn.XLOOKUP(I$31,$B$1:$N$1,$B$2:$N$28)),IF(_xlpm.result&lt;0,"",_xlpm.result))</f>
        <v/>
      </c>
      <c r="J72" s="1" t="str" cm="1">
        <f t="array" ref="J72">_xlfn.LET(_xlpm.result,10*_xlfn.XLOOKUP($A72,$A$2:$A$28,_xlfn.XLOOKUP(J$31,$B$1:$N$1,$B$2:$N$28)),IF(_xlpm.result&lt;0,"",_xlpm.result))</f>
        <v/>
      </c>
      <c r="K72" s="1" t="str" cm="1">
        <f t="array" ref="K72">_xlfn.LET(_xlpm.result,10*_xlfn.XLOOKUP($A72,$A$2:$A$28,_xlfn.XLOOKUP(K$31,$B$1:$N$1,$B$2:$N$28)),IF(_xlpm.result&lt;0,"",_xlpm.result))</f>
        <v/>
      </c>
      <c r="L72" s="1" t="str" cm="1">
        <f t="array" ref="L72">_xlfn.LET(_xlpm.result,10*_xlfn.XLOOKUP($A72,$A$2:$A$28,_xlfn.XLOOKUP(L$31,$B$1:$N$1,$B$2:$N$28)),IF(_xlpm.result&lt;0,"",_xlpm.result))</f>
        <v/>
      </c>
      <c r="M72" s="1" cm="1">
        <f t="array" ref="M72">_xlfn.LET(_xlpm.result,10*_xlfn.XLOOKUP($A72,$A$2:$A$28,_xlfn.XLOOKUP(M$31,$B$1:$N$1,$B$2:$N$28)),IF(_xlpm.result&lt;0,"",_xlpm.result))</f>
        <v>30</v>
      </c>
      <c r="N72" s="1" t="str" cm="1">
        <f t="array" ref="N72">_xlfn.LET(_xlpm.result,10*_xlfn.XLOOKUP($A72,$A$2:$A$28,_xlfn.XLOOKUP(N$31,$B$1:$N$1,$B$2:$N$28)),IF(_xlpm.result&lt;0,"",_xlpm.result))</f>
        <v/>
      </c>
      <c r="O72" s="10">
        <f t="shared" si="2"/>
        <v>41</v>
      </c>
    </row>
    <row r="73" spans="1:16" x14ac:dyDescent="0.25">
      <c r="A73" t="s">
        <v>26</v>
      </c>
      <c r="B73" s="1" t="str" cm="1">
        <f t="array" ref="B73">_xlfn.LET(_xlpm.result,10*_xlfn.XLOOKUP($A73,$A$2:$A$28,_xlfn.XLOOKUP(B$31,$B$1:$N$1,$B$2:$N$28)),IF(_xlpm.result&lt;0,"",_xlpm.result))</f>
        <v/>
      </c>
      <c r="C73" s="1" t="str" cm="1">
        <f t="array" ref="C73">_xlfn.LET(_xlpm.result,10*_xlfn.XLOOKUP($A73,$A$2:$A$28,_xlfn.XLOOKUP(C$31,$B$1:$N$1,$B$2:$N$28)),IF(_xlpm.result&lt;0,"",_xlpm.result))</f>
        <v/>
      </c>
      <c r="D73" s="1" t="str" cm="1">
        <f t="array" ref="D73">_xlfn.LET(_xlpm.result,10*_xlfn.XLOOKUP($A73,$A$2:$A$28,_xlfn.XLOOKUP(D$31,$B$1:$N$1,$B$2:$N$28)),IF(_xlpm.result&lt;0,"",_xlpm.result))</f>
        <v/>
      </c>
      <c r="E73" s="1" cm="1">
        <f t="array" ref="E73">_xlfn.LET(_xlpm.result,10*_xlfn.XLOOKUP($A73,$A$2:$A$28,_xlfn.XLOOKUP(E$31,$B$1:$N$1,$B$2:$N$28)),IF(_xlpm.result&lt;0,"",_xlpm.result))</f>
        <v>0</v>
      </c>
      <c r="F73" s="1" cm="1">
        <f t="array" ref="F73">_xlfn.LET(_xlpm.result,10*_xlfn.XLOOKUP($A73,$A$2:$A$28,_xlfn.XLOOKUP(F$31,$B$1:$N$1,$B$2:$N$28)),IF(_xlpm.result&lt;0,"",_xlpm.result))</f>
        <v>18.999999999999901</v>
      </c>
      <c r="G73" s="1" t="str" cm="1">
        <f t="array" ref="G73">_xlfn.LET(_xlpm.result,10*_xlfn.XLOOKUP($A73,$A$2:$A$28,_xlfn.XLOOKUP(G$31,$B$1:$N$1,$B$2:$N$28)),IF(_xlpm.result&lt;0,"",_xlpm.result))</f>
        <v/>
      </c>
      <c r="H73" s="1" cm="1">
        <f t="array" ref="H73">_xlfn.LET(_xlpm.result,10*_xlfn.XLOOKUP($A73,$A$2:$A$28,_xlfn.XLOOKUP(H$31,$B$1:$N$1,$B$2:$N$28)),IF(_xlpm.result&lt;0,"",_xlpm.result))</f>
        <v>2.9999999999999898</v>
      </c>
      <c r="I73" s="1" t="str" cm="1">
        <f t="array" ref="I73">_xlfn.LET(_xlpm.result,10*_xlfn.XLOOKUP($A73,$A$2:$A$28,_xlfn.XLOOKUP(I$31,$B$1:$N$1,$B$2:$N$28)),IF(_xlpm.result&lt;0,"",_xlpm.result))</f>
        <v/>
      </c>
      <c r="J73" s="1" cm="1">
        <f t="array" ref="J73">_xlfn.LET(_xlpm.result,10*_xlfn.XLOOKUP($A73,$A$2:$A$28,_xlfn.XLOOKUP(J$31,$B$1:$N$1,$B$2:$N$28)),IF(_xlpm.result&lt;0,"",_xlpm.result))</f>
        <v>43.999999999999901</v>
      </c>
      <c r="K73" s="1" t="str" cm="1">
        <f t="array" ref="K73">_xlfn.LET(_xlpm.result,10*_xlfn.XLOOKUP($A73,$A$2:$A$28,_xlfn.XLOOKUP(K$31,$B$1:$N$1,$B$2:$N$28)),IF(_xlpm.result&lt;0,"",_xlpm.result))</f>
        <v/>
      </c>
      <c r="L73" s="1" t="str" cm="1">
        <f t="array" ref="L73">_xlfn.LET(_xlpm.result,10*_xlfn.XLOOKUP($A73,$A$2:$A$28,_xlfn.XLOOKUP(L$31,$B$1:$N$1,$B$2:$N$28)),IF(_xlpm.result&lt;0,"",_xlpm.result))</f>
        <v/>
      </c>
      <c r="M73" s="1" t="str" cm="1">
        <f t="array" ref="M73">_xlfn.LET(_xlpm.result,10*_xlfn.XLOOKUP($A73,$A$2:$A$28,_xlfn.XLOOKUP(M$31,$B$1:$N$1,$B$2:$N$28)),IF(_xlpm.result&lt;0,"",_xlpm.result))</f>
        <v/>
      </c>
      <c r="N73" s="1" cm="1">
        <f t="array" ref="N73">_xlfn.LET(_xlpm.result,10*_xlfn.XLOOKUP($A73,$A$2:$A$28,_xlfn.XLOOKUP(N$31,$B$1:$N$1,$B$2:$N$28)),IF(_xlpm.result&lt;0,"",_xlpm.result))</f>
        <v>33.999999999999901</v>
      </c>
      <c r="O73" s="10">
        <f t="shared" si="2"/>
        <v>43.999999999999901</v>
      </c>
    </row>
    <row r="74" spans="1:16" x14ac:dyDescent="0.25">
      <c r="A74" t="s">
        <v>20</v>
      </c>
      <c r="B74" s="1" t="str" cm="1">
        <f t="array" ref="B74">_xlfn.LET(_xlpm.result,10*_xlfn.XLOOKUP($A74,$A$2:$A$28,_xlfn.XLOOKUP(B$31,$B$1:$N$1,$B$2:$N$28)),IF(_xlpm.result&lt;0,"",_xlpm.result))</f>
        <v/>
      </c>
      <c r="C74" s="1" t="str" cm="1">
        <f t="array" ref="C74">_xlfn.LET(_xlpm.result,10*_xlfn.XLOOKUP($A74,$A$2:$A$28,_xlfn.XLOOKUP(C$31,$B$1:$N$1,$B$2:$N$28)),IF(_xlpm.result&lt;0,"",_xlpm.result))</f>
        <v/>
      </c>
      <c r="D74" s="1" cm="1">
        <f t="array" ref="D74">_xlfn.LET(_xlpm.result,10*_xlfn.XLOOKUP($A74,$A$2:$A$28,_xlfn.XLOOKUP(D$31,$B$1:$N$1,$B$2:$N$28)),IF(_xlpm.result&lt;0,"",_xlpm.result))</f>
        <v>16</v>
      </c>
      <c r="E74" s="1" t="str" cm="1">
        <f t="array" ref="E74">_xlfn.LET(_xlpm.result,10*_xlfn.XLOOKUP($A74,$A$2:$A$28,_xlfn.XLOOKUP(E$31,$B$1:$N$1,$B$2:$N$28)),IF(_xlpm.result&lt;0,"",_xlpm.result))</f>
        <v/>
      </c>
      <c r="F74" s="1" t="str" cm="1">
        <f t="array" ref="F74">_xlfn.LET(_xlpm.result,10*_xlfn.XLOOKUP($A74,$A$2:$A$28,_xlfn.XLOOKUP(F$31,$B$1:$N$1,$B$2:$N$28)),IF(_xlpm.result&lt;0,"",_xlpm.result))</f>
        <v/>
      </c>
      <c r="G74" s="1" cm="1">
        <f t="array" ref="G74">_xlfn.LET(_xlpm.result,10*_xlfn.XLOOKUP($A74,$A$2:$A$28,_xlfn.XLOOKUP(G$31,$B$1:$N$1,$B$2:$N$28)),IF(_xlpm.result&lt;0,"",_xlpm.result))</f>
        <v>25</v>
      </c>
      <c r="H74" s="1" cm="1">
        <f t="array" ref="H74">_xlfn.LET(_xlpm.result,10*_xlfn.XLOOKUP($A74,$A$2:$A$28,_xlfn.XLOOKUP(H$31,$B$1:$N$1,$B$2:$N$28)),IF(_xlpm.result&lt;0,"",_xlpm.result))</f>
        <v>44</v>
      </c>
      <c r="I74" s="1" cm="1">
        <f t="array" ref="I74">_xlfn.LET(_xlpm.result,10*_xlfn.XLOOKUP($A74,$A$2:$A$28,_xlfn.XLOOKUP(I$31,$B$1:$N$1,$B$2:$N$28)),IF(_xlpm.result&lt;0,"",_xlpm.result))</f>
        <v>35.999999999999901</v>
      </c>
      <c r="J74" s="1" t="str" cm="1">
        <f t="array" ref="J74">_xlfn.LET(_xlpm.result,10*_xlfn.XLOOKUP($A74,$A$2:$A$28,_xlfn.XLOOKUP(J$31,$B$1:$N$1,$B$2:$N$28)),IF(_xlpm.result&lt;0,"",_xlpm.result))</f>
        <v/>
      </c>
      <c r="K74" s="1" t="str" cm="1">
        <f t="array" ref="K74">_xlfn.LET(_xlpm.result,10*_xlfn.XLOOKUP($A74,$A$2:$A$28,_xlfn.XLOOKUP(K$31,$B$1:$N$1,$B$2:$N$28)),IF(_xlpm.result&lt;0,"",_xlpm.result))</f>
        <v/>
      </c>
      <c r="L74" s="1" t="str" cm="1">
        <f t="array" ref="L74">_xlfn.LET(_xlpm.result,10*_xlfn.XLOOKUP($A74,$A$2:$A$28,_xlfn.XLOOKUP(L$31,$B$1:$N$1,$B$2:$N$28)),IF(_xlpm.result&lt;0,"",_xlpm.result))</f>
        <v/>
      </c>
      <c r="M74" s="1" t="str" cm="1">
        <f t="array" ref="M74">_xlfn.LET(_xlpm.result,10*_xlfn.XLOOKUP($A74,$A$2:$A$28,_xlfn.XLOOKUP(M$31,$B$1:$N$1,$B$2:$N$28)),IF(_xlpm.result&lt;0,"",_xlpm.result))</f>
        <v/>
      </c>
      <c r="N74" s="1" cm="1">
        <f t="array" ref="N74">_xlfn.LET(_xlpm.result,10*_xlfn.XLOOKUP($A74,$A$2:$A$28,_xlfn.XLOOKUP(N$31,$B$1:$N$1,$B$2:$N$28)),IF(_xlpm.result&lt;0,"",_xlpm.result))</f>
        <v>44</v>
      </c>
      <c r="O74" s="10">
        <f t="shared" si="2"/>
        <v>44</v>
      </c>
    </row>
    <row r="75" spans="1:16" s="16" customFormat="1" ht="18.75" x14ac:dyDescent="0.3">
      <c r="A75" s="16" t="s">
        <v>19</v>
      </c>
      <c r="B75" s="17" t="str" cm="1">
        <f t="array" ref="B75">_xlfn.LET(_xlpm.result,10*_xlfn.XLOOKUP($A75,$A$2:$A$28,_xlfn.XLOOKUP(B$31,$B$1:$N$1,$B$2:$N$28)),IF(_xlpm.result&lt;0,"",_xlpm.result))</f>
        <v/>
      </c>
      <c r="C75" s="17" t="str" cm="1">
        <f t="array" ref="C75">_xlfn.LET(_xlpm.result,10*_xlfn.XLOOKUP($A75,$A$2:$A$28,_xlfn.XLOOKUP(C$31,$B$1:$N$1,$B$2:$N$28)),IF(_xlpm.result&lt;0,"",_xlpm.result))</f>
        <v/>
      </c>
      <c r="D75" s="17" cm="1">
        <f t="array" ref="D75">_xlfn.LET(_xlpm.result,10*_xlfn.XLOOKUP($A75,$A$2:$A$28,_xlfn.XLOOKUP(D$31,$B$1:$N$1,$B$2:$N$28)),IF(_xlpm.result&lt;0,"",_xlpm.result))</f>
        <v>0</v>
      </c>
      <c r="E75" s="17" t="str" cm="1">
        <f t="array" ref="E75">_xlfn.LET(_xlpm.result,10*_xlfn.XLOOKUP($A75,$A$2:$A$28,_xlfn.XLOOKUP(E$31,$B$1:$N$1,$B$2:$N$28)),IF(_xlpm.result&lt;0,"",_xlpm.result))</f>
        <v/>
      </c>
      <c r="F75" s="17" t="str" cm="1">
        <f t="array" ref="F75">_xlfn.LET(_xlpm.result,10*_xlfn.XLOOKUP($A75,$A$2:$A$28,_xlfn.XLOOKUP(F$31,$B$1:$N$1,$B$2:$N$28)),IF(_xlpm.result&lt;0,"",_xlpm.result))</f>
        <v/>
      </c>
      <c r="G75" s="17" t="str" cm="1">
        <f t="array" ref="G75">_xlfn.LET(_xlpm.result,10*_xlfn.XLOOKUP($A75,$A$2:$A$28,_xlfn.XLOOKUP(G$31,$B$1:$N$1,$B$2:$N$28)),IF(_xlpm.result&lt;0,"",_xlpm.result))</f>
        <v/>
      </c>
      <c r="H75" s="17" t="str" cm="1">
        <f t="array" ref="H75">_xlfn.LET(_xlpm.result,10*_xlfn.XLOOKUP($A75,$A$2:$A$28,_xlfn.XLOOKUP(H$31,$B$1:$N$1,$B$2:$N$28)),IF(_xlpm.result&lt;0,"",_xlpm.result))</f>
        <v/>
      </c>
      <c r="I75" s="17" t="str" cm="1">
        <f t="array" ref="I75">_xlfn.LET(_xlpm.result,10*_xlfn.XLOOKUP($A75,$A$2:$A$28,_xlfn.XLOOKUP(I$31,$B$1:$N$1,$B$2:$N$28)),IF(_xlpm.result&lt;0,"",_xlpm.result))</f>
        <v/>
      </c>
      <c r="J75" s="17" t="str" cm="1">
        <f t="array" ref="J75">_xlfn.LET(_xlpm.result,10*_xlfn.XLOOKUP($A75,$A$2:$A$28,_xlfn.XLOOKUP(J$31,$B$1:$N$1,$B$2:$N$28)),IF(_xlpm.result&lt;0,"",_xlpm.result))</f>
        <v/>
      </c>
      <c r="K75" s="17" t="str" cm="1">
        <f t="array" ref="K75">_xlfn.LET(_xlpm.result,10*_xlfn.XLOOKUP($A75,$A$2:$A$28,_xlfn.XLOOKUP(K$31,$B$1:$N$1,$B$2:$N$28)),IF(_xlpm.result&lt;0,"",_xlpm.result))</f>
        <v/>
      </c>
      <c r="L75" s="17" cm="1">
        <f t="array" ref="L75">_xlfn.LET(_xlpm.result,10*_xlfn.XLOOKUP($A75,$A$2:$A$28,_xlfn.XLOOKUP(L$31,$B$1:$N$1,$B$2:$N$28)),IF(_xlpm.result&lt;0,"",_xlpm.result))</f>
        <v>3</v>
      </c>
      <c r="M75" s="20" cm="1">
        <f t="array" ref="M75">_xlfn.LET(_xlpm.result,10*_xlfn.XLOOKUP($A75,$A$2:$A$28,_xlfn.XLOOKUP(M$31,$B$1:$N$1,$B$2:$N$28)),IF(_xlpm.result&lt;0,"",_xlpm.result))</f>
        <v>53.999999999999901</v>
      </c>
      <c r="N75" s="17" t="str" cm="1">
        <f t="array" ref="N75">_xlfn.LET(_xlpm.result,10*_xlfn.XLOOKUP($A75,$A$2:$A$28,_xlfn.XLOOKUP(N$31,$B$1:$N$1,$B$2:$N$28)),IF(_xlpm.result&lt;0,"",_xlpm.result))</f>
        <v/>
      </c>
      <c r="O75" s="19">
        <f t="shared" si="2"/>
        <v>53.999999999999901</v>
      </c>
    </row>
    <row r="76" spans="1:16" s="16" customFormat="1" x14ac:dyDescent="0.25">
      <c r="A76" t="s">
        <v>21</v>
      </c>
      <c r="B76" s="1" t="str" cm="1">
        <f t="array" ref="B76">_xlfn.LET(_xlpm.result,10*_xlfn.XLOOKUP($A76,$A$2:$A$28,_xlfn.XLOOKUP(B$31,$B$1:$N$1,$B$2:$N$28)),IF(_xlpm.result&lt;0,"",_xlpm.result))</f>
        <v/>
      </c>
      <c r="C76" s="1" cm="1">
        <f t="array" ref="C76">_xlfn.LET(_xlpm.result,10*_xlfn.XLOOKUP($A76,$A$2:$A$28,_xlfn.XLOOKUP(C$31,$B$1:$N$1,$B$2:$N$28)),IF(_xlpm.result&lt;0,"",_xlpm.result))</f>
        <v>0</v>
      </c>
      <c r="D76" s="1" t="str" cm="1">
        <f t="array" ref="D76">_xlfn.LET(_xlpm.result,10*_xlfn.XLOOKUP($A76,$A$2:$A$28,_xlfn.XLOOKUP(D$31,$B$1:$N$1,$B$2:$N$28)),IF(_xlpm.result&lt;0,"",_xlpm.result))</f>
        <v/>
      </c>
      <c r="E76" s="1" cm="1">
        <f t="array" ref="E76">_xlfn.LET(_xlpm.result,10*_xlfn.XLOOKUP($A76,$A$2:$A$28,_xlfn.XLOOKUP(E$31,$B$1:$N$1,$B$2:$N$28)),IF(_xlpm.result&lt;0,"",_xlpm.result))</f>
        <v>20</v>
      </c>
      <c r="F76" s="1" t="str" cm="1">
        <f t="array" ref="F76">_xlfn.LET(_xlpm.result,10*_xlfn.XLOOKUP($A76,$A$2:$A$28,_xlfn.XLOOKUP(F$31,$B$1:$N$1,$B$2:$N$28)),IF(_xlpm.result&lt;0,"",_xlpm.result))</f>
        <v/>
      </c>
      <c r="G76" s="1" cm="1">
        <f t="array" ref="G76">_xlfn.LET(_xlpm.result,10*_xlfn.XLOOKUP($A76,$A$2:$A$28,_xlfn.XLOOKUP(G$31,$B$1:$N$1,$B$2:$N$28)),IF(_xlpm.result&lt;0,"",_xlpm.result))</f>
        <v>21</v>
      </c>
      <c r="H76" s="1" cm="1">
        <f t="array" ref="H76">_xlfn.LET(_xlpm.result,10*_xlfn.XLOOKUP($A76,$A$2:$A$28,_xlfn.XLOOKUP(H$31,$B$1:$N$1,$B$2:$N$28)),IF(_xlpm.result&lt;0,"",_xlpm.result))</f>
        <v>39.999999999999901</v>
      </c>
      <c r="I76" s="1" cm="1">
        <f t="array" ref="I76">_xlfn.LET(_xlpm.result,10*_xlfn.XLOOKUP($A76,$A$2:$A$28,_xlfn.XLOOKUP(I$31,$B$1:$N$1,$B$2:$N$28)),IF(_xlpm.result&lt;0,"",_xlpm.result))</f>
        <v>55</v>
      </c>
      <c r="J76" s="1" t="str" cm="1">
        <f t="array" ref="J76">_xlfn.LET(_xlpm.result,10*_xlfn.XLOOKUP($A76,$A$2:$A$28,_xlfn.XLOOKUP(J$31,$B$1:$N$1,$B$2:$N$28)),IF(_xlpm.result&lt;0,"",_xlpm.result))</f>
        <v/>
      </c>
      <c r="K76" s="1" cm="1">
        <f t="array" ref="K76">_xlfn.LET(_xlpm.result,10*_xlfn.XLOOKUP($A76,$A$2:$A$28,_xlfn.XLOOKUP(K$31,$B$1:$N$1,$B$2:$N$28)),IF(_xlpm.result&lt;0,"",_xlpm.result))</f>
        <v>55</v>
      </c>
      <c r="L76" s="1" t="str" cm="1">
        <f t="array" ref="L76">_xlfn.LET(_xlpm.result,10*_xlfn.XLOOKUP($A76,$A$2:$A$28,_xlfn.XLOOKUP(L$31,$B$1:$N$1,$B$2:$N$28)),IF(_xlpm.result&lt;0,"",_xlpm.result))</f>
        <v/>
      </c>
      <c r="M76" s="1" t="str" cm="1">
        <f t="array" ref="M76">_xlfn.LET(_xlpm.result,10*_xlfn.XLOOKUP($A76,$A$2:$A$28,_xlfn.XLOOKUP(M$31,$B$1:$N$1,$B$2:$N$28)),IF(_xlpm.result&lt;0,"",_xlpm.result))</f>
        <v/>
      </c>
      <c r="N76" s="1" t="str" cm="1">
        <f t="array" ref="N76">_xlfn.LET(_xlpm.result,10*_xlfn.XLOOKUP($A76,$A$2:$A$28,_xlfn.XLOOKUP(N$31,$B$1:$N$1,$B$2:$N$28)),IF(_xlpm.result&lt;0,"",_xlpm.result))</f>
        <v/>
      </c>
      <c r="O76" s="10">
        <f t="shared" si="2"/>
        <v>55</v>
      </c>
    </row>
    <row r="77" spans="1:16" x14ac:dyDescent="0.25">
      <c r="A77" t="s">
        <v>24</v>
      </c>
      <c r="B77" s="1" t="str" cm="1">
        <f t="array" ref="B77">_xlfn.LET(_xlpm.result,10*_xlfn.XLOOKUP($A77,$A$2:$A$28,_xlfn.XLOOKUP(B$31,$B$1:$N$1,$B$2:$N$28)),IF(_xlpm.result&lt;0,"",_xlpm.result))</f>
        <v/>
      </c>
      <c r="C77" s="1" cm="1">
        <f t="array" ref="C77">_xlfn.LET(_xlpm.result,10*_xlfn.XLOOKUP($A77,$A$2:$A$28,_xlfn.XLOOKUP(C$31,$B$1:$N$1,$B$2:$N$28)),IF(_xlpm.result&lt;0,"",_xlpm.result))</f>
        <v>50</v>
      </c>
      <c r="D77" s="1" cm="1">
        <f t="array" ref="D77">_xlfn.LET(_xlpm.result,10*_xlfn.XLOOKUP($A77,$A$2:$A$28,_xlfn.XLOOKUP(D$31,$B$1:$N$1,$B$2:$N$28)),IF(_xlpm.result&lt;0,"",_xlpm.result))</f>
        <v>2</v>
      </c>
      <c r="E77" s="1" cm="1">
        <f t="array" ref="E77">_xlfn.LET(_xlpm.result,10*_xlfn.XLOOKUP($A77,$A$2:$A$28,_xlfn.XLOOKUP(E$31,$B$1:$N$1,$B$2:$N$28)),IF(_xlpm.result&lt;0,"",_xlpm.result))</f>
        <v>56.999999999999901</v>
      </c>
      <c r="F77" s="1" cm="1">
        <f t="array" ref="F77">_xlfn.LET(_xlpm.result,10*_xlfn.XLOOKUP($A77,$A$2:$A$28,_xlfn.XLOOKUP(F$31,$B$1:$N$1,$B$2:$N$28)),IF(_xlpm.result&lt;0,"",_xlpm.result))</f>
        <v>56</v>
      </c>
      <c r="G77" s="1" t="str" cm="1">
        <f t="array" ref="G77">_xlfn.LET(_xlpm.result,10*_xlfn.XLOOKUP($A77,$A$2:$A$28,_xlfn.XLOOKUP(G$31,$B$1:$N$1,$B$2:$N$28)),IF(_xlpm.result&lt;0,"",_xlpm.result))</f>
        <v/>
      </c>
      <c r="H77" s="1" t="str" cm="1">
        <f t="array" ref="H77">_xlfn.LET(_xlpm.result,10*_xlfn.XLOOKUP($A77,$A$2:$A$28,_xlfn.XLOOKUP(H$31,$B$1:$N$1,$B$2:$N$28)),IF(_xlpm.result&lt;0,"",_xlpm.result))</f>
        <v/>
      </c>
      <c r="I77" s="1" t="str" cm="1">
        <f t="array" ref="I77">_xlfn.LET(_xlpm.result,10*_xlfn.XLOOKUP($A77,$A$2:$A$28,_xlfn.XLOOKUP(I$31,$B$1:$N$1,$B$2:$N$28)),IF(_xlpm.result&lt;0,"",_xlpm.result))</f>
        <v/>
      </c>
      <c r="J77" s="1" t="str" cm="1">
        <f t="array" ref="J77">_xlfn.LET(_xlpm.result,10*_xlfn.XLOOKUP($A77,$A$2:$A$28,_xlfn.XLOOKUP(J$31,$B$1:$N$1,$B$2:$N$28)),IF(_xlpm.result&lt;0,"",_xlpm.result))</f>
        <v/>
      </c>
      <c r="K77" s="1" cm="1">
        <f t="array" ref="K77">_xlfn.LET(_xlpm.result,10*_xlfn.XLOOKUP($A77,$A$2:$A$28,_xlfn.XLOOKUP(K$31,$B$1:$N$1,$B$2:$N$28)),IF(_xlpm.result&lt;0,"",_xlpm.result))</f>
        <v>23</v>
      </c>
      <c r="L77" s="1" t="str" cm="1">
        <f t="array" ref="L77">_xlfn.LET(_xlpm.result,10*_xlfn.XLOOKUP($A77,$A$2:$A$28,_xlfn.XLOOKUP(L$31,$B$1:$N$1,$B$2:$N$28)),IF(_xlpm.result&lt;0,"",_xlpm.result))</f>
        <v/>
      </c>
      <c r="M77" s="1" t="str" cm="1">
        <f t="array" ref="M77">_xlfn.LET(_xlpm.result,10*_xlfn.XLOOKUP($A77,$A$2:$A$28,_xlfn.XLOOKUP(M$31,$B$1:$N$1,$B$2:$N$28)),IF(_xlpm.result&lt;0,"",_xlpm.result))</f>
        <v/>
      </c>
      <c r="N77" s="1" t="str" cm="1">
        <f t="array" ref="N77">_xlfn.LET(_xlpm.result,10*_xlfn.XLOOKUP($A77,$A$2:$A$28,_xlfn.XLOOKUP(N$31,$B$1:$N$1,$B$2:$N$28)),IF(_xlpm.result&lt;0,"",_xlpm.result))</f>
        <v/>
      </c>
      <c r="O77" s="10">
        <f t="shared" si="2"/>
        <v>56.999999999999901</v>
      </c>
    </row>
    <row r="78" spans="1:16" s="16" customFormat="1" ht="18.75" x14ac:dyDescent="0.3">
      <c r="A78" t="s">
        <v>39</v>
      </c>
      <c r="B78" s="1" cm="1">
        <f t="array" ref="B78">_xlfn.LET(_xlpm.result,10*_xlfn.XLOOKUP($A78,$A$2:$A$28,_xlfn.XLOOKUP(B$31,$B$1:$N$1,$B$2:$N$28)),IF(_xlpm.result&lt;0,"",_xlpm.result))</f>
        <v>0</v>
      </c>
      <c r="C78" s="1" t="str" cm="1">
        <f t="array" ref="C78">_xlfn.LET(_xlpm.result,10*_xlfn.XLOOKUP($A78,$A$2:$A$28,_xlfn.XLOOKUP(C$31,$B$1:$N$1,$B$2:$N$28)),IF(_xlpm.result&lt;0,"",_xlpm.result))</f>
        <v/>
      </c>
      <c r="D78" s="1" t="str" cm="1">
        <f t="array" ref="D78">_xlfn.LET(_xlpm.result,10*_xlfn.XLOOKUP($A78,$A$2:$A$28,_xlfn.XLOOKUP(D$31,$B$1:$N$1,$B$2:$N$28)),IF(_xlpm.result&lt;0,"",_xlpm.result))</f>
        <v/>
      </c>
      <c r="E78" s="1" t="str" cm="1">
        <f t="array" ref="E78">_xlfn.LET(_xlpm.result,10*_xlfn.XLOOKUP($A78,$A$2:$A$28,_xlfn.XLOOKUP(E$31,$B$1:$N$1,$B$2:$N$28)),IF(_xlpm.result&lt;0,"",_xlpm.result))</f>
        <v/>
      </c>
      <c r="F78" s="1" cm="1">
        <f t="array" ref="F78">_xlfn.LET(_xlpm.result,10*_xlfn.XLOOKUP($A78,$A$2:$A$28,_xlfn.XLOOKUP(F$31,$B$1:$N$1,$B$2:$N$28)),IF(_xlpm.result&lt;0,"",_xlpm.result))</f>
        <v>6</v>
      </c>
      <c r="G78" s="1" cm="1">
        <f t="array" ref="G78">_xlfn.LET(_xlpm.result,10*_xlfn.XLOOKUP($A78,$A$2:$A$28,_xlfn.XLOOKUP(G$31,$B$1:$N$1,$B$2:$N$28)),IF(_xlpm.result&lt;0,"",_xlpm.result))</f>
        <v>3.9999999999999902</v>
      </c>
      <c r="H78" s="1" t="str" cm="1">
        <f t="array" ref="H78">_xlfn.LET(_xlpm.result,10*_xlfn.XLOOKUP($A78,$A$2:$A$28,_xlfn.XLOOKUP(H$31,$B$1:$N$1,$B$2:$N$28)),IF(_xlpm.result&lt;0,"",_xlpm.result))</f>
        <v/>
      </c>
      <c r="I78" s="1" t="str" cm="1">
        <f t="array" ref="I78">_xlfn.LET(_xlpm.result,10*_xlfn.XLOOKUP($A78,$A$2:$A$28,_xlfn.XLOOKUP(I$31,$B$1:$N$1,$B$2:$N$28)),IF(_xlpm.result&lt;0,"",_xlpm.result))</f>
        <v/>
      </c>
      <c r="J78" s="1" t="str" cm="1">
        <f t="array" ref="J78">_xlfn.LET(_xlpm.result,10*_xlfn.XLOOKUP($A78,$A$2:$A$28,_xlfn.XLOOKUP(J$31,$B$1:$N$1,$B$2:$N$28)),IF(_xlpm.result&lt;0,"",_xlpm.result))</f>
        <v/>
      </c>
      <c r="K78" s="1" t="str" cm="1">
        <f t="array" ref="K78">_xlfn.LET(_xlpm.result,10*_xlfn.XLOOKUP($A78,$A$2:$A$28,_xlfn.XLOOKUP(K$31,$B$1:$N$1,$B$2:$N$28)),IF(_xlpm.result&lt;0,"",_xlpm.result))</f>
        <v/>
      </c>
      <c r="L78" s="7" cm="1">
        <f t="array" ref="L78">_xlfn.LET(_xlpm.result,10*_xlfn.XLOOKUP($A78,$A$2:$A$28,_xlfn.XLOOKUP(L$31,$B$1:$N$1,$B$2:$N$28)),IF(_xlpm.result&lt;0,"",_xlpm.result))</f>
        <v>60</v>
      </c>
      <c r="M78" s="1" t="str" cm="1">
        <f t="array" ref="M78">_xlfn.LET(_xlpm.result,10*_xlfn.XLOOKUP($A78,$A$2:$A$28,_xlfn.XLOOKUP(M$31,$B$1:$N$1,$B$2:$N$28)),IF(_xlpm.result&lt;0,"",_xlpm.result))</f>
        <v/>
      </c>
      <c r="N78" s="1" t="str" cm="1">
        <f t="array" ref="N78">_xlfn.LET(_xlpm.result,10*_xlfn.XLOOKUP($A78,$A$2:$A$28,_xlfn.XLOOKUP(N$31,$B$1:$N$1,$B$2:$N$28)),IF(_xlpm.result&lt;0,"",_xlpm.result))</f>
        <v/>
      </c>
      <c r="O78" s="10">
        <f t="shared" si="2"/>
        <v>60</v>
      </c>
    </row>
    <row r="79" spans="1:16" ht="18.75" x14ac:dyDescent="0.3">
      <c r="A79" t="s">
        <v>45</v>
      </c>
      <c r="B79" s="1" cm="1">
        <f t="array" ref="B79">_xlfn.LET(_xlpm.result,10*_xlfn.XLOOKUP($A79,$A$2:$A$28,_xlfn.XLOOKUP(B$31,$B$1:$N$1,$B$2:$N$28)),IF(_xlpm.result&lt;0,"",_xlpm.result))</f>
        <v>39</v>
      </c>
      <c r="C79" s="1" cm="1">
        <f t="array" ref="C79">_xlfn.LET(_xlpm.result,10*_xlfn.XLOOKUP($A79,$A$2:$A$28,_xlfn.XLOOKUP(C$31,$B$1:$N$1,$B$2:$N$28)),IF(_xlpm.result&lt;0,"",_xlpm.result))</f>
        <v>73</v>
      </c>
      <c r="D79" s="1" t="str" cm="1">
        <f t="array" ref="D79">_xlfn.LET(_xlpm.result,10*_xlfn.XLOOKUP($A79,$A$2:$A$28,_xlfn.XLOOKUP(D$31,$B$1:$N$1,$B$2:$N$28)),IF(_xlpm.result&lt;0,"",_xlpm.result))</f>
        <v/>
      </c>
      <c r="E79" s="1" t="str" cm="1">
        <f t="array" ref="E79">_xlfn.LET(_xlpm.result,10*_xlfn.XLOOKUP($A79,$A$2:$A$28,_xlfn.XLOOKUP(E$31,$B$1:$N$1,$B$2:$N$28)),IF(_xlpm.result&lt;0,"",_xlpm.result))</f>
        <v/>
      </c>
      <c r="F79" s="1" t="str" cm="1">
        <f t="array" ref="F79">_xlfn.LET(_xlpm.result,10*_xlfn.XLOOKUP($A79,$A$2:$A$28,_xlfn.XLOOKUP(F$31,$B$1:$N$1,$B$2:$N$28)),IF(_xlpm.result&lt;0,"",_xlpm.result))</f>
        <v/>
      </c>
      <c r="G79" s="7" cm="1">
        <f t="array" ref="G79">_xlfn.LET(_xlpm.result,10*_xlfn.XLOOKUP($A79,$A$2:$A$28,_xlfn.XLOOKUP(G$31,$B$1:$N$1,$B$2:$N$28)),IF(_xlpm.result&lt;0,"",_xlpm.result))</f>
        <v>73</v>
      </c>
      <c r="H79" s="1" cm="1">
        <f t="array" ref="H79">_xlfn.LET(_xlpm.result,10*_xlfn.XLOOKUP($A79,$A$2:$A$28,_xlfn.XLOOKUP(H$31,$B$1:$N$1,$B$2:$N$28)),IF(_xlpm.result&lt;0,"",_xlpm.result))</f>
        <v>15.999999999999901</v>
      </c>
      <c r="I79" s="1" t="str" cm="1">
        <f t="array" ref="I79">_xlfn.LET(_xlpm.result,10*_xlfn.XLOOKUP($A79,$A$2:$A$28,_xlfn.XLOOKUP(I$31,$B$1:$N$1,$B$2:$N$28)),IF(_xlpm.result&lt;0,"",_xlpm.result))</f>
        <v/>
      </c>
      <c r="J79" s="1" cm="1">
        <f t="array" ref="J79">_xlfn.LET(_xlpm.result,10*_xlfn.XLOOKUP($A79,$A$2:$A$28,_xlfn.XLOOKUP(J$31,$B$1:$N$1,$B$2:$N$28)),IF(_xlpm.result&lt;0,"",_xlpm.result))</f>
        <v>18</v>
      </c>
      <c r="K79" s="1" cm="1">
        <f t="array" ref="K79">_xlfn.LET(_xlpm.result,10*_xlfn.XLOOKUP($A79,$A$2:$A$28,_xlfn.XLOOKUP(K$31,$B$1:$N$1,$B$2:$N$28)),IF(_xlpm.result&lt;0,"",_xlpm.result))</f>
        <v>38</v>
      </c>
      <c r="L79" s="1" t="str" cm="1">
        <f t="array" ref="L79">_xlfn.LET(_xlpm.result,10*_xlfn.XLOOKUP($A79,$A$2:$A$28,_xlfn.XLOOKUP(L$31,$B$1:$N$1,$B$2:$N$28)),IF(_xlpm.result&lt;0,"",_xlpm.result))</f>
        <v/>
      </c>
      <c r="M79" s="1" cm="1">
        <f t="array" ref="M79">_xlfn.LET(_xlpm.result,10*_xlfn.XLOOKUP($A79,$A$2:$A$28,_xlfn.XLOOKUP(M$31,$B$1:$N$1,$B$2:$N$28)),IF(_xlpm.result&lt;0,"",_xlpm.result))</f>
        <v>39</v>
      </c>
      <c r="N79" s="1" cm="1">
        <f t="array" ref="N79">_xlfn.LET(_xlpm.result,10*_xlfn.XLOOKUP($A79,$A$2:$A$28,_xlfn.XLOOKUP(N$31,$B$1:$N$1,$B$2:$N$28)),IF(_xlpm.result&lt;0,"",_xlpm.result))</f>
        <v>18</v>
      </c>
      <c r="O79" s="10">
        <f t="shared" si="2"/>
        <v>73</v>
      </c>
    </row>
    <row r="80" spans="1:16" s="16" customFormat="1" ht="18.75" x14ac:dyDescent="0.3">
      <c r="A80" s="16" t="s">
        <v>48</v>
      </c>
      <c r="B80" s="17" t="str" cm="1">
        <f t="array" ref="B80">_xlfn.LET(_xlpm.result,10*_xlfn.XLOOKUP($A80,$A$2:$A$28,_xlfn.XLOOKUP(B$31,$B$1:$N$1,$B$2:$N$28)),IF(_xlpm.result&lt;0,"",_xlpm.result))</f>
        <v/>
      </c>
      <c r="C80" s="17" t="str" cm="1">
        <f t="array" ref="C80">_xlfn.LET(_xlpm.result,10*_xlfn.XLOOKUP($A80,$A$2:$A$28,_xlfn.XLOOKUP(C$31,$B$1:$N$1,$B$2:$N$28)),IF(_xlpm.result&lt;0,"",_xlpm.result))</f>
        <v/>
      </c>
      <c r="D80" s="17" cm="1">
        <f t="array" ref="D80">_xlfn.LET(_xlpm.result,10*_xlfn.XLOOKUP($A80,$A$2:$A$28,_xlfn.XLOOKUP(D$31,$B$1:$N$1,$B$2:$N$28)),IF(_xlpm.result&lt;0,"",_xlpm.result))</f>
        <v>78</v>
      </c>
      <c r="E80" s="17" cm="1">
        <f t="array" ref="E80">_xlfn.LET(_xlpm.result,10*_xlfn.XLOOKUP($A80,$A$2:$A$28,_xlfn.XLOOKUP(E$31,$B$1:$N$1,$B$2:$N$28)),IF(_xlpm.result&lt;0,"",_xlpm.result))</f>
        <v>0</v>
      </c>
      <c r="F80" s="17" cm="1">
        <f t="array" ref="F80">_xlfn.LET(_xlpm.result,10*_xlfn.XLOOKUP($A80,$A$2:$A$28,_xlfn.XLOOKUP(F$31,$B$1:$N$1,$B$2:$N$28)),IF(_xlpm.result&lt;0,"",_xlpm.result))</f>
        <v>15.999999999999901</v>
      </c>
      <c r="G80" s="17" t="str" cm="1">
        <f t="array" ref="G80">_xlfn.LET(_xlpm.result,10*_xlfn.XLOOKUP($A80,$A$2:$A$28,_xlfn.XLOOKUP(G$31,$B$1:$N$1,$B$2:$N$28)),IF(_xlpm.result&lt;0,"",_xlpm.result))</f>
        <v/>
      </c>
      <c r="H80" s="17" t="str" cm="1">
        <f t="array" ref="H80">_xlfn.LET(_xlpm.result,10*_xlfn.XLOOKUP($A80,$A$2:$A$28,_xlfn.XLOOKUP(H$31,$B$1:$N$1,$B$2:$N$28)),IF(_xlpm.result&lt;0,"",_xlpm.result))</f>
        <v/>
      </c>
      <c r="I80" s="17" cm="1">
        <f t="array" ref="I80">_xlfn.LET(_xlpm.result,10*_xlfn.XLOOKUP($A80,$A$2:$A$28,_xlfn.XLOOKUP(I$31,$B$1:$N$1,$B$2:$N$28)),IF(_xlpm.result&lt;0,"",_xlpm.result))</f>
        <v>30.999999999999901</v>
      </c>
      <c r="J80" s="20" cm="1">
        <f t="array" ref="J80">_xlfn.LET(_xlpm.result,10*_xlfn.XLOOKUP($A80,$A$2:$A$28,_xlfn.XLOOKUP(J$31,$B$1:$N$1,$B$2:$N$28)),IF(_xlpm.result&lt;0,"",_xlpm.result))</f>
        <v>78</v>
      </c>
      <c r="K80" s="17" cm="1">
        <f t="array" ref="K80">_xlfn.LET(_xlpm.result,10*_xlfn.XLOOKUP($A80,$A$2:$A$28,_xlfn.XLOOKUP(K$31,$B$1:$N$1,$B$2:$N$28)),IF(_xlpm.result&lt;0,"",_xlpm.result))</f>
        <v>34</v>
      </c>
      <c r="L80" s="17" cm="1">
        <f t="array" ref="L80">_xlfn.LET(_xlpm.result,10*_xlfn.XLOOKUP($A80,$A$2:$A$28,_xlfn.XLOOKUP(L$31,$B$1:$N$1,$B$2:$N$28)),IF(_xlpm.result&lt;0,"",_xlpm.result))</f>
        <v>59</v>
      </c>
      <c r="M80" s="17" cm="1">
        <f t="array" ref="M80">_xlfn.LET(_xlpm.result,10*_xlfn.XLOOKUP($A80,$A$2:$A$28,_xlfn.XLOOKUP(M$31,$B$1:$N$1,$B$2:$N$28)),IF(_xlpm.result&lt;0,"",_xlpm.result))</f>
        <v>50</v>
      </c>
      <c r="N80" s="17" cm="1">
        <f t="array" ref="N80">_xlfn.LET(_xlpm.result,10*_xlfn.XLOOKUP($A80,$A$2:$A$28,_xlfn.XLOOKUP(N$31,$B$1:$N$1,$B$2:$N$28)),IF(_xlpm.result&lt;0,"",_xlpm.result))</f>
        <v>59</v>
      </c>
      <c r="O80" s="19">
        <f t="shared" si="2"/>
        <v>78</v>
      </c>
      <c r="P80" s="16">
        <v>13</v>
      </c>
    </row>
    <row r="81" spans="1:17" x14ac:dyDescent="0.25">
      <c r="A81" t="s">
        <v>40</v>
      </c>
      <c r="B81" s="1" cm="1">
        <f t="array" ref="B81">_xlfn.LET(_xlpm.result,10*_xlfn.XLOOKUP($A81,$A$2:$A$28,_xlfn.XLOOKUP(B$31,$B$1:$N$1,$B$2:$N$28)),IF(_xlpm.result&lt;0,"",_xlpm.result))</f>
        <v>62</v>
      </c>
      <c r="C81" s="1" cm="1">
        <f t="array" ref="C81">_xlfn.LET(_xlpm.result,10*_xlfn.XLOOKUP($A81,$A$2:$A$28,_xlfn.XLOOKUP(C$31,$B$1:$N$1,$B$2:$N$28)),IF(_xlpm.result&lt;0,"",_xlpm.result))</f>
        <v>78.999999999999901</v>
      </c>
      <c r="D81" s="1" cm="1">
        <f t="array" ref="D81">_xlfn.LET(_xlpm.result,10*_xlfn.XLOOKUP($A81,$A$2:$A$28,_xlfn.XLOOKUP(D$31,$B$1:$N$1,$B$2:$N$28)),IF(_xlpm.result&lt;0,"",_xlpm.result))</f>
        <v>35</v>
      </c>
      <c r="E81" s="1" cm="1">
        <f t="array" ref="E81">_xlfn.LET(_xlpm.result,10*_xlfn.XLOOKUP($A81,$A$2:$A$28,_xlfn.XLOOKUP(E$31,$B$1:$N$1,$B$2:$N$28)),IF(_xlpm.result&lt;0,"",_xlpm.result))</f>
        <v>18</v>
      </c>
      <c r="F81" s="1" t="str" cm="1">
        <f t="array" ref="F81">_xlfn.LET(_xlpm.result,10*_xlfn.XLOOKUP($A81,$A$2:$A$28,_xlfn.XLOOKUP(F$31,$B$1:$N$1,$B$2:$N$28)),IF(_xlpm.result&lt;0,"",_xlpm.result))</f>
        <v/>
      </c>
      <c r="G81" s="1" cm="1">
        <f t="array" ref="G81">_xlfn.LET(_xlpm.result,10*_xlfn.XLOOKUP($A81,$A$2:$A$28,_xlfn.XLOOKUP(G$31,$B$1:$N$1,$B$2:$N$28)),IF(_xlpm.result&lt;0,"",_xlpm.result))</f>
        <v>53.999999999999901</v>
      </c>
      <c r="H81" s="1" cm="1">
        <f t="array" ref="H81">_xlfn.LET(_xlpm.result,10*_xlfn.XLOOKUP($A81,$A$2:$A$28,_xlfn.XLOOKUP(H$31,$B$1:$N$1,$B$2:$N$28)),IF(_xlpm.result&lt;0,"",_xlpm.result))</f>
        <v>68.999999999999901</v>
      </c>
      <c r="I81" s="1" cm="1">
        <f t="array" ref="I81">_xlfn.LET(_xlpm.result,10*_xlfn.XLOOKUP($A81,$A$2:$A$28,_xlfn.XLOOKUP(I$31,$B$1:$N$1,$B$2:$N$28)),IF(_xlpm.result&lt;0,"",_xlpm.result))</f>
        <v>68</v>
      </c>
      <c r="J81" s="1" cm="1">
        <f t="array" ref="J81">_xlfn.LET(_xlpm.result,10*_xlfn.XLOOKUP($A81,$A$2:$A$28,_xlfn.XLOOKUP(J$31,$B$1:$N$1,$B$2:$N$28)),IF(_xlpm.result&lt;0,"",_xlpm.result))</f>
        <v>0</v>
      </c>
      <c r="K81" s="1" t="str" cm="1">
        <f t="array" ref="K81">_xlfn.LET(_xlpm.result,10*_xlfn.XLOOKUP($A81,$A$2:$A$28,_xlfn.XLOOKUP(K$31,$B$1:$N$1,$B$2:$N$28)),IF(_xlpm.result&lt;0,"",_xlpm.result))</f>
        <v/>
      </c>
      <c r="L81" s="1" cm="1">
        <f t="array" ref="L81">_xlfn.LET(_xlpm.result,10*_xlfn.XLOOKUP($A81,$A$2:$A$28,_xlfn.XLOOKUP(L$31,$B$1:$N$1,$B$2:$N$28)),IF(_xlpm.result&lt;0,"",_xlpm.result))</f>
        <v>14</v>
      </c>
      <c r="M81" s="1" cm="1">
        <f t="array" ref="M81">_xlfn.LET(_xlpm.result,10*_xlfn.XLOOKUP($A81,$A$2:$A$28,_xlfn.XLOOKUP(M$31,$B$1:$N$1,$B$2:$N$28)),IF(_xlpm.result&lt;0,"",_xlpm.result))</f>
        <v>53.999999999999901</v>
      </c>
      <c r="N81" s="1" cm="1">
        <f t="array" ref="N81">_xlfn.LET(_xlpm.result,10*_xlfn.XLOOKUP($A81,$A$2:$A$28,_xlfn.XLOOKUP(N$31,$B$1:$N$1,$B$2:$N$28)),IF(_xlpm.result&lt;0,"",_xlpm.result))</f>
        <v>34</v>
      </c>
      <c r="O81" s="10">
        <f t="shared" si="2"/>
        <v>78.999999999999901</v>
      </c>
      <c r="P81">
        <v>12</v>
      </c>
    </row>
    <row r="82" spans="1:17" ht="18.75" x14ac:dyDescent="0.3">
      <c r="A82" t="s">
        <v>33</v>
      </c>
      <c r="B82" s="1" t="str" cm="1">
        <f t="array" ref="B82">_xlfn.LET(_xlpm.result,10*_xlfn.XLOOKUP($A82,$A$2:$A$28,_xlfn.XLOOKUP(B$31,$B$1:$N$1,$B$2:$N$28)),IF(_xlpm.result&lt;0,"",_xlpm.result))</f>
        <v/>
      </c>
      <c r="C82" s="1" t="str" cm="1">
        <f t="array" ref="C82">_xlfn.LET(_xlpm.result,10*_xlfn.XLOOKUP($A82,$A$2:$A$28,_xlfn.XLOOKUP(C$31,$B$1:$N$1,$B$2:$N$28)),IF(_xlpm.result&lt;0,"",_xlpm.result))</f>
        <v/>
      </c>
      <c r="D82" s="1" cm="1">
        <f t="array" ref="D82">_xlfn.LET(_xlpm.result,10*_xlfn.XLOOKUP($A82,$A$2:$A$28,_xlfn.XLOOKUP(D$31,$B$1:$N$1,$B$2:$N$28)),IF(_xlpm.result&lt;0,"",_xlpm.result))</f>
        <v>0</v>
      </c>
      <c r="E82" s="1" cm="1">
        <f t="array" ref="E82">_xlfn.LET(_xlpm.result,10*_xlfn.XLOOKUP($A82,$A$2:$A$28,_xlfn.XLOOKUP(E$31,$B$1:$N$1,$B$2:$N$28)),IF(_xlpm.result&lt;0,"",_xlpm.result))</f>
        <v>39</v>
      </c>
      <c r="F82" s="1" t="str" cm="1">
        <f t="array" ref="F82">_xlfn.LET(_xlpm.result,10*_xlfn.XLOOKUP($A82,$A$2:$A$28,_xlfn.XLOOKUP(F$31,$B$1:$N$1,$B$2:$N$28)),IF(_xlpm.result&lt;0,"",_xlpm.result))</f>
        <v/>
      </c>
      <c r="G82" s="1" t="str" cm="1">
        <f t="array" ref="G82">_xlfn.LET(_xlpm.result,10*_xlfn.XLOOKUP($A82,$A$2:$A$28,_xlfn.XLOOKUP(G$31,$B$1:$N$1,$B$2:$N$28)),IF(_xlpm.result&lt;0,"",_xlpm.result))</f>
        <v/>
      </c>
      <c r="H82" s="1" cm="1">
        <f t="array" ref="H82">_xlfn.LET(_xlpm.result,10*_xlfn.XLOOKUP($A82,$A$2:$A$28,_xlfn.XLOOKUP(H$31,$B$1:$N$1,$B$2:$N$28)),IF(_xlpm.result&lt;0,"",_xlpm.result))</f>
        <v>15.999999999999901</v>
      </c>
      <c r="I82" s="7" cm="1">
        <f t="array" ref="I82">_xlfn.LET(_xlpm.result,10*_xlfn.XLOOKUP($A82,$A$2:$A$28,_xlfn.XLOOKUP(I$31,$B$1:$N$1,$B$2:$N$28)),IF(_xlpm.result&lt;0,"",_xlpm.result))</f>
        <v>80</v>
      </c>
      <c r="J82" s="1" t="str" cm="1">
        <f t="array" ref="J82">_xlfn.LET(_xlpm.result,10*_xlfn.XLOOKUP($A82,$A$2:$A$28,_xlfn.XLOOKUP(J$31,$B$1:$N$1,$B$2:$N$28)),IF(_xlpm.result&lt;0,"",_xlpm.result))</f>
        <v/>
      </c>
      <c r="K82" s="1" cm="1">
        <f t="array" ref="K82">_xlfn.LET(_xlpm.result,10*_xlfn.XLOOKUP($A82,$A$2:$A$28,_xlfn.XLOOKUP(K$31,$B$1:$N$1,$B$2:$N$28)),IF(_xlpm.result&lt;0,"",_xlpm.result))</f>
        <v>55</v>
      </c>
      <c r="L82" s="1" t="str" cm="1">
        <f t="array" ref="L82">_xlfn.LET(_xlpm.result,10*_xlfn.XLOOKUP($A82,$A$2:$A$28,_xlfn.XLOOKUP(L$31,$B$1:$N$1,$B$2:$N$28)),IF(_xlpm.result&lt;0,"",_xlpm.result))</f>
        <v/>
      </c>
      <c r="M82" s="1" t="str" cm="1">
        <f t="array" ref="M82">_xlfn.LET(_xlpm.result,10*_xlfn.XLOOKUP($A82,$A$2:$A$28,_xlfn.XLOOKUP(M$31,$B$1:$N$1,$B$2:$N$28)),IF(_xlpm.result&lt;0,"",_xlpm.result))</f>
        <v/>
      </c>
      <c r="N82" s="1" cm="1">
        <f t="array" ref="N82">_xlfn.LET(_xlpm.result,10*_xlfn.XLOOKUP($A82,$A$2:$A$28,_xlfn.XLOOKUP(N$31,$B$1:$N$1,$B$2:$N$28)),IF(_xlpm.result&lt;0,"",_xlpm.result))</f>
        <v>80</v>
      </c>
      <c r="O82" s="10">
        <f t="shared" si="2"/>
        <v>80</v>
      </c>
      <c r="P82">
        <v>11</v>
      </c>
    </row>
    <row r="83" spans="1:17" s="16" customFormat="1" ht="18.75" x14ac:dyDescent="0.3">
      <c r="A83" t="s">
        <v>27</v>
      </c>
      <c r="B83" s="1" cm="1">
        <f t="array" ref="B83">_xlfn.LET(_xlpm.result,10*_xlfn.XLOOKUP($A83,$A$2:$A$28,_xlfn.XLOOKUP(B$31,$B$1:$N$1,$B$2:$N$28)),IF(_xlpm.result&lt;0,"",_xlpm.result))</f>
        <v>58</v>
      </c>
      <c r="C83" s="1" t="str" cm="1">
        <f t="array" ref="C83">_xlfn.LET(_xlpm.result,10*_xlfn.XLOOKUP($A83,$A$2:$A$28,_xlfn.XLOOKUP(C$31,$B$1:$N$1,$B$2:$N$28)),IF(_xlpm.result&lt;0,"",_xlpm.result))</f>
        <v/>
      </c>
      <c r="D83" s="1" t="str" cm="1">
        <f t="array" ref="D83">_xlfn.LET(_xlpm.result,10*_xlfn.XLOOKUP($A83,$A$2:$A$28,_xlfn.XLOOKUP(D$31,$B$1:$N$1,$B$2:$N$28)),IF(_xlpm.result&lt;0,"",_xlpm.result))</f>
        <v/>
      </c>
      <c r="E83" s="1" cm="1">
        <f t="array" ref="E83">_xlfn.LET(_xlpm.result,10*_xlfn.XLOOKUP($A83,$A$2:$A$28,_xlfn.XLOOKUP(E$31,$B$1:$N$1,$B$2:$N$28)),IF(_xlpm.result&lt;0,"",_xlpm.result))</f>
        <v>30</v>
      </c>
      <c r="F83" s="1" cm="1">
        <f t="array" ref="F83">_xlfn.LET(_xlpm.result,10*_xlfn.XLOOKUP($A83,$A$2:$A$28,_xlfn.XLOOKUP(F$31,$B$1:$N$1,$B$2:$N$28)),IF(_xlpm.result&lt;0,"",_xlpm.result))</f>
        <v>0</v>
      </c>
      <c r="G83" s="1" cm="1">
        <f t="array" ref="G83">_xlfn.LET(_xlpm.result,10*_xlfn.XLOOKUP($A83,$A$2:$A$28,_xlfn.XLOOKUP(G$31,$B$1:$N$1,$B$2:$N$28)),IF(_xlpm.result&lt;0,"",_xlpm.result))</f>
        <v>53</v>
      </c>
      <c r="H83" s="1" t="str" cm="1">
        <f t="array" ref="H83">_xlfn.LET(_xlpm.result,10*_xlfn.XLOOKUP($A83,$A$2:$A$28,_xlfn.XLOOKUP(H$31,$B$1:$N$1,$B$2:$N$28)),IF(_xlpm.result&lt;0,"",_xlpm.result))</f>
        <v/>
      </c>
      <c r="I83" s="1" t="str" cm="1">
        <f t="array" ref="I83">_xlfn.LET(_xlpm.result,10*_xlfn.XLOOKUP($A83,$A$2:$A$28,_xlfn.XLOOKUP(I$31,$B$1:$N$1,$B$2:$N$28)),IF(_xlpm.result&lt;0,"",_xlpm.result))</f>
        <v/>
      </c>
      <c r="J83" s="1" t="str" cm="1">
        <f t="array" ref="J83">_xlfn.LET(_xlpm.result,10*_xlfn.XLOOKUP($A83,$A$2:$A$28,_xlfn.XLOOKUP(J$31,$B$1:$N$1,$B$2:$N$28)),IF(_xlpm.result&lt;0,"",_xlpm.result))</f>
        <v/>
      </c>
      <c r="K83" s="1" cm="1">
        <f t="array" ref="K83">_xlfn.LET(_xlpm.result,10*_xlfn.XLOOKUP($A83,$A$2:$A$28,_xlfn.XLOOKUP(K$31,$B$1:$N$1,$B$2:$N$28)),IF(_xlpm.result&lt;0,"",_xlpm.result))</f>
        <v>23</v>
      </c>
      <c r="L83" s="1" t="str" cm="1">
        <f t="array" ref="L83">_xlfn.LET(_xlpm.result,10*_xlfn.XLOOKUP($A83,$A$2:$A$28,_xlfn.XLOOKUP(L$31,$B$1:$N$1,$B$2:$N$28)),IF(_xlpm.result&lt;0,"",_xlpm.result))</f>
        <v/>
      </c>
      <c r="M83" s="1" t="str" cm="1">
        <f t="array" ref="M83">_xlfn.LET(_xlpm.result,10*_xlfn.XLOOKUP($A83,$A$2:$A$28,_xlfn.XLOOKUP(M$31,$B$1:$N$1,$B$2:$N$28)),IF(_xlpm.result&lt;0,"",_xlpm.result))</f>
        <v/>
      </c>
      <c r="N83" s="7" cm="1">
        <f t="array" ref="N83">_xlfn.LET(_xlpm.result,10*_xlfn.XLOOKUP($A83,$A$2:$A$28,_xlfn.XLOOKUP(N$31,$B$1:$N$1,$B$2:$N$28)),IF(_xlpm.result&lt;0,"",_xlpm.result))</f>
        <v>83</v>
      </c>
      <c r="O83" s="10">
        <f t="shared" si="2"/>
        <v>83</v>
      </c>
      <c r="P83" s="16">
        <v>10</v>
      </c>
    </row>
    <row r="84" spans="1:17" s="16" customFormat="1" ht="18.75" x14ac:dyDescent="0.3">
      <c r="A84" t="s">
        <v>47</v>
      </c>
      <c r="B84" s="1" cm="1">
        <f t="array" ref="B84">_xlfn.LET(_xlpm.result,10*_xlfn.XLOOKUP($A84,$A$2:$A$28,_xlfn.XLOOKUP(B$31,$B$1:$N$1,$B$2:$N$28)),IF(_xlpm.result&lt;0,"",_xlpm.result))</f>
        <v>15</v>
      </c>
      <c r="C84" s="1" t="str" cm="1">
        <f t="array" ref="C84">_xlfn.LET(_xlpm.result,10*_xlfn.XLOOKUP($A84,$A$2:$A$28,_xlfn.XLOOKUP(C$31,$B$1:$N$1,$B$2:$N$28)),IF(_xlpm.result&lt;0,"",_xlpm.result))</f>
        <v/>
      </c>
      <c r="D84" s="1" cm="1">
        <f t="array" ref="D84">_xlfn.LET(_xlpm.result,10*_xlfn.XLOOKUP($A84,$A$2:$A$28,_xlfn.XLOOKUP(D$31,$B$1:$N$1,$B$2:$N$28)),IF(_xlpm.result&lt;0,"",_xlpm.result))</f>
        <v>0</v>
      </c>
      <c r="E84" s="1" t="str" cm="1">
        <f t="array" ref="E84">_xlfn.LET(_xlpm.result,10*_xlfn.XLOOKUP($A84,$A$2:$A$28,_xlfn.XLOOKUP(E$31,$B$1:$N$1,$B$2:$N$28)),IF(_xlpm.result&lt;0,"",_xlpm.result))</f>
        <v/>
      </c>
      <c r="F84" s="1" cm="1">
        <f t="array" ref="F84">_xlfn.LET(_xlpm.result,10*_xlfn.XLOOKUP($A84,$A$2:$A$28,_xlfn.XLOOKUP(F$31,$B$1:$N$1,$B$2:$N$28)),IF(_xlpm.result&lt;0,"",_xlpm.result))</f>
        <v>30.999999999999901</v>
      </c>
      <c r="G84" s="1" t="str" cm="1">
        <f t="array" ref="G84">_xlfn.LET(_xlpm.result,10*_xlfn.XLOOKUP($A84,$A$2:$A$28,_xlfn.XLOOKUP(G$31,$B$1:$N$1,$B$2:$N$28)),IF(_xlpm.result&lt;0,"",_xlpm.result))</f>
        <v/>
      </c>
      <c r="H84" s="7" cm="1">
        <f t="array" ref="H84">_xlfn.LET(_xlpm.result,10*_xlfn.XLOOKUP($A84,$A$2:$A$28,_xlfn.XLOOKUP(H$31,$B$1:$N$1,$B$2:$N$28)),IF(_xlpm.result&lt;0,"",_xlpm.result))</f>
        <v>95</v>
      </c>
      <c r="I84" s="1" cm="1">
        <f t="array" ref="I84">_xlfn.LET(_xlpm.result,10*_xlfn.XLOOKUP($A84,$A$2:$A$28,_xlfn.XLOOKUP(I$31,$B$1:$N$1,$B$2:$N$28)),IF(_xlpm.result&lt;0,"",_xlpm.result))</f>
        <v>24</v>
      </c>
      <c r="J84" s="1" cm="1">
        <f t="array" ref="J84">_xlfn.LET(_xlpm.result,10*_xlfn.XLOOKUP($A84,$A$2:$A$28,_xlfn.XLOOKUP(J$31,$B$1:$N$1,$B$2:$N$28)),IF(_xlpm.result&lt;0,"",_xlpm.result))</f>
        <v>34</v>
      </c>
      <c r="K84" s="1" t="str" cm="1">
        <f t="array" ref="K84">_xlfn.LET(_xlpm.result,10*_xlfn.XLOOKUP($A84,$A$2:$A$28,_xlfn.XLOOKUP(K$31,$B$1:$N$1,$B$2:$N$28)),IF(_xlpm.result&lt;0,"",_xlpm.result))</f>
        <v/>
      </c>
      <c r="L84" s="1" t="str" cm="1">
        <f t="array" ref="L84">_xlfn.LET(_xlpm.result,10*_xlfn.XLOOKUP($A84,$A$2:$A$28,_xlfn.XLOOKUP(L$31,$B$1:$N$1,$B$2:$N$28)),IF(_xlpm.result&lt;0,"",_xlpm.result))</f>
        <v/>
      </c>
      <c r="M84" s="1" cm="1">
        <f t="array" ref="M84">_xlfn.LET(_xlpm.result,10*_xlfn.XLOOKUP($A84,$A$2:$A$28,_xlfn.XLOOKUP(M$31,$B$1:$N$1,$B$2:$N$28)),IF(_xlpm.result&lt;0,"",_xlpm.result))</f>
        <v>59</v>
      </c>
      <c r="N84" s="1" t="str" cm="1">
        <f t="array" ref="N84">_xlfn.LET(_xlpm.result,10*_xlfn.XLOOKUP($A84,$A$2:$A$28,_xlfn.XLOOKUP(N$31,$B$1:$N$1,$B$2:$N$28)),IF(_xlpm.result&lt;0,"",_xlpm.result))</f>
        <v/>
      </c>
      <c r="O84" s="10">
        <f t="shared" si="2"/>
        <v>95</v>
      </c>
      <c r="P84" s="16">
        <v>9</v>
      </c>
    </row>
    <row r="85" spans="1:17" ht="18.75" x14ac:dyDescent="0.3">
      <c r="A85" t="s">
        <v>36</v>
      </c>
      <c r="B85" s="1" cm="1">
        <f t="array" ref="B85">_xlfn.LET(_xlpm.result,10*_xlfn.XLOOKUP($A85,$A$2:$A$28,_xlfn.XLOOKUP(B$31,$B$1:$N$1,$B$2:$N$28)),IF(_xlpm.result&lt;0,"",_xlpm.result))</f>
        <v>52</v>
      </c>
      <c r="C85" s="1" t="str" cm="1">
        <f t="array" ref="C85">_xlfn.LET(_xlpm.result,10*_xlfn.XLOOKUP($A85,$A$2:$A$28,_xlfn.XLOOKUP(C$31,$B$1:$N$1,$B$2:$N$28)),IF(_xlpm.result&lt;0,"",_xlpm.result))</f>
        <v/>
      </c>
      <c r="D85" s="1" cm="1">
        <f t="array" ref="D85">_xlfn.LET(_xlpm.result,10*_xlfn.XLOOKUP($A85,$A$2:$A$28,_xlfn.XLOOKUP(D$31,$B$1:$N$1,$B$2:$N$28)),IF(_xlpm.result&lt;0,"",_xlpm.result))</f>
        <v>26</v>
      </c>
      <c r="E85" s="7" cm="1">
        <f t="array" ref="E85">_xlfn.LET(_xlpm.result,10*_xlfn.XLOOKUP($A85,$A$2:$A$28,_xlfn.XLOOKUP(E$31,$B$1:$N$1,$B$2:$N$28)),IF(_xlpm.result&lt;0,"",_xlpm.result))</f>
        <v>97</v>
      </c>
      <c r="F85" s="1" cm="1">
        <f t="array" ref="F85">_xlfn.LET(_xlpm.result,10*_xlfn.XLOOKUP($A85,$A$2:$A$28,_xlfn.XLOOKUP(F$31,$B$1:$N$1,$B$2:$N$28)),IF(_xlpm.result&lt;0,"",_xlpm.result))</f>
        <v>14</v>
      </c>
      <c r="G85" s="1" cm="1">
        <f t="array" ref="G85">_xlfn.LET(_xlpm.result,10*_xlfn.XLOOKUP($A85,$A$2:$A$28,_xlfn.XLOOKUP(G$31,$B$1:$N$1,$B$2:$N$28)),IF(_xlpm.result&lt;0,"",_xlpm.result))</f>
        <v>17</v>
      </c>
      <c r="H85" s="1" cm="1">
        <f t="array" ref="H85">_xlfn.LET(_xlpm.result,10*_xlfn.XLOOKUP($A85,$A$2:$A$28,_xlfn.XLOOKUP(H$31,$B$1:$N$1,$B$2:$N$28)),IF(_xlpm.result&lt;0,"",_xlpm.result))</f>
        <v>0</v>
      </c>
      <c r="I85" s="1" cm="1">
        <f t="array" ref="I85">_xlfn.LET(_xlpm.result,10*_xlfn.XLOOKUP($A85,$A$2:$A$28,_xlfn.XLOOKUP(I$31,$B$1:$N$1,$B$2:$N$28)),IF(_xlpm.result&lt;0,"",_xlpm.result))</f>
        <v>56</v>
      </c>
      <c r="J85" s="1" t="str" cm="1">
        <f t="array" ref="J85">_xlfn.LET(_xlpm.result,10*_xlfn.XLOOKUP($A85,$A$2:$A$28,_xlfn.XLOOKUP(J$31,$B$1:$N$1,$B$2:$N$28)),IF(_xlpm.result&lt;0,"",_xlpm.result))</f>
        <v/>
      </c>
      <c r="K85" s="1" t="str" cm="1">
        <f t="array" ref="K85">_xlfn.LET(_xlpm.result,10*_xlfn.XLOOKUP($A85,$A$2:$A$28,_xlfn.XLOOKUP(K$31,$B$1:$N$1,$B$2:$N$28)),IF(_xlpm.result&lt;0,"",_xlpm.result))</f>
        <v/>
      </c>
      <c r="L85" s="1" cm="1">
        <f t="array" ref="L85">_xlfn.LET(_xlpm.result,10*_xlfn.XLOOKUP($A85,$A$2:$A$28,_xlfn.XLOOKUP(L$31,$B$1:$N$1,$B$2:$N$28)),IF(_xlpm.result&lt;0,"",_xlpm.result))</f>
        <v>3</v>
      </c>
      <c r="M85" s="1" t="str" cm="1">
        <f t="array" ref="M85">_xlfn.LET(_xlpm.result,10*_xlfn.XLOOKUP($A85,$A$2:$A$28,_xlfn.XLOOKUP(M$31,$B$1:$N$1,$B$2:$N$28)),IF(_xlpm.result&lt;0,"",_xlpm.result))</f>
        <v/>
      </c>
      <c r="N85" s="1" t="str" cm="1">
        <f t="array" ref="N85">_xlfn.LET(_xlpm.result,10*_xlfn.XLOOKUP($A85,$A$2:$A$28,_xlfn.XLOOKUP(N$31,$B$1:$N$1,$B$2:$N$28)),IF(_xlpm.result&lt;0,"",_xlpm.result))</f>
        <v/>
      </c>
      <c r="O85" s="10">
        <f t="shared" si="2"/>
        <v>97</v>
      </c>
      <c r="P85">
        <v>8</v>
      </c>
    </row>
    <row r="86" spans="1:17" ht="18.75" x14ac:dyDescent="0.3">
      <c r="A86" t="s">
        <v>46</v>
      </c>
      <c r="B86" s="1" cm="1">
        <f t="array" ref="B86">_xlfn.LET(_xlpm.result,10*_xlfn.XLOOKUP($A86,$A$2:$A$28,_xlfn.XLOOKUP(B$31,$B$1:$N$1,$B$2:$N$28)),IF(_xlpm.result&lt;0,"",_xlpm.result))</f>
        <v>8.9999999999999893</v>
      </c>
      <c r="C86" s="1" cm="1">
        <f t="array" ref="C86">_xlfn.LET(_xlpm.result,10*_xlfn.XLOOKUP($A86,$A$2:$A$28,_xlfn.XLOOKUP(C$31,$B$1:$N$1,$B$2:$N$28)),IF(_xlpm.result&lt;0,"",_xlpm.result))</f>
        <v>43</v>
      </c>
      <c r="D86" s="1" cm="1">
        <f t="array" ref="D86">_xlfn.LET(_xlpm.result,10*_xlfn.XLOOKUP($A86,$A$2:$A$28,_xlfn.XLOOKUP(D$31,$B$1:$N$1,$B$2:$N$28)),IF(_xlpm.result&lt;0,"",_xlpm.result))</f>
        <v>3.9999999999999902</v>
      </c>
      <c r="E86" s="1" cm="1">
        <f t="array" ref="E86">_xlfn.LET(_xlpm.result,10*_xlfn.XLOOKUP($A86,$A$2:$A$28,_xlfn.XLOOKUP(E$31,$B$1:$N$1,$B$2:$N$28)),IF(_xlpm.result&lt;0,"",_xlpm.result))</f>
        <v>93</v>
      </c>
      <c r="F86" s="1" t="str" cm="1">
        <f t="array" ref="F86">_xlfn.LET(_xlpm.result,10*_xlfn.XLOOKUP($A86,$A$2:$A$28,_xlfn.XLOOKUP(F$31,$B$1:$N$1,$B$2:$N$28)),IF(_xlpm.result&lt;0,"",_xlpm.result))</f>
        <v/>
      </c>
      <c r="G86" s="1" cm="1">
        <f t="array" ref="G86">_xlfn.LET(_xlpm.result,10*_xlfn.XLOOKUP($A86,$A$2:$A$28,_xlfn.XLOOKUP(G$31,$B$1:$N$1,$B$2:$N$28)),IF(_xlpm.result&lt;0,"",_xlpm.result))</f>
        <v>40</v>
      </c>
      <c r="H86" s="1" cm="1">
        <f t="array" ref="H86">_xlfn.LET(_xlpm.result,10*_xlfn.XLOOKUP($A86,$A$2:$A$28,_xlfn.XLOOKUP(H$31,$B$1:$N$1,$B$2:$N$28)),IF(_xlpm.result&lt;0,"",_xlpm.result))</f>
        <v>68</v>
      </c>
      <c r="I86" s="1" cm="1">
        <f t="array" ref="I86">_xlfn.LET(_xlpm.result,10*_xlfn.XLOOKUP($A86,$A$2:$A$28,_xlfn.XLOOKUP(I$31,$B$1:$N$1,$B$2:$N$28)),IF(_xlpm.result&lt;0,"",_xlpm.result))</f>
        <v>60</v>
      </c>
      <c r="J86" s="1" cm="1">
        <f t="array" ref="J86">_xlfn.LET(_xlpm.result,10*_xlfn.XLOOKUP($A86,$A$2:$A$28,_xlfn.XLOOKUP(J$31,$B$1:$N$1,$B$2:$N$28)),IF(_xlpm.result&lt;0,"",_xlpm.result))</f>
        <v>0</v>
      </c>
      <c r="K86" s="7" cm="1">
        <f t="array" ref="K86">_xlfn.LET(_xlpm.result,10*_xlfn.XLOOKUP($A86,$A$2:$A$28,_xlfn.XLOOKUP(K$31,$B$1:$N$1,$B$2:$N$28)),IF(_xlpm.result&lt;0,"",_xlpm.result))</f>
        <v>103.99999999999901</v>
      </c>
      <c r="L86" s="1" t="str" cm="1">
        <f t="array" ref="L86">_xlfn.LET(_xlpm.result,10*_xlfn.XLOOKUP($A86,$A$2:$A$28,_xlfn.XLOOKUP(L$31,$B$1:$N$1,$B$2:$N$28)),IF(_xlpm.result&lt;0,"",_xlpm.result))</f>
        <v/>
      </c>
      <c r="M86" s="1" cm="1">
        <f t="array" ref="M86">_xlfn.LET(_xlpm.result,10*_xlfn.XLOOKUP($A86,$A$2:$A$28,_xlfn.XLOOKUP(M$31,$B$1:$N$1,$B$2:$N$28)),IF(_xlpm.result&lt;0,"",_xlpm.result))</f>
        <v>36.999999999999901</v>
      </c>
      <c r="N86" s="1" cm="1">
        <f t="array" ref="N86">_xlfn.LET(_xlpm.result,10*_xlfn.XLOOKUP($A86,$A$2:$A$28,_xlfn.XLOOKUP(N$31,$B$1:$N$1,$B$2:$N$28)),IF(_xlpm.result&lt;0,"",_xlpm.result))</f>
        <v>8.9999999999999893</v>
      </c>
      <c r="O86" s="10">
        <f t="shared" si="2"/>
        <v>103.99999999999901</v>
      </c>
      <c r="P86">
        <v>7</v>
      </c>
    </row>
    <row r="87" spans="1:17" x14ac:dyDescent="0.25">
      <c r="A87" t="s">
        <v>50</v>
      </c>
      <c r="B87" s="1" cm="1">
        <f t="array" ref="B87">_xlfn.LET(_xlpm.result,10*_xlfn.XLOOKUP($A87,$A$2:$A$28,_xlfn.XLOOKUP(B$31,$B$1:$N$1,$B$2:$N$28)),IF(_xlpm.result&lt;0,"",_xlpm.result))</f>
        <v>49</v>
      </c>
      <c r="C87" s="1" cm="1">
        <f t="array" ref="C87">_xlfn.LET(_xlpm.result,10*_xlfn.XLOOKUP($A87,$A$2:$A$28,_xlfn.XLOOKUP(C$31,$B$1:$N$1,$B$2:$N$28)),IF(_xlpm.result&lt;0,"",_xlpm.result))</f>
        <v>22</v>
      </c>
      <c r="D87" s="1" t="str" cm="1">
        <f t="array" ref="D87">_xlfn.LET(_xlpm.result,10*_xlfn.XLOOKUP($A87,$A$2:$A$28,_xlfn.XLOOKUP(D$31,$B$1:$N$1,$B$2:$N$28)),IF(_xlpm.result&lt;0,"",_xlpm.result))</f>
        <v/>
      </c>
      <c r="E87" s="1" cm="1">
        <f t="array" ref="E87">_xlfn.LET(_xlpm.result,10*_xlfn.XLOOKUP($A87,$A$2:$A$28,_xlfn.XLOOKUP(E$31,$B$1:$N$1,$B$2:$N$28)),IF(_xlpm.result&lt;0,"",_xlpm.result))</f>
        <v>21</v>
      </c>
      <c r="F87" s="1" t="str" cm="1">
        <f t="array" ref="F87">_xlfn.LET(_xlpm.result,10*_xlfn.XLOOKUP($A87,$A$2:$A$28,_xlfn.XLOOKUP(F$31,$B$1:$N$1,$B$2:$N$28)),IF(_xlpm.result&lt;0,"",_xlpm.result))</f>
        <v/>
      </c>
      <c r="G87" s="1" cm="1">
        <f t="array" ref="G87">_xlfn.LET(_xlpm.result,10*_xlfn.XLOOKUP($A87,$A$2:$A$28,_xlfn.XLOOKUP(G$31,$B$1:$N$1,$B$2:$N$28)),IF(_xlpm.result&lt;0,"",_xlpm.result))</f>
        <v>71</v>
      </c>
      <c r="H87" s="1" cm="1">
        <f t="array" ref="H87">_xlfn.LET(_xlpm.result,10*_xlfn.XLOOKUP($A87,$A$2:$A$28,_xlfn.XLOOKUP(H$31,$B$1:$N$1,$B$2:$N$28)),IF(_xlpm.result&lt;0,"",_xlpm.result))</f>
        <v>0</v>
      </c>
      <c r="I87" s="1" cm="1">
        <f t="array" ref="I87">_xlfn.LET(_xlpm.result,10*_xlfn.XLOOKUP($A87,$A$2:$A$28,_xlfn.XLOOKUP(I$31,$B$1:$N$1,$B$2:$N$28)),IF(_xlpm.result&lt;0,"",_xlpm.result))</f>
        <v>7</v>
      </c>
      <c r="J87" s="1" cm="1">
        <f t="array" ref="J87">_xlfn.LET(_xlpm.result,10*_xlfn.XLOOKUP($A87,$A$2:$A$28,_xlfn.XLOOKUP(J$31,$B$1:$N$1,$B$2:$N$28)),IF(_xlpm.result&lt;0,"",_xlpm.result))</f>
        <v>45</v>
      </c>
      <c r="K87" s="1" cm="1">
        <f t="array" ref="K87">_xlfn.LET(_xlpm.result,10*_xlfn.XLOOKUP($A87,$A$2:$A$28,_xlfn.XLOOKUP(K$31,$B$1:$N$1,$B$2:$N$28)),IF(_xlpm.result&lt;0,"",_xlpm.result))</f>
        <v>105</v>
      </c>
      <c r="L87" s="1" t="str" cm="1">
        <f t="array" ref="L87">_xlfn.LET(_xlpm.result,10*_xlfn.XLOOKUP($A87,$A$2:$A$28,_xlfn.XLOOKUP(L$31,$B$1:$N$1,$B$2:$N$28)),IF(_xlpm.result&lt;0,"",_xlpm.result))</f>
        <v/>
      </c>
      <c r="M87" s="1" cm="1">
        <f t="array" ref="M87">_xlfn.LET(_xlpm.result,10*_xlfn.XLOOKUP($A87,$A$2:$A$28,_xlfn.XLOOKUP(M$31,$B$1:$N$1,$B$2:$N$28)),IF(_xlpm.result&lt;0,"",_xlpm.result))</f>
        <v>22</v>
      </c>
      <c r="N87" s="1" t="str" cm="1">
        <f t="array" ref="N87">_xlfn.LET(_xlpm.result,10*_xlfn.XLOOKUP($A87,$A$2:$A$28,_xlfn.XLOOKUP(N$31,$B$1:$N$1,$B$2:$N$28)),IF(_xlpm.result&lt;0,"",_xlpm.result))</f>
        <v/>
      </c>
      <c r="O87" s="10">
        <f t="shared" si="2"/>
        <v>105</v>
      </c>
      <c r="P87">
        <v>6</v>
      </c>
    </row>
    <row r="88" spans="1:17" ht="18.75" x14ac:dyDescent="0.3">
      <c r="A88" t="s">
        <v>44</v>
      </c>
      <c r="B88" s="1" cm="1">
        <f t="array" ref="B88">_xlfn.LET(_xlpm.result,10*_xlfn.XLOOKUP($A88,$A$2:$A$28,_xlfn.XLOOKUP(B$31,$B$1:$N$1,$B$2:$N$28)),IF(_xlpm.result&lt;0,"",_xlpm.result))</f>
        <v>112</v>
      </c>
      <c r="C88" s="1" cm="1">
        <f t="array" ref="C88">_xlfn.LET(_xlpm.result,10*_xlfn.XLOOKUP($A88,$A$2:$A$28,_xlfn.XLOOKUP(C$31,$B$1:$N$1,$B$2:$N$28)),IF(_xlpm.result&lt;0,"",_xlpm.result))</f>
        <v>52</v>
      </c>
      <c r="D88" s="7" cm="1">
        <f t="array" ref="D88">_xlfn.LET(_xlpm.result,10*_xlfn.XLOOKUP($A88,$A$2:$A$28,_xlfn.XLOOKUP(D$31,$B$1:$N$1,$B$2:$N$28)),IF(_xlpm.result&lt;0,"",_xlpm.result))</f>
        <v>112</v>
      </c>
      <c r="E88" s="1" cm="1">
        <f t="array" ref="E88">_xlfn.LET(_xlpm.result,10*_xlfn.XLOOKUP($A88,$A$2:$A$28,_xlfn.XLOOKUP(E$31,$B$1:$N$1,$B$2:$N$28)),IF(_xlpm.result&lt;0,"",_xlpm.result))</f>
        <v>0</v>
      </c>
      <c r="F88" s="1" t="str" cm="1">
        <f t="array" ref="F88">_xlfn.LET(_xlpm.result,10*_xlfn.XLOOKUP($A88,$A$2:$A$28,_xlfn.XLOOKUP(F$31,$B$1:$N$1,$B$2:$N$28)),IF(_xlpm.result&lt;0,"",_xlpm.result))</f>
        <v/>
      </c>
      <c r="G88" s="1" t="str" cm="1">
        <f t="array" ref="G88">_xlfn.LET(_xlpm.result,10*_xlfn.XLOOKUP($A88,$A$2:$A$28,_xlfn.XLOOKUP(G$31,$B$1:$N$1,$B$2:$N$28)),IF(_xlpm.result&lt;0,"",_xlpm.result))</f>
        <v/>
      </c>
      <c r="H88" s="1" cm="1">
        <f t="array" ref="H88">_xlfn.LET(_xlpm.result,10*_xlfn.XLOOKUP($A88,$A$2:$A$28,_xlfn.XLOOKUP(H$31,$B$1:$N$1,$B$2:$N$28)),IF(_xlpm.result&lt;0,"",_xlpm.result))</f>
        <v>29</v>
      </c>
      <c r="I88" s="1" cm="1">
        <f t="array" ref="I88">_xlfn.LET(_xlpm.result,10*_xlfn.XLOOKUP($A88,$A$2:$A$28,_xlfn.XLOOKUP(I$31,$B$1:$N$1,$B$2:$N$28)),IF(_xlpm.result&lt;0,"",_xlpm.result))</f>
        <v>56</v>
      </c>
      <c r="J88" s="1" cm="1">
        <f t="array" ref="J88">_xlfn.LET(_xlpm.result,10*_xlfn.XLOOKUP($A88,$A$2:$A$28,_xlfn.XLOOKUP(J$31,$B$1:$N$1,$B$2:$N$28)),IF(_xlpm.result&lt;0,"",_xlpm.result))</f>
        <v>26</v>
      </c>
      <c r="K88" s="1" cm="1">
        <f t="array" ref="K88">_xlfn.LET(_xlpm.result,10*_xlfn.XLOOKUP($A88,$A$2:$A$28,_xlfn.XLOOKUP(K$31,$B$1:$N$1,$B$2:$N$28)),IF(_xlpm.result&lt;0,"",_xlpm.result))</f>
        <v>82</v>
      </c>
      <c r="L88" s="1" cm="1">
        <f t="array" ref="L88">_xlfn.LET(_xlpm.result,10*_xlfn.XLOOKUP($A88,$A$2:$A$28,_xlfn.XLOOKUP(L$31,$B$1:$N$1,$B$2:$N$28)),IF(_xlpm.result&lt;0,"",_xlpm.result))</f>
        <v>7</v>
      </c>
      <c r="M88" s="1" cm="1">
        <f t="array" ref="M88">_xlfn.LET(_xlpm.result,10*_xlfn.XLOOKUP($A88,$A$2:$A$28,_xlfn.XLOOKUP(M$31,$B$1:$N$1,$B$2:$N$28)),IF(_xlpm.result&lt;0,"",_xlpm.result))</f>
        <v>0</v>
      </c>
      <c r="N88" s="1" cm="1">
        <f t="array" ref="N88">_xlfn.LET(_xlpm.result,10*_xlfn.XLOOKUP($A88,$A$2:$A$28,_xlfn.XLOOKUP(N$31,$B$1:$N$1,$B$2:$N$28)),IF(_xlpm.result&lt;0,"",_xlpm.result))</f>
        <v>7</v>
      </c>
      <c r="O88" s="10">
        <f t="shared" si="2"/>
        <v>112</v>
      </c>
      <c r="P88">
        <v>5</v>
      </c>
    </row>
    <row r="89" spans="1:17" s="16" customFormat="1" ht="18.75" x14ac:dyDescent="0.3">
      <c r="A89" s="16" t="s">
        <v>22</v>
      </c>
      <c r="B89" s="17" cm="1">
        <f t="array" ref="B89">_xlfn.LET(_xlpm.result,10*_xlfn.XLOOKUP($A89,$A$2:$A$28,_xlfn.XLOOKUP(B$31,$B$1:$N$1,$B$2:$N$28)),IF(_xlpm.result&lt;0,"",_xlpm.result))</f>
        <v>62</v>
      </c>
      <c r="C89" s="17" cm="1">
        <f t="array" ref="C89">_xlfn.LET(_xlpm.result,10*_xlfn.XLOOKUP($A89,$A$2:$A$28,_xlfn.XLOOKUP(C$31,$B$1:$N$1,$B$2:$N$28)),IF(_xlpm.result&lt;0,"",_xlpm.result))</f>
        <v>0</v>
      </c>
      <c r="D89" s="17" cm="1">
        <f t="array" ref="D89">_xlfn.LET(_xlpm.result,10*_xlfn.XLOOKUP($A89,$A$2:$A$28,_xlfn.XLOOKUP(D$31,$B$1:$N$1,$B$2:$N$28)),IF(_xlpm.result&lt;0,"",_xlpm.result))</f>
        <v>87</v>
      </c>
      <c r="E89" s="17" t="str" cm="1">
        <f t="array" ref="E89">_xlfn.LET(_xlpm.result,10*_xlfn.XLOOKUP($A89,$A$2:$A$28,_xlfn.XLOOKUP(E$31,$B$1:$N$1,$B$2:$N$28)),IF(_xlpm.result&lt;0,"",_xlpm.result))</f>
        <v/>
      </c>
      <c r="F89" s="20" cm="1">
        <f t="array" ref="F89">_xlfn.LET(_xlpm.result,10*_xlfn.XLOOKUP($A89,$A$2:$A$28,_xlfn.XLOOKUP(F$31,$B$1:$N$1,$B$2:$N$28)),IF(_xlpm.result&lt;0,"",_xlpm.result))</f>
        <v>78</v>
      </c>
      <c r="G89" s="17" cm="1">
        <f t="array" ref="G89">_xlfn.LET(_xlpm.result,10*_xlfn.XLOOKUP($A89,$A$2:$A$28,_xlfn.XLOOKUP(G$31,$B$1:$N$1,$B$2:$N$28)),IF(_xlpm.result&lt;0,"",_xlpm.result))</f>
        <v>28</v>
      </c>
      <c r="H89" s="17" cm="1">
        <f t="array" ref="H89">_xlfn.LET(_xlpm.result,10*_xlfn.XLOOKUP($A89,$A$2:$A$28,_xlfn.XLOOKUP(H$31,$B$1:$N$1,$B$2:$N$28)),IF(_xlpm.result&lt;0,"",_xlpm.result))</f>
        <v>23</v>
      </c>
      <c r="I89" s="17" cm="1">
        <f t="array" ref="I89">_xlfn.LET(_xlpm.result,10*_xlfn.XLOOKUP($A89,$A$2:$A$28,_xlfn.XLOOKUP(I$31,$B$1:$N$1,$B$2:$N$28)),IF(_xlpm.result&lt;0,"",_xlpm.result))</f>
        <v>40</v>
      </c>
      <c r="J89" s="17" cm="1">
        <f t="array" ref="J89">_xlfn.LET(_xlpm.result,10*_xlfn.XLOOKUP($A89,$A$2:$A$28,_xlfn.XLOOKUP(J$31,$B$1:$N$1,$B$2:$N$28)),IF(_xlpm.result&lt;0,"",_xlpm.result))</f>
        <v>113</v>
      </c>
      <c r="K89" s="17" cm="1">
        <f t="array" ref="K89">_xlfn.LET(_xlpm.result,10*_xlfn.XLOOKUP($A89,$A$2:$A$28,_xlfn.XLOOKUP(K$31,$B$1:$N$1,$B$2:$N$28)),IF(_xlpm.result&lt;0,"",_xlpm.result))</f>
        <v>44</v>
      </c>
      <c r="L89" s="17" cm="1">
        <f t="array" ref="L89">_xlfn.LET(_xlpm.result,10*_xlfn.XLOOKUP($A89,$A$2:$A$28,_xlfn.XLOOKUP(L$31,$B$1:$N$1,$B$2:$N$28)),IF(_xlpm.result&lt;0,"",_xlpm.result))</f>
        <v>79</v>
      </c>
      <c r="M89" s="17" cm="1">
        <f t="array" ref="M89">_xlfn.LET(_xlpm.result,10*_xlfn.XLOOKUP($A89,$A$2:$A$28,_xlfn.XLOOKUP(M$31,$B$1:$N$1,$B$2:$N$28)),IF(_xlpm.result&lt;0,"",_xlpm.result))</f>
        <v>0</v>
      </c>
      <c r="N89" s="17" cm="1">
        <f t="array" ref="N89">_xlfn.LET(_xlpm.result,10*_xlfn.XLOOKUP($A89,$A$2:$A$28,_xlfn.XLOOKUP(N$31,$B$1:$N$1,$B$2:$N$28)),IF(_xlpm.result&lt;0,"",_xlpm.result))</f>
        <v>98</v>
      </c>
      <c r="O89" s="19">
        <f t="shared" si="2"/>
        <v>113</v>
      </c>
      <c r="P89" s="16">
        <v>4</v>
      </c>
    </row>
    <row r="90" spans="1:17" ht="18.75" x14ac:dyDescent="0.3">
      <c r="A90" t="s">
        <v>30</v>
      </c>
      <c r="B90" s="7" cm="1">
        <f t="array" ref="B90">_xlfn.LET(_xlpm.result,10*_xlfn.XLOOKUP($A90,$A$2:$A$28,_xlfn.XLOOKUP(B$31,$B$1:$N$1,$B$2:$N$28)),IF(_xlpm.result&lt;0,"",_xlpm.result))</f>
        <v>116</v>
      </c>
      <c r="C90" s="1" cm="1">
        <f t="array" ref="C90">_xlfn.LET(_xlpm.result,10*_xlfn.XLOOKUP($A90,$A$2:$A$28,_xlfn.XLOOKUP(C$31,$B$1:$N$1,$B$2:$N$28)),IF(_xlpm.result&lt;0,"",_xlpm.result))</f>
        <v>62</v>
      </c>
      <c r="D90" s="1" cm="1">
        <f t="array" ref="D90">_xlfn.LET(_xlpm.result,10*_xlfn.XLOOKUP($A90,$A$2:$A$28,_xlfn.XLOOKUP(D$31,$B$1:$N$1,$B$2:$N$28)),IF(_xlpm.result&lt;0,"",_xlpm.result))</f>
        <v>43</v>
      </c>
      <c r="E90" s="1" cm="1">
        <f t="array" ref="E90">_xlfn.LET(_xlpm.result,10*_xlfn.XLOOKUP($A90,$A$2:$A$28,_xlfn.XLOOKUP(E$31,$B$1:$N$1,$B$2:$N$28)),IF(_xlpm.result&lt;0,"",_xlpm.result))</f>
        <v>90</v>
      </c>
      <c r="F90" s="1" cm="1">
        <f t="array" ref="F90">_xlfn.LET(_xlpm.result,10*_xlfn.XLOOKUP($A90,$A$2:$A$28,_xlfn.XLOOKUP(F$31,$B$1:$N$1,$B$2:$N$28)),IF(_xlpm.result&lt;0,"",_xlpm.result))</f>
        <v>2.9999999999999898</v>
      </c>
      <c r="G90" s="1" cm="1">
        <f t="array" ref="G90">_xlfn.LET(_xlpm.result,10*_xlfn.XLOOKUP($A90,$A$2:$A$28,_xlfn.XLOOKUP(G$31,$B$1:$N$1,$B$2:$N$28)),IF(_xlpm.result&lt;0,"",_xlpm.result))</f>
        <v>115</v>
      </c>
      <c r="H90" s="1" cm="1">
        <f t="array" ref="H90">_xlfn.LET(_xlpm.result,10*_xlfn.XLOOKUP($A90,$A$2:$A$28,_xlfn.XLOOKUP(H$31,$B$1:$N$1,$B$2:$N$28)),IF(_xlpm.result&lt;0,"",_xlpm.result))</f>
        <v>55</v>
      </c>
      <c r="I90" s="1" t="str" cm="1">
        <f t="array" ref="I90">_xlfn.LET(_xlpm.result,10*_xlfn.XLOOKUP($A90,$A$2:$A$28,_xlfn.XLOOKUP(I$31,$B$1:$N$1,$B$2:$N$28)),IF(_xlpm.result&lt;0,"",_xlpm.result))</f>
        <v/>
      </c>
      <c r="J90" s="1" cm="1">
        <f t="array" ref="J90">_xlfn.LET(_xlpm.result,10*_xlfn.XLOOKUP($A90,$A$2:$A$28,_xlfn.XLOOKUP(J$31,$B$1:$N$1,$B$2:$N$28)),IF(_xlpm.result&lt;0,"",_xlpm.result))</f>
        <v>59</v>
      </c>
      <c r="K90" s="1" cm="1">
        <f t="array" ref="K90">_xlfn.LET(_xlpm.result,10*_xlfn.XLOOKUP($A90,$A$2:$A$28,_xlfn.XLOOKUP(K$31,$B$1:$N$1,$B$2:$N$28)),IF(_xlpm.result&lt;0,"",_xlpm.result))</f>
        <v>17</v>
      </c>
      <c r="L90" s="1" cm="1">
        <f t="array" ref="L90">_xlfn.LET(_xlpm.result,10*_xlfn.XLOOKUP($A90,$A$2:$A$28,_xlfn.XLOOKUP(L$31,$B$1:$N$1,$B$2:$N$28)),IF(_xlpm.result&lt;0,"",_xlpm.result))</f>
        <v>59</v>
      </c>
      <c r="M90" s="1" cm="1">
        <f t="array" ref="M90">_xlfn.LET(_xlpm.result,10*_xlfn.XLOOKUP($A90,$A$2:$A$28,_xlfn.XLOOKUP(M$31,$B$1:$N$1,$B$2:$N$28)),IF(_xlpm.result&lt;0,"",_xlpm.result))</f>
        <v>61</v>
      </c>
      <c r="N90" s="1" cm="1">
        <f t="array" ref="N90">_xlfn.LET(_xlpm.result,10*_xlfn.XLOOKUP($A90,$A$2:$A$28,_xlfn.XLOOKUP(N$31,$B$1:$N$1,$B$2:$N$28)),IF(_xlpm.result&lt;0,"",_xlpm.result))</f>
        <v>55</v>
      </c>
      <c r="O90" s="10">
        <f t="shared" si="2"/>
        <v>116</v>
      </c>
      <c r="P90">
        <v>3</v>
      </c>
    </row>
    <row r="91" spans="1:17" ht="18.75" x14ac:dyDescent="0.3">
      <c r="A91" t="s">
        <v>34</v>
      </c>
      <c r="B91" s="1" cm="1">
        <f t="array" ref="B91">_xlfn.LET(_xlpm.result,10*_xlfn.XLOOKUP($A91,$A$2:$A$28,_xlfn.XLOOKUP(B$31,$B$1:$N$1,$B$2:$N$28)),IF(_xlpm.result&lt;0,"",_xlpm.result))</f>
        <v>3.9999999999999902</v>
      </c>
      <c r="C91" s="7" cm="1">
        <f t="array" ref="C91">_xlfn.LET(_xlpm.result,10*_xlfn.XLOOKUP($A91,$A$2:$A$28,_xlfn.XLOOKUP(C$31,$B$1:$N$1,$B$2:$N$28)),IF(_xlpm.result&lt;0,"",_xlpm.result))</f>
        <v>101</v>
      </c>
      <c r="D91" s="1" cm="1">
        <f t="array" ref="D91">_xlfn.LET(_xlpm.result,10*_xlfn.XLOOKUP($A91,$A$2:$A$28,_xlfn.XLOOKUP(D$31,$B$1:$N$1,$B$2:$N$28)),IF(_xlpm.result&lt;0,"",_xlpm.result))</f>
        <v>25.999999999999901</v>
      </c>
      <c r="E91" s="1" cm="1">
        <f t="array" ref="E91">_xlfn.LET(_xlpm.result,10*_xlfn.XLOOKUP($A91,$A$2:$A$28,_xlfn.XLOOKUP(E$31,$B$1:$N$1,$B$2:$N$28)),IF(_xlpm.result&lt;0,"",_xlpm.result))</f>
        <v>18.999999999999901</v>
      </c>
      <c r="F91" s="1" cm="1">
        <f t="array" ref="F91">_xlfn.LET(_xlpm.result,10*_xlfn.XLOOKUP($A91,$A$2:$A$28,_xlfn.XLOOKUP(F$31,$B$1:$N$1,$B$2:$N$28)),IF(_xlpm.result&lt;0,"",_xlpm.result))</f>
        <v>0</v>
      </c>
      <c r="G91" s="1" cm="1">
        <f t="array" ref="G91">_xlfn.LET(_xlpm.result,10*_xlfn.XLOOKUP($A91,$A$2:$A$28,_xlfn.XLOOKUP(G$31,$B$1:$N$1,$B$2:$N$28)),IF(_xlpm.result&lt;0,"",_xlpm.result))</f>
        <v>33</v>
      </c>
      <c r="H91" s="1" cm="1">
        <f t="array" ref="H91">_xlfn.LET(_xlpm.result,10*_xlfn.XLOOKUP($A91,$A$2:$A$28,_xlfn.XLOOKUP(H$31,$B$1:$N$1,$B$2:$N$28)),IF(_xlpm.result&lt;0,"",_xlpm.result))</f>
        <v>33</v>
      </c>
      <c r="I91" s="1" cm="1">
        <f t="array" ref="I91">_xlfn.LET(_xlpm.result,10*_xlfn.XLOOKUP($A91,$A$2:$A$28,_xlfn.XLOOKUP(I$31,$B$1:$N$1,$B$2:$N$28)),IF(_xlpm.result&lt;0,"",_xlpm.result))</f>
        <v>48</v>
      </c>
      <c r="J91" s="1" cm="1">
        <f t="array" ref="J91">_xlfn.LET(_xlpm.result,10*_xlfn.XLOOKUP($A91,$A$2:$A$28,_xlfn.XLOOKUP(J$31,$B$1:$N$1,$B$2:$N$28)),IF(_xlpm.result&lt;0,"",_xlpm.result))</f>
        <v>41.999999999999901</v>
      </c>
      <c r="K91" s="1" cm="1">
        <f t="array" ref="K91">_xlfn.LET(_xlpm.result,10*_xlfn.XLOOKUP($A91,$A$2:$A$28,_xlfn.XLOOKUP(K$31,$B$1:$N$1,$B$2:$N$28)),IF(_xlpm.result&lt;0,"",_xlpm.result))</f>
        <v>45</v>
      </c>
      <c r="L91" s="1" cm="1">
        <f t="array" ref="L91">_xlfn.LET(_xlpm.result,10*_xlfn.XLOOKUP($A91,$A$2:$A$28,_xlfn.XLOOKUP(L$31,$B$1:$N$1,$B$2:$N$28)),IF(_xlpm.result&lt;0,"",_xlpm.result))</f>
        <v>142</v>
      </c>
      <c r="M91" s="1" cm="1">
        <f t="array" ref="M91">_xlfn.LET(_xlpm.result,10*_xlfn.XLOOKUP($A91,$A$2:$A$28,_xlfn.XLOOKUP(M$31,$B$1:$N$1,$B$2:$N$28)),IF(_xlpm.result&lt;0,"",_xlpm.result))</f>
        <v>33</v>
      </c>
      <c r="N91" s="1" cm="1">
        <f t="array" ref="N91">_xlfn.LET(_xlpm.result,10*_xlfn.XLOOKUP($A91,$A$2:$A$28,_xlfn.XLOOKUP(N$31,$B$1:$N$1,$B$2:$N$28)),IF(_xlpm.result&lt;0,"",_xlpm.result))</f>
        <v>101</v>
      </c>
      <c r="O91" s="10">
        <f t="shared" si="2"/>
        <v>142</v>
      </c>
      <c r="P91">
        <v>2</v>
      </c>
    </row>
    <row r="92" spans="1:17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0"/>
    </row>
    <row r="93" spans="1:17" x14ac:dyDescent="0.25">
      <c r="A93" t="s">
        <v>60</v>
      </c>
      <c r="B93">
        <v>116</v>
      </c>
      <c r="C93">
        <v>101</v>
      </c>
      <c r="D93">
        <v>112</v>
      </c>
      <c r="E93">
        <v>97</v>
      </c>
      <c r="F93">
        <v>78</v>
      </c>
      <c r="G93">
        <v>73</v>
      </c>
      <c r="H93">
        <v>95</v>
      </c>
      <c r="I93">
        <v>80</v>
      </c>
      <c r="J93">
        <v>78</v>
      </c>
      <c r="K93">
        <v>103.99999999999901</v>
      </c>
      <c r="L93">
        <v>60</v>
      </c>
      <c r="M93" s="3">
        <v>53.999999999999901</v>
      </c>
      <c r="N93">
        <v>83</v>
      </c>
      <c r="O93" s="10">
        <f>SUM(B93:N93)</f>
        <v>1130.9999999999989</v>
      </c>
      <c r="P93">
        <f>MIN(B93:N93)</f>
        <v>53.999999999999901</v>
      </c>
      <c r="Q93" s="23">
        <f>AVERAGE(B93:N93)</f>
        <v>86.999999999999915</v>
      </c>
    </row>
    <row r="94" spans="1:17" x14ac:dyDescent="0.25">
      <c r="A94" t="s">
        <v>61</v>
      </c>
      <c r="O94" s="10">
        <f>SUM(B94:N94)</f>
        <v>0</v>
      </c>
      <c r="P94">
        <f>MIN(B94:N94)</f>
        <v>0</v>
      </c>
      <c r="Q94" s="23" t="e">
        <f>AVERAGE(B94:N94)</f>
        <v>#DIV/0!</v>
      </c>
    </row>
    <row r="96" spans="1:17" x14ac:dyDescent="0.25">
      <c r="A96" t="s">
        <v>62</v>
      </c>
      <c r="B96">
        <f t="shared" ref="B96:Q96" si="3">B94-B93</f>
        <v>-116</v>
      </c>
      <c r="C96">
        <f t="shared" si="3"/>
        <v>-101</v>
      </c>
      <c r="D96">
        <f t="shared" si="3"/>
        <v>-112</v>
      </c>
      <c r="E96">
        <f t="shared" si="3"/>
        <v>-97</v>
      </c>
      <c r="F96">
        <f t="shared" si="3"/>
        <v>-78</v>
      </c>
      <c r="G96">
        <f t="shared" si="3"/>
        <v>-73</v>
      </c>
      <c r="H96">
        <f t="shared" si="3"/>
        <v>-95</v>
      </c>
      <c r="I96">
        <f t="shared" si="3"/>
        <v>-80</v>
      </c>
      <c r="J96">
        <f t="shared" si="3"/>
        <v>-78</v>
      </c>
      <c r="K96">
        <f t="shared" si="3"/>
        <v>-103.99999999999901</v>
      </c>
      <c r="L96">
        <f t="shared" si="3"/>
        <v>-60</v>
      </c>
      <c r="M96">
        <f t="shared" si="3"/>
        <v>-53.999999999999901</v>
      </c>
      <c r="N96">
        <f t="shared" si="3"/>
        <v>-83</v>
      </c>
      <c r="O96">
        <f t="shared" si="3"/>
        <v>-1130.9999999999989</v>
      </c>
      <c r="P96">
        <f t="shared" si="3"/>
        <v>-53.999999999999901</v>
      </c>
      <c r="Q96" s="22" t="e">
        <f t="shared" si="3"/>
        <v>#DIV/0!</v>
      </c>
    </row>
  </sheetData>
  <autoFilter ref="A64:O64" xr:uid="{54BE77A0-7D21-425B-A240-22D447E1FEA2}">
    <sortState xmlns:xlrd2="http://schemas.microsoft.com/office/spreadsheetml/2017/richdata2" ref="A65:O91">
      <sortCondition ref="O64"/>
    </sortState>
  </autoFilter>
  <conditionalFormatting sqref="B2:N2"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N3"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N4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N5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N6"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N7"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N8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N9"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N10"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N11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N12"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N13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N14"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N15"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N16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N17"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N18"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N19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N20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N21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N22"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N2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N24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N25"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N26"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N27"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N28"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2:N58">
    <cfRule type="colorScale" priority="2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65:N91"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2:N92">
    <cfRule type="colorScale" priority="2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93:N93"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4:N94"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D8C3-BA2D-44BF-B3C7-CB6954DD0437}">
  <dimension ref="A1:Q91"/>
  <sheetViews>
    <sheetView topLeftCell="A55" zoomScale="85" zoomScaleNormal="85" workbookViewId="0">
      <selection activeCell="I73" sqref="I73"/>
    </sheetView>
  </sheetViews>
  <sheetFormatPr defaultRowHeight="15" x14ac:dyDescent="0.25"/>
  <cols>
    <col min="1" max="1" width="24.28515625" customWidth="1"/>
    <col min="2" max="4" width="9.42578125" bestFit="1" customWidth="1"/>
    <col min="5" max="11" width="10.42578125" bestFit="1" customWidth="1"/>
    <col min="12" max="12" width="10.7109375" bestFit="1" customWidth="1"/>
    <col min="13" max="13" width="10.42578125" bestFit="1" customWidth="1"/>
    <col min="14" max="14" width="10.5703125" bestFit="1" customWidth="1"/>
  </cols>
  <sheetData>
    <row r="1" spans="1:13" x14ac:dyDescent="0.25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 spans="1:13" x14ac:dyDescent="0.25">
      <c r="A2" t="s">
        <v>19</v>
      </c>
      <c r="B2">
        <v>-6</v>
      </c>
      <c r="D2">
        <v>-2.6</v>
      </c>
      <c r="E2">
        <v>-2.6</v>
      </c>
      <c r="F2">
        <v>-3.5</v>
      </c>
      <c r="G2">
        <v>-1.2</v>
      </c>
      <c r="H2">
        <v>-3.2</v>
      </c>
      <c r="I2">
        <v>-4.5999999999999996</v>
      </c>
      <c r="J2">
        <v>-3.3</v>
      </c>
      <c r="K2">
        <v>-0.6</v>
      </c>
      <c r="L2">
        <v>5</v>
      </c>
      <c r="M2">
        <v>-4.5999999999999996</v>
      </c>
    </row>
    <row r="3" spans="1:13" x14ac:dyDescent="0.25">
      <c r="A3" t="s">
        <v>20</v>
      </c>
      <c r="B3">
        <v>-2.9</v>
      </c>
      <c r="C3">
        <v>2.5</v>
      </c>
      <c r="D3">
        <v>-0.7</v>
      </c>
      <c r="E3">
        <v>-4</v>
      </c>
      <c r="F3">
        <v>2.9</v>
      </c>
      <c r="G3">
        <v>5.3999999999999897</v>
      </c>
      <c r="H3">
        <v>4.8999999999999897</v>
      </c>
      <c r="I3">
        <v>-2</v>
      </c>
      <c r="J3">
        <v>-2.6</v>
      </c>
      <c r="K3">
        <v>0.6</v>
      </c>
      <c r="L3">
        <v>-4</v>
      </c>
      <c r="M3">
        <v>5.3999999999999897</v>
      </c>
    </row>
    <row r="4" spans="1:13" x14ac:dyDescent="0.25">
      <c r="A4" t="s">
        <v>21</v>
      </c>
      <c r="C4">
        <v>3.0999999999999899</v>
      </c>
      <c r="D4">
        <v>5.3</v>
      </c>
      <c r="E4">
        <v>0.999999999999999</v>
      </c>
      <c r="F4">
        <v>7.6999999999999904</v>
      </c>
      <c r="G4">
        <v>7.6999999999999904</v>
      </c>
      <c r="H4">
        <v>8.4</v>
      </c>
      <c r="I4">
        <v>1.2</v>
      </c>
      <c r="J4">
        <v>8.4</v>
      </c>
      <c r="K4">
        <v>2.1</v>
      </c>
      <c r="L4">
        <v>-2.6</v>
      </c>
      <c r="M4">
        <v>1.2</v>
      </c>
    </row>
    <row r="5" spans="1:13" x14ac:dyDescent="0.25">
      <c r="A5" t="s">
        <v>22</v>
      </c>
      <c r="C5">
        <v>7</v>
      </c>
      <c r="D5">
        <v>-3.5</v>
      </c>
      <c r="E5">
        <v>6.6</v>
      </c>
      <c r="F5">
        <v>1.5</v>
      </c>
      <c r="G5">
        <v>1.4</v>
      </c>
      <c r="H5">
        <v>2.5</v>
      </c>
      <c r="I5">
        <v>9.6999999999999993</v>
      </c>
      <c r="J5">
        <v>3.4</v>
      </c>
      <c r="K5">
        <v>9</v>
      </c>
      <c r="L5">
        <v>-0.29999999999999899</v>
      </c>
      <c r="M5">
        <v>9</v>
      </c>
    </row>
    <row r="6" spans="1:13" x14ac:dyDescent="0.25">
      <c r="A6" t="s">
        <v>23</v>
      </c>
      <c r="B6">
        <v>2</v>
      </c>
      <c r="C6">
        <v>-7</v>
      </c>
      <c r="D6">
        <v>-8.3000000000000007</v>
      </c>
      <c r="E6">
        <v>2.5</v>
      </c>
      <c r="F6">
        <v>-2.9</v>
      </c>
      <c r="G6">
        <v>-5.8</v>
      </c>
      <c r="H6">
        <v>-6.9</v>
      </c>
      <c r="J6">
        <v>2.5</v>
      </c>
      <c r="K6">
        <v>-5.5</v>
      </c>
      <c r="L6">
        <v>-4.9000000000000004</v>
      </c>
      <c r="M6">
        <v>-5.5</v>
      </c>
    </row>
    <row r="7" spans="1:13" x14ac:dyDescent="0.25">
      <c r="A7" t="s">
        <v>24</v>
      </c>
      <c r="B7">
        <v>5.0999999999999996</v>
      </c>
      <c r="C7">
        <v>-3.0999999999999899</v>
      </c>
      <c r="D7">
        <v>5.3</v>
      </c>
      <c r="E7">
        <v>1</v>
      </c>
      <c r="F7">
        <v>-2.1</v>
      </c>
      <c r="G7">
        <v>-1.9</v>
      </c>
      <c r="H7">
        <v>-4.7</v>
      </c>
      <c r="I7">
        <v>-5.7</v>
      </c>
      <c r="J7">
        <v>4.5999999999999996</v>
      </c>
      <c r="K7">
        <v>-5.7</v>
      </c>
      <c r="L7">
        <v>-3.2</v>
      </c>
      <c r="M7">
        <v>-6.4</v>
      </c>
    </row>
    <row r="8" spans="1:13" x14ac:dyDescent="0.25">
      <c r="A8" t="s">
        <v>25</v>
      </c>
      <c r="B8">
        <v>-7.2</v>
      </c>
      <c r="C8">
        <v>-0.7</v>
      </c>
      <c r="D8">
        <v>-5.3</v>
      </c>
      <c r="F8">
        <v>-7.2</v>
      </c>
      <c r="G8">
        <v>-6.3</v>
      </c>
      <c r="H8">
        <v>-8.4</v>
      </c>
      <c r="I8">
        <v>-9.6999999999999993</v>
      </c>
      <c r="J8">
        <v>-8.4</v>
      </c>
      <c r="K8">
        <v>-3.1</v>
      </c>
      <c r="L8">
        <v>-5</v>
      </c>
      <c r="M8">
        <v>-0.7</v>
      </c>
    </row>
    <row r="9" spans="1:13" x14ac:dyDescent="0.25">
      <c r="A9" t="s">
        <v>26</v>
      </c>
      <c r="B9">
        <v>-2.4</v>
      </c>
      <c r="C9">
        <v>-5.6</v>
      </c>
      <c r="E9">
        <v>0</v>
      </c>
      <c r="F9">
        <v>-7.6999999999999904</v>
      </c>
      <c r="G9">
        <v>-1.7999999999999901</v>
      </c>
      <c r="H9">
        <v>-7.8</v>
      </c>
      <c r="I9">
        <v>2.6</v>
      </c>
      <c r="J9">
        <v>-4.5999999999999996</v>
      </c>
      <c r="K9">
        <v>-9</v>
      </c>
      <c r="L9">
        <v>-6.5</v>
      </c>
      <c r="M9">
        <v>0.7</v>
      </c>
    </row>
    <row r="10" spans="1:13" x14ac:dyDescent="0.25">
      <c r="A10" t="s">
        <v>27</v>
      </c>
      <c r="B10">
        <v>-2.4</v>
      </c>
      <c r="C10">
        <v>-0.89999999999999902</v>
      </c>
      <c r="D10">
        <v>2.6</v>
      </c>
      <c r="F10">
        <v>5.0999999999999996</v>
      </c>
      <c r="G10">
        <v>-2.4</v>
      </c>
      <c r="H10">
        <v>-5.6</v>
      </c>
      <c r="I10">
        <v>-4.0999999999999996</v>
      </c>
      <c r="J10">
        <v>0.2</v>
      </c>
      <c r="K10">
        <v>-0.5</v>
      </c>
      <c r="L10">
        <v>-2.4</v>
      </c>
      <c r="M10">
        <v>3.3</v>
      </c>
    </row>
    <row r="11" spans="1:13" x14ac:dyDescent="0.25">
      <c r="A11" t="s">
        <v>33</v>
      </c>
      <c r="B11">
        <v>-3.4</v>
      </c>
      <c r="D11">
        <v>3.7</v>
      </c>
      <c r="E11">
        <v>-2.1</v>
      </c>
      <c r="F11">
        <v>-1.9</v>
      </c>
      <c r="G11">
        <v>1.2</v>
      </c>
      <c r="H11">
        <v>8.1</v>
      </c>
      <c r="I11">
        <v>-3.4</v>
      </c>
      <c r="J11">
        <v>5.5</v>
      </c>
      <c r="K11">
        <v>-2.2999999999999998</v>
      </c>
      <c r="L11">
        <v>-3.4</v>
      </c>
      <c r="M11">
        <v>8.1</v>
      </c>
    </row>
    <row r="12" spans="1:13" x14ac:dyDescent="0.25">
      <c r="A12" t="s">
        <v>34</v>
      </c>
      <c r="B12">
        <v>10.7</v>
      </c>
      <c r="C12">
        <v>3.2</v>
      </c>
      <c r="D12">
        <v>3.5</v>
      </c>
      <c r="F12">
        <v>4.7</v>
      </c>
      <c r="G12">
        <v>3.6</v>
      </c>
      <c r="H12">
        <v>5.6</v>
      </c>
      <c r="I12">
        <v>4.9000000000000004</v>
      </c>
      <c r="J12">
        <v>5.0999999999999996</v>
      </c>
      <c r="K12">
        <v>15.1</v>
      </c>
      <c r="L12">
        <v>4.7</v>
      </c>
      <c r="M12">
        <v>10.7</v>
      </c>
    </row>
    <row r="13" spans="1:13" x14ac:dyDescent="0.25">
      <c r="A13" t="s">
        <v>35</v>
      </c>
      <c r="B13">
        <v>-10.7</v>
      </c>
      <c r="D13">
        <v>-3.7</v>
      </c>
      <c r="E13">
        <v>-6</v>
      </c>
      <c r="F13">
        <v>-5.0999999999999996</v>
      </c>
      <c r="G13">
        <v>1.7999999999999901</v>
      </c>
      <c r="H13">
        <v>-5.6</v>
      </c>
      <c r="I13">
        <v>-6</v>
      </c>
      <c r="J13">
        <v>-7.5</v>
      </c>
      <c r="K13">
        <v>-5.8</v>
      </c>
      <c r="L13">
        <v>-1.7999999999999901</v>
      </c>
      <c r="M13">
        <v>-10.7</v>
      </c>
    </row>
    <row r="14" spans="1:13" x14ac:dyDescent="0.25">
      <c r="A14" t="s">
        <v>36</v>
      </c>
      <c r="B14">
        <v>-1.5</v>
      </c>
      <c r="C14">
        <v>0.7</v>
      </c>
      <c r="D14">
        <v>10</v>
      </c>
      <c r="E14">
        <v>0.9</v>
      </c>
      <c r="F14">
        <v>1.9</v>
      </c>
      <c r="H14">
        <v>5.6</v>
      </c>
      <c r="I14">
        <v>-1.9</v>
      </c>
      <c r="J14">
        <v>-5.0999999999999996</v>
      </c>
      <c r="K14">
        <v>0.5</v>
      </c>
      <c r="L14">
        <v>-0.19999999999999901</v>
      </c>
      <c r="M14">
        <v>-0.39999999999999902</v>
      </c>
    </row>
    <row r="15" spans="1:13" x14ac:dyDescent="0.25">
      <c r="A15" t="s">
        <v>38</v>
      </c>
      <c r="B15">
        <v>2.4</v>
      </c>
      <c r="C15">
        <v>-2.5</v>
      </c>
      <c r="D15">
        <v>-5.3</v>
      </c>
      <c r="E15">
        <v>-6.6</v>
      </c>
      <c r="F15">
        <v>-6.9</v>
      </c>
      <c r="H15">
        <v>2.9</v>
      </c>
      <c r="I15">
        <v>2.4</v>
      </c>
      <c r="J15">
        <v>-4.0999999999999996</v>
      </c>
      <c r="K15">
        <v>3.1</v>
      </c>
      <c r="L15">
        <v>-5.0999999999999996</v>
      </c>
      <c r="M15">
        <v>-3.19999999999999</v>
      </c>
    </row>
    <row r="16" spans="1:13" x14ac:dyDescent="0.25">
      <c r="A16" t="s">
        <v>39</v>
      </c>
      <c r="B16">
        <v>-2.6</v>
      </c>
      <c r="C16">
        <v>-0.7</v>
      </c>
      <c r="D16">
        <v>-4.3</v>
      </c>
      <c r="E16">
        <v>-0.999999999999999</v>
      </c>
      <c r="F16">
        <v>2.1</v>
      </c>
      <c r="G16">
        <v>-3.6</v>
      </c>
      <c r="H16">
        <v>-0.2</v>
      </c>
      <c r="I16">
        <v>-2.6</v>
      </c>
      <c r="J16">
        <v>-0.2</v>
      </c>
      <c r="K16">
        <v>3.1</v>
      </c>
      <c r="L16">
        <v>-4.3</v>
      </c>
      <c r="M16">
        <v>-3.6</v>
      </c>
    </row>
    <row r="17" spans="1:17" x14ac:dyDescent="0.25">
      <c r="A17" t="s">
        <v>40</v>
      </c>
      <c r="B17">
        <v>8.1999999999999993</v>
      </c>
      <c r="C17">
        <v>5.6</v>
      </c>
      <c r="D17">
        <v>0.7</v>
      </c>
      <c r="E17">
        <v>-1.9</v>
      </c>
      <c r="F17">
        <v>5.6</v>
      </c>
      <c r="G17">
        <v>6.3</v>
      </c>
      <c r="H17">
        <v>2</v>
      </c>
      <c r="J17">
        <v>-3.4</v>
      </c>
      <c r="K17">
        <v>-2.1</v>
      </c>
      <c r="L17">
        <v>5.6</v>
      </c>
      <c r="M17">
        <v>3.19999999999999</v>
      </c>
    </row>
    <row r="18" spans="1:17" x14ac:dyDescent="0.25">
      <c r="A18" t="s">
        <v>41</v>
      </c>
      <c r="B18">
        <v>-5.0999999999999996</v>
      </c>
      <c r="C18">
        <v>-8</v>
      </c>
      <c r="D18">
        <v>-9.4</v>
      </c>
      <c r="E18">
        <v>-2.5</v>
      </c>
      <c r="G18">
        <v>-5.3999999999999897</v>
      </c>
      <c r="H18">
        <v>-2.9</v>
      </c>
      <c r="I18">
        <v>-8</v>
      </c>
      <c r="J18">
        <v>-2.5</v>
      </c>
      <c r="K18">
        <v>-0.5</v>
      </c>
      <c r="L18">
        <v>2.1</v>
      </c>
      <c r="M18">
        <v>-5.3999999999999897</v>
      </c>
    </row>
    <row r="19" spans="1:17" x14ac:dyDescent="0.25">
      <c r="A19" t="s">
        <v>42</v>
      </c>
      <c r="B19">
        <v>-4.2</v>
      </c>
      <c r="C19">
        <v>-5.7</v>
      </c>
      <c r="D19">
        <v>-4.2</v>
      </c>
      <c r="E19">
        <v>-1</v>
      </c>
      <c r="F19">
        <v>-6.7</v>
      </c>
      <c r="G19">
        <v>-7.4</v>
      </c>
      <c r="H19">
        <v>-2</v>
      </c>
      <c r="J19">
        <v>-5.7</v>
      </c>
      <c r="K19">
        <v>-3.1</v>
      </c>
      <c r="L19">
        <v>1.7999999999999901</v>
      </c>
      <c r="M19">
        <v>-3.3</v>
      </c>
    </row>
    <row r="20" spans="1:17" x14ac:dyDescent="0.25">
      <c r="A20" t="s">
        <v>43</v>
      </c>
      <c r="B20">
        <v>-2</v>
      </c>
      <c r="C20">
        <v>0.7</v>
      </c>
      <c r="E20">
        <v>0</v>
      </c>
      <c r="F20">
        <v>-5.6</v>
      </c>
      <c r="G20">
        <v>-7.6999999999999904</v>
      </c>
      <c r="H20">
        <v>-4.8999999999999897</v>
      </c>
      <c r="I20">
        <v>-2.4</v>
      </c>
      <c r="J20">
        <v>-5.5</v>
      </c>
      <c r="K20">
        <v>0.5</v>
      </c>
      <c r="L20">
        <v>-5.6</v>
      </c>
      <c r="M20">
        <v>-9</v>
      </c>
    </row>
    <row r="21" spans="1:17" x14ac:dyDescent="0.25">
      <c r="A21" t="s">
        <v>44</v>
      </c>
      <c r="B21">
        <v>2.6</v>
      </c>
      <c r="C21">
        <v>5.7</v>
      </c>
      <c r="E21">
        <v>-1</v>
      </c>
      <c r="F21">
        <v>-1.7</v>
      </c>
      <c r="G21">
        <v>2.4</v>
      </c>
      <c r="H21">
        <v>4.7</v>
      </c>
      <c r="I21">
        <v>1.9</v>
      </c>
      <c r="J21">
        <v>7.5</v>
      </c>
      <c r="K21">
        <v>0</v>
      </c>
      <c r="L21">
        <v>0.29999999999999899</v>
      </c>
      <c r="M21">
        <v>0</v>
      </c>
    </row>
    <row r="22" spans="1:17" x14ac:dyDescent="0.25">
      <c r="A22" t="s">
        <v>45</v>
      </c>
      <c r="B22">
        <v>7.2</v>
      </c>
      <c r="C22">
        <v>-3.8</v>
      </c>
      <c r="D22">
        <v>-2.4</v>
      </c>
      <c r="E22">
        <v>-0.9</v>
      </c>
      <c r="F22">
        <v>7.2</v>
      </c>
      <c r="G22">
        <v>1.9</v>
      </c>
      <c r="H22">
        <v>-2.5</v>
      </c>
      <c r="I22">
        <v>-1.2</v>
      </c>
      <c r="J22">
        <v>4.0999999999999996</v>
      </c>
      <c r="K22">
        <v>-4.5</v>
      </c>
      <c r="L22">
        <v>6.5</v>
      </c>
      <c r="M22">
        <v>-1.2</v>
      </c>
    </row>
    <row r="23" spans="1:17" x14ac:dyDescent="0.25">
      <c r="A23" t="s">
        <v>46</v>
      </c>
      <c r="B23">
        <v>2.9</v>
      </c>
      <c r="C23">
        <v>0.19999999999999901</v>
      </c>
      <c r="D23">
        <v>4.2</v>
      </c>
      <c r="E23">
        <v>-1.1000000000000001</v>
      </c>
      <c r="F23">
        <v>3.5</v>
      </c>
      <c r="G23">
        <v>5.8</v>
      </c>
      <c r="H23">
        <v>7.8</v>
      </c>
      <c r="J23">
        <v>10.4</v>
      </c>
      <c r="K23">
        <v>-1.1000000000000001</v>
      </c>
      <c r="L23">
        <v>3.2</v>
      </c>
      <c r="M23">
        <v>0.89999999999999902</v>
      </c>
      <c r="O23" t="s">
        <v>59</v>
      </c>
    </row>
    <row r="24" spans="1:17" x14ac:dyDescent="0.25">
      <c r="A24" t="s">
        <v>47</v>
      </c>
      <c r="B24">
        <v>-0.7</v>
      </c>
      <c r="D24">
        <v>-2.4</v>
      </c>
      <c r="E24">
        <v>2.6</v>
      </c>
      <c r="F24">
        <v>-2</v>
      </c>
      <c r="G24">
        <v>9.5</v>
      </c>
      <c r="H24">
        <v>0.2</v>
      </c>
      <c r="I24">
        <v>2</v>
      </c>
      <c r="J24">
        <v>-2</v>
      </c>
      <c r="K24">
        <v>-2</v>
      </c>
      <c r="L24">
        <v>4.9000000000000004</v>
      </c>
      <c r="M24">
        <v>-0.89999999999999902</v>
      </c>
    </row>
    <row r="25" spans="1:17" x14ac:dyDescent="0.25">
      <c r="A25" t="s">
        <v>48</v>
      </c>
      <c r="B25" s="13">
        <v>-3.5</v>
      </c>
      <c r="C25">
        <v>8</v>
      </c>
      <c r="E25">
        <v>1.9</v>
      </c>
      <c r="F25">
        <v>-1.5</v>
      </c>
      <c r="G25">
        <v>-1.4</v>
      </c>
      <c r="H25">
        <v>3.2</v>
      </c>
      <c r="I25">
        <v>8</v>
      </c>
      <c r="J25">
        <v>2.6</v>
      </c>
      <c r="K25">
        <v>5.5</v>
      </c>
      <c r="L25">
        <v>5.0999999999999996</v>
      </c>
      <c r="M25">
        <v>5.5</v>
      </c>
    </row>
    <row r="26" spans="1:17" x14ac:dyDescent="0.25">
      <c r="A26" t="s">
        <v>49</v>
      </c>
      <c r="B26">
        <v>-8.1999999999999993</v>
      </c>
      <c r="C26">
        <v>-11.5</v>
      </c>
      <c r="D26">
        <v>-10</v>
      </c>
      <c r="F26">
        <v>-10.199999999999999</v>
      </c>
      <c r="G26">
        <v>-9.5</v>
      </c>
      <c r="H26">
        <v>-8.1</v>
      </c>
      <c r="I26">
        <v>-2.6</v>
      </c>
      <c r="J26">
        <v>-10.4</v>
      </c>
      <c r="K26">
        <v>-15.1</v>
      </c>
      <c r="L26">
        <v>-2.1</v>
      </c>
      <c r="M26">
        <v>-8.1</v>
      </c>
    </row>
    <row r="27" spans="1:17" x14ac:dyDescent="0.25">
      <c r="A27" t="s">
        <v>50</v>
      </c>
      <c r="B27">
        <v>2.4</v>
      </c>
      <c r="C27">
        <v>-3.2</v>
      </c>
      <c r="D27">
        <v>2.4</v>
      </c>
      <c r="E27">
        <v>-1.7</v>
      </c>
      <c r="F27">
        <v>6.9</v>
      </c>
      <c r="H27">
        <v>1.5</v>
      </c>
      <c r="I27">
        <v>2.6</v>
      </c>
      <c r="J27">
        <v>5.7</v>
      </c>
      <c r="K27">
        <v>0</v>
      </c>
      <c r="L27">
        <v>2.4</v>
      </c>
      <c r="M27">
        <v>0</v>
      </c>
    </row>
    <row r="29" spans="1:17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25">
      <c r="A30" t="s">
        <v>0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  <c r="G30" t="s">
        <v>12</v>
      </c>
      <c r="H30" t="s">
        <v>13</v>
      </c>
      <c r="I30" t="s">
        <v>14</v>
      </c>
      <c r="J30" t="s">
        <v>15</v>
      </c>
      <c r="K30" t="s">
        <v>16</v>
      </c>
      <c r="L30" t="s">
        <v>17</v>
      </c>
      <c r="M30" t="s">
        <v>18</v>
      </c>
      <c r="N30" t="s">
        <v>53</v>
      </c>
      <c r="O30" t="s">
        <v>54</v>
      </c>
    </row>
    <row r="31" spans="1:17" x14ac:dyDescent="0.25">
      <c r="A31" t="s">
        <v>19</v>
      </c>
      <c r="B31" s="1" t="str" cm="1">
        <f t="array" ref="B31">IFERROR(_xlfn.LET(_xlpm.result,RANK(_xlfn.XLOOKUP($A31,$A$2:$A$27,_xlfn.XLOOKUP(B$30,$B$1:$M$1,$B$2:$M$27)),$B$2:$M$27),IF(_xlpm.result&gt;150,"",_xlpm.result)),"")</f>
        <v/>
      </c>
      <c r="C31" s="1" cm="1">
        <f t="array" ref="C31">IFERROR(_xlfn.LET(_xlpm.result,RANK(_xlfn.XLOOKUP($A31,$A$2:$A$27,_xlfn.XLOOKUP(C$30,$B$1:$M$1,$B$2:$M$27)),$B$2:$M$27),IF(_xlpm.result&gt;150,"",_xlpm.result)),"")</f>
        <v>122</v>
      </c>
      <c r="D31" s="1" t="str" cm="1">
        <f t="array" ref="D31">IFERROR(_xlfn.LET(_xlpm.result,RANK(_xlfn.XLOOKUP($A31,$A$2:$A$27,_xlfn.XLOOKUP(D$30,$B$1:$M$1,$B$2:$M$27)),$B$2:$M$27),IF(_xlpm.result&gt;150,"",_xlpm.result)),"")</f>
        <v/>
      </c>
      <c r="E31" s="1" t="str" cm="1">
        <f t="array" ref="E31">IFERROR(_xlfn.LET(_xlpm.result,RANK(_xlfn.XLOOKUP($A31,$A$2:$A$27,_xlfn.XLOOKUP(E$30,$B$1:$M$1,$B$2:$M$27)),$B$2:$M$27),IF(_xlpm.result&gt;150,"",_xlpm.result)),"")</f>
        <v/>
      </c>
      <c r="F31" s="1" t="str" cm="1">
        <f t="array" ref="F31">IFERROR(_xlfn.LET(_xlpm.result,RANK(_xlfn.XLOOKUP($A31,$A$2:$A$27,_xlfn.XLOOKUP(F$30,$B$1:$M$1,$B$2:$M$27)),$B$2:$M$27),IF(_xlpm.result&gt;150,"",_xlpm.result)),"")</f>
        <v/>
      </c>
      <c r="G31" s="1" cm="1">
        <f t="array" ref="G31">IFERROR(_xlfn.LET(_xlpm.result,RANK(_xlfn.XLOOKUP($A31,$A$2:$A$27,_xlfn.XLOOKUP(G$30,$B$1:$M$1,$B$2:$M$27)),$B$2:$M$27),IF(_xlpm.result&gt;150,"",_xlpm.result)),"")</f>
        <v>149</v>
      </c>
      <c r="H31" s="1" t="str" cm="1">
        <f t="array" ref="H31">IFERROR(_xlfn.LET(_xlpm.result,RANK(_xlfn.XLOOKUP($A31,$A$2:$A$27,_xlfn.XLOOKUP(H$30,$B$1:$M$1,$B$2:$M$27)),$B$2:$M$27),IF(_xlpm.result&gt;150,"",_xlpm.result)),"")</f>
        <v/>
      </c>
      <c r="I31" s="1" t="str" cm="1">
        <f t="array" ref="I31">IFERROR(_xlfn.LET(_xlpm.result,RANK(_xlfn.XLOOKUP($A31,$A$2:$A$27,_xlfn.XLOOKUP(I$30,$B$1:$M$1,$B$2:$M$27)),$B$2:$M$27),IF(_xlpm.result&gt;150,"",_xlpm.result)),"")</f>
        <v/>
      </c>
      <c r="J31" s="1" t="str" cm="1">
        <f t="array" ref="J31">IFERROR(_xlfn.LET(_xlpm.result,RANK(_xlfn.XLOOKUP($A31,$A$2:$A$27,_xlfn.XLOOKUP(J$30,$B$1:$M$1,$B$2:$M$27)),$B$2:$M$27),IF(_xlpm.result&gt;150,"",_xlpm.result)),"")</f>
        <v/>
      </c>
      <c r="K31" s="1" cm="1">
        <f t="array" ref="K31">IFERROR(_xlfn.LET(_xlpm.result,RANK(_xlfn.XLOOKUP($A31,$A$2:$A$27,_xlfn.XLOOKUP(K$30,$B$1:$M$1,$B$2:$M$27)),$B$2:$M$27),IF(_xlpm.result&gt;150,"",_xlpm.result)),"")</f>
        <v>135</v>
      </c>
      <c r="L31" s="1" cm="1">
        <f t="array" ref="L31">IFERROR(_xlfn.LET(_xlpm.result,RANK(_xlfn.XLOOKUP($A31,$A$2:$A$27,_xlfn.XLOOKUP(L$30,$B$1:$M$1,$B$2:$M$27)),$B$2:$M$27),IF(_xlpm.result&gt;150,"",_xlpm.result)),"")</f>
        <v>47</v>
      </c>
      <c r="M31" s="1" t="str" cm="1">
        <f t="array" ref="M31">IFERROR(_xlfn.LET(_xlpm.result,RANK(_xlfn.XLOOKUP($A31,$A$2:$A$27,_xlfn.XLOOKUP(M$30,$B$1:$M$1,$B$2:$M$27)),$B$2:$M$27),IF(_xlpm.result&gt;150,"",_xlpm.result)),"")</f>
        <v/>
      </c>
      <c r="N31">
        <f t="shared" ref="N31:N56" si="0">COUNT(B31:M31)</f>
        <v>4</v>
      </c>
      <c r="O31" s="10">
        <f t="shared" ref="O31:O56" si="1">MIN(B31:M31)</f>
        <v>47</v>
      </c>
    </row>
    <row r="32" spans="1:17" x14ac:dyDescent="0.25">
      <c r="A32" t="s">
        <v>20</v>
      </c>
      <c r="B32" s="1" t="str" cm="1">
        <f t="array" ref="B32">IFERROR(_xlfn.LET(_xlpm.result,RANK(_xlfn.XLOOKUP($A32,$A$2:$A$27,_xlfn.XLOOKUP(B$30,$B$1:$M$1,$B$2:$M$27)),$B$2:$M$27),IF(_xlpm.result&gt;150,"",_xlpm.result)),"")</f>
        <v/>
      </c>
      <c r="C32" s="1" cm="1">
        <f t="array" ref="C32">IFERROR(_xlfn.LET(_xlpm.result,RANK(_xlfn.XLOOKUP($A32,$A$2:$A$27,_xlfn.XLOOKUP(C$30,$B$1:$M$1,$B$2:$M$27)),$B$2:$M$27),IF(_xlpm.result&gt;150,"",_xlpm.result)),"")</f>
        <v>79</v>
      </c>
      <c r="D32" s="1" cm="1">
        <f t="array" ref="D32">IFERROR(_xlfn.LET(_xlpm.result,RANK(_xlfn.XLOOKUP($A32,$A$2:$A$27,_xlfn.XLOOKUP(D$30,$B$1:$M$1,$B$2:$M$27)),$B$2:$M$27),IF(_xlpm.result&gt;150,"",_xlpm.result)),"")</f>
        <v>136</v>
      </c>
      <c r="E32" s="1" t="str" cm="1">
        <f t="array" ref="E32">IFERROR(_xlfn.LET(_xlpm.result,RANK(_xlfn.XLOOKUP($A32,$A$2:$A$27,_xlfn.XLOOKUP(E$30,$B$1:$M$1,$B$2:$M$27)),$B$2:$M$27),IF(_xlpm.result&gt;150,"",_xlpm.result)),"")</f>
        <v/>
      </c>
      <c r="F32" s="1" cm="1">
        <f t="array" ref="F32">IFERROR(_xlfn.LET(_xlpm.result,RANK(_xlfn.XLOOKUP($A32,$A$2:$A$27,_xlfn.XLOOKUP(F$30,$B$1:$M$1,$B$2:$M$27)),$B$2:$M$27),IF(_xlpm.result&gt;150,"",_xlpm.result)),"")</f>
        <v>70</v>
      </c>
      <c r="G32" s="1" cm="1">
        <f t="array" ref="G32">IFERROR(_xlfn.LET(_xlpm.result,RANK(_xlfn.XLOOKUP($A32,$A$2:$A$27,_xlfn.XLOOKUP(G$30,$B$1:$M$1,$B$2:$M$27)),$B$2:$M$27),IF(_xlpm.result&gt;150,"",_xlpm.result)),"")</f>
        <v>39</v>
      </c>
      <c r="H32" s="1" cm="1">
        <f t="array" ref="H32">IFERROR(_xlfn.LET(_xlpm.result,RANK(_xlfn.XLOOKUP($A32,$A$2:$A$27,_xlfn.XLOOKUP(H$30,$B$1:$M$1,$B$2:$M$27)),$B$2:$M$27),IF(_xlpm.result&gt;150,"",_xlpm.result)),"")</f>
        <v>50</v>
      </c>
      <c r="I32" s="1" t="str" cm="1">
        <f t="array" ref="I32">IFERROR(_xlfn.LET(_xlpm.result,RANK(_xlfn.XLOOKUP($A32,$A$2:$A$27,_xlfn.XLOOKUP(I$30,$B$1:$M$1,$B$2:$M$27)),$B$2:$M$27),IF(_xlpm.result&gt;150,"",_xlpm.result)),"")</f>
        <v/>
      </c>
      <c r="J32" s="1" t="str" cm="1">
        <f t="array" ref="J32">IFERROR(_xlfn.LET(_xlpm.result,RANK(_xlfn.XLOOKUP($A32,$A$2:$A$27,_xlfn.XLOOKUP(J$30,$B$1:$M$1,$B$2:$M$27)),$B$2:$M$27),IF(_xlpm.result&gt;150,"",_xlpm.result)),"")</f>
        <v/>
      </c>
      <c r="K32" s="1" cm="1">
        <f t="array" ref="K32">IFERROR(_xlfn.LET(_xlpm.result,RANK(_xlfn.XLOOKUP($A32,$A$2:$A$27,_xlfn.XLOOKUP(K$30,$B$1:$M$1,$B$2:$M$27)),$B$2:$M$27),IF(_xlpm.result&gt;150,"",_xlpm.result)),"")</f>
        <v>115</v>
      </c>
      <c r="L32" s="1" t="str" cm="1">
        <f t="array" ref="L32">IFERROR(_xlfn.LET(_xlpm.result,RANK(_xlfn.XLOOKUP($A32,$A$2:$A$27,_xlfn.XLOOKUP(L$30,$B$1:$M$1,$B$2:$M$27)),$B$2:$M$27),IF(_xlpm.result&gt;150,"",_xlpm.result)),"")</f>
        <v/>
      </c>
      <c r="M32" s="1" cm="1">
        <f t="array" ref="M32">IFERROR(_xlfn.LET(_xlpm.result,RANK(_xlfn.XLOOKUP($A32,$A$2:$A$27,_xlfn.XLOOKUP(M$30,$B$1:$M$1,$B$2:$M$27)),$B$2:$M$27),IF(_xlpm.result&gt;150,"",_xlpm.result)),"")</f>
        <v>39</v>
      </c>
      <c r="N32">
        <f t="shared" si="0"/>
        <v>7</v>
      </c>
      <c r="O32" s="10">
        <f t="shared" si="1"/>
        <v>39</v>
      </c>
    </row>
    <row r="33" spans="1:16" x14ac:dyDescent="0.25">
      <c r="A33" t="s">
        <v>22</v>
      </c>
      <c r="B33" s="1" cm="1">
        <f t="array" ref="B33">IFERROR(_xlfn.LET(_xlpm.result,RANK(_xlfn.XLOOKUP($A33,$A$2:$A$27,_xlfn.XLOOKUP(B$30,$B$1:$M$1,$B$2:$M$27)),$B$2:$M$27),IF(_xlpm.result&gt;150,"",_xlpm.result)),"")</f>
        <v>122</v>
      </c>
      <c r="C33" s="1" cm="1">
        <f t="array" ref="C33">IFERROR(_xlfn.LET(_xlpm.result,RANK(_xlfn.XLOOKUP($A33,$A$2:$A$27,_xlfn.XLOOKUP(C$30,$B$1:$M$1,$B$2:$M$27)),$B$2:$M$27),IF(_xlpm.result&gt;150,"",_xlpm.result)),"")</f>
        <v>23</v>
      </c>
      <c r="D33" s="1" t="str" cm="1">
        <f t="array" ref="D33">IFERROR(_xlfn.LET(_xlpm.result,RANK(_xlfn.XLOOKUP($A33,$A$2:$A$27,_xlfn.XLOOKUP(D$30,$B$1:$M$1,$B$2:$M$27)),$B$2:$M$27),IF(_xlpm.result&gt;150,"",_xlpm.result)),"")</f>
        <v/>
      </c>
      <c r="E33" s="1" cm="1">
        <f t="array" ref="E33">IFERROR(_xlfn.LET(_xlpm.result,RANK(_xlfn.XLOOKUP($A33,$A$2:$A$27,_xlfn.XLOOKUP(E$30,$B$1:$M$1,$B$2:$M$27)),$B$2:$M$27),IF(_xlpm.result&gt;150,"",_xlpm.result)),"")</f>
        <v>25</v>
      </c>
      <c r="F33" s="1" cm="1">
        <f t="array" ref="F33">IFERROR(_xlfn.LET(_xlpm.result,RANK(_xlfn.XLOOKUP($A33,$A$2:$A$27,_xlfn.XLOOKUP(F$30,$B$1:$M$1,$B$2:$M$27)),$B$2:$M$27),IF(_xlpm.result&gt;150,"",_xlpm.result)),"")</f>
        <v>101</v>
      </c>
      <c r="G33" s="1" cm="1">
        <f t="array" ref="G33">IFERROR(_xlfn.LET(_xlpm.result,RANK(_xlfn.XLOOKUP($A33,$A$2:$A$27,_xlfn.XLOOKUP(G$30,$B$1:$M$1,$B$2:$M$27)),$B$2:$M$27),IF(_xlpm.result&gt;150,"",_xlpm.result)),"")</f>
        <v>103</v>
      </c>
      <c r="H33" s="1" cm="1">
        <f t="array" ref="H33">IFERROR(_xlfn.LET(_xlpm.result,RANK(_xlfn.XLOOKUP($A33,$A$2:$A$27,_xlfn.XLOOKUP(H$30,$B$1:$M$1,$B$2:$M$27)),$B$2:$M$27),IF(_xlpm.result&gt;150,"",_xlpm.result)),"")</f>
        <v>79</v>
      </c>
      <c r="I33" s="1" cm="1">
        <f t="array" ref="I33">IFERROR(_xlfn.LET(_xlpm.result,RANK(_xlfn.XLOOKUP($A33,$A$2:$A$27,_xlfn.XLOOKUP(I$30,$B$1:$M$1,$B$2:$M$27)),$B$2:$M$27),IF(_xlpm.result&gt;150,"",_xlpm.result)),"")</f>
        <v>6</v>
      </c>
      <c r="J33" s="1" cm="1">
        <f t="array" ref="J33">IFERROR(_xlfn.LET(_xlpm.result,RANK(_xlfn.XLOOKUP($A33,$A$2:$A$27,_xlfn.XLOOKUP(J$30,$B$1:$M$1,$B$2:$M$27)),$B$2:$M$27),IF(_xlpm.result&gt;150,"",_xlpm.result)),"")</f>
        <v>61</v>
      </c>
      <c r="K33" s="1" cm="1">
        <f t="array" ref="K33">IFERROR(_xlfn.LET(_xlpm.result,RANK(_xlfn.XLOOKUP($A33,$A$2:$A$27,_xlfn.XLOOKUP(K$30,$B$1:$M$1,$B$2:$M$27)),$B$2:$M$27),IF(_xlpm.result&gt;150,"",_xlpm.result)),"")</f>
        <v>8</v>
      </c>
      <c r="L33" s="1" cm="1">
        <f t="array" ref="L33">IFERROR(_xlfn.LET(_xlpm.result,RANK(_xlfn.XLOOKUP($A33,$A$2:$A$27,_xlfn.XLOOKUP(L$30,$B$1:$M$1,$B$2:$M$27)),$B$2:$M$27),IF(_xlpm.result&gt;150,"",_xlpm.result)),"")</f>
        <v>131</v>
      </c>
      <c r="M33" s="1" cm="1">
        <f t="array" ref="M33">IFERROR(_xlfn.LET(_xlpm.result,RANK(_xlfn.XLOOKUP($A33,$A$2:$A$27,_xlfn.XLOOKUP(M$30,$B$1:$M$1,$B$2:$M$27)),$B$2:$M$27),IF(_xlpm.result&gt;150,"",_xlpm.result)),"")</f>
        <v>8</v>
      </c>
      <c r="N33">
        <f t="shared" si="0"/>
        <v>11</v>
      </c>
      <c r="O33" s="10">
        <f t="shared" si="1"/>
        <v>6</v>
      </c>
    </row>
    <row r="34" spans="1:16" x14ac:dyDescent="0.25">
      <c r="A34" t="s">
        <v>23</v>
      </c>
      <c r="B34" s="1" cm="1">
        <f t="array" ref="B34">IFERROR(_xlfn.LET(_xlpm.result,RANK(_xlfn.XLOOKUP($A34,$A$2:$A$27,_xlfn.XLOOKUP(B$30,$B$1:$M$1,$B$2:$M$27)),$B$2:$M$27),IF(_xlpm.result&gt;150,"",_xlpm.result)),"")</f>
        <v>92</v>
      </c>
      <c r="C34" s="1" t="str" cm="1">
        <f t="array" ref="C34">IFERROR(_xlfn.LET(_xlpm.result,RANK(_xlfn.XLOOKUP($A34,$A$2:$A$27,_xlfn.XLOOKUP(C$30,$B$1:$M$1,$B$2:$M$27)),$B$2:$M$27),IF(_xlpm.result&gt;150,"",_xlpm.result)),"")</f>
        <v/>
      </c>
      <c r="D34" s="1" t="str" cm="1">
        <f t="array" ref="D34">IFERROR(_xlfn.LET(_xlpm.result,RANK(_xlfn.XLOOKUP($A34,$A$2:$A$27,_xlfn.XLOOKUP(D$30,$B$1:$M$1,$B$2:$M$27)),$B$2:$M$27),IF(_xlpm.result&gt;150,"",_xlpm.result)),"")</f>
        <v/>
      </c>
      <c r="E34" s="1" cm="1">
        <f t="array" ref="E34">IFERROR(_xlfn.LET(_xlpm.result,RANK(_xlfn.XLOOKUP($A34,$A$2:$A$27,_xlfn.XLOOKUP(E$30,$B$1:$M$1,$B$2:$M$27)),$B$2:$M$27),IF(_xlpm.result&gt;150,"",_xlpm.result)),"")</f>
        <v>79</v>
      </c>
      <c r="F34" s="1" t="str" cm="1">
        <f t="array" ref="F34">IFERROR(_xlfn.LET(_xlpm.result,RANK(_xlfn.XLOOKUP($A34,$A$2:$A$27,_xlfn.XLOOKUP(F$30,$B$1:$M$1,$B$2:$M$27)),$B$2:$M$27),IF(_xlpm.result&gt;150,"",_xlpm.result)),"")</f>
        <v/>
      </c>
      <c r="G34" s="1" t="str" cm="1">
        <f t="array" ref="G34">IFERROR(_xlfn.LET(_xlpm.result,RANK(_xlfn.XLOOKUP($A34,$A$2:$A$27,_xlfn.XLOOKUP(G$30,$B$1:$M$1,$B$2:$M$27)),$B$2:$M$27),IF(_xlpm.result&gt;150,"",_xlpm.result)),"")</f>
        <v/>
      </c>
      <c r="H34" s="1" t="str" cm="1">
        <f t="array" ref="H34">IFERROR(_xlfn.LET(_xlpm.result,RANK(_xlfn.XLOOKUP($A34,$A$2:$A$27,_xlfn.XLOOKUP(H$30,$B$1:$M$1,$B$2:$M$27)),$B$2:$M$27),IF(_xlpm.result&gt;150,"",_xlpm.result)),"")</f>
        <v/>
      </c>
      <c r="I34" s="1" cm="1">
        <f t="array" ref="I34">IFERROR(_xlfn.LET(_xlpm.result,RANK(_xlfn.XLOOKUP($A34,$A$2:$A$27,_xlfn.XLOOKUP(I$30,$B$1:$M$1,$B$2:$M$27)),$B$2:$M$27),IF(_xlpm.result&gt;150,"",_xlpm.result)),"")</f>
        <v>122</v>
      </c>
      <c r="J34" s="1" cm="1">
        <f t="array" ref="J34">IFERROR(_xlfn.LET(_xlpm.result,RANK(_xlfn.XLOOKUP($A34,$A$2:$A$27,_xlfn.XLOOKUP(J$30,$B$1:$M$1,$B$2:$M$27)),$B$2:$M$27),IF(_xlpm.result&gt;150,"",_xlpm.result)),"")</f>
        <v>79</v>
      </c>
      <c r="K34" s="1" t="str" cm="1">
        <f t="array" ref="K34">IFERROR(_xlfn.LET(_xlpm.result,RANK(_xlfn.XLOOKUP($A34,$A$2:$A$27,_xlfn.XLOOKUP(K$30,$B$1:$M$1,$B$2:$M$27)),$B$2:$M$27),IF(_xlpm.result&gt;150,"",_xlpm.result)),"")</f>
        <v/>
      </c>
      <c r="L34" s="1" t="str" cm="1">
        <f t="array" ref="L34">IFERROR(_xlfn.LET(_xlpm.result,RANK(_xlfn.XLOOKUP($A34,$A$2:$A$27,_xlfn.XLOOKUP(L$30,$B$1:$M$1,$B$2:$M$27)),$B$2:$M$27),IF(_xlpm.result&gt;150,"",_xlpm.result)),"")</f>
        <v/>
      </c>
      <c r="M34" s="1" t="str" cm="1">
        <f t="array" ref="M34">IFERROR(_xlfn.LET(_xlpm.result,RANK(_xlfn.XLOOKUP($A34,$A$2:$A$27,_xlfn.XLOOKUP(M$30,$B$1:$M$1,$B$2:$M$27)),$B$2:$M$27),IF(_xlpm.result&gt;150,"",_xlpm.result)),"")</f>
        <v/>
      </c>
      <c r="N34">
        <f t="shared" si="0"/>
        <v>4</v>
      </c>
      <c r="O34" s="10">
        <f t="shared" si="1"/>
        <v>79</v>
      </c>
    </row>
    <row r="35" spans="1:16" x14ac:dyDescent="0.25">
      <c r="A35" t="s">
        <v>24</v>
      </c>
      <c r="B35" s="1" cm="1">
        <f t="array" ref="B35">IFERROR(_xlfn.LET(_xlpm.result,RANK(_xlfn.XLOOKUP($A35,$A$2:$A$27,_xlfn.XLOOKUP(B$30,$B$1:$M$1,$B$2:$M$27)),$B$2:$M$27),IF(_xlpm.result&gt;150,"",_xlpm.result)),"")</f>
        <v>43</v>
      </c>
      <c r="C35" s="1" t="str" cm="1">
        <f t="array" ref="C35">IFERROR(_xlfn.LET(_xlpm.result,RANK(_xlfn.XLOOKUP($A35,$A$2:$A$27,_xlfn.XLOOKUP(C$30,$B$1:$M$1,$B$2:$M$27)),$B$2:$M$27),IF(_xlpm.result&gt;150,"",_xlpm.result)),"")</f>
        <v/>
      </c>
      <c r="D35" s="1" cm="1">
        <f t="array" ref="D35">IFERROR(_xlfn.LET(_xlpm.result,RANK(_xlfn.XLOOKUP($A35,$A$2:$A$27,_xlfn.XLOOKUP(D$30,$B$1:$M$1,$B$2:$M$27)),$B$2:$M$27),IF(_xlpm.result&gt;150,"",_xlpm.result)),"")</f>
        <v>41</v>
      </c>
      <c r="E35" s="1" cm="1">
        <f t="array" ref="E35">IFERROR(_xlfn.LET(_xlpm.result,RANK(_xlfn.XLOOKUP($A35,$A$2:$A$27,_xlfn.XLOOKUP(E$30,$B$1:$M$1,$B$2:$M$27)),$B$2:$M$27),IF(_xlpm.result&gt;150,"",_xlpm.result)),"")</f>
        <v>107</v>
      </c>
      <c r="F35" s="1" t="str" cm="1">
        <f t="array" ref="F35">IFERROR(_xlfn.LET(_xlpm.result,RANK(_xlfn.XLOOKUP($A35,$A$2:$A$27,_xlfn.XLOOKUP(F$30,$B$1:$M$1,$B$2:$M$27)),$B$2:$M$27),IF(_xlpm.result&gt;150,"",_xlpm.result)),"")</f>
        <v/>
      </c>
      <c r="G35" s="1" t="str" cm="1">
        <f t="array" ref="G35">IFERROR(_xlfn.LET(_xlpm.result,RANK(_xlfn.XLOOKUP($A35,$A$2:$A$27,_xlfn.XLOOKUP(G$30,$B$1:$M$1,$B$2:$M$27)),$B$2:$M$27),IF(_xlpm.result&gt;150,"",_xlpm.result)),"")</f>
        <v/>
      </c>
      <c r="H35" s="1" t="str" cm="1">
        <f t="array" ref="H35">IFERROR(_xlfn.LET(_xlpm.result,RANK(_xlfn.XLOOKUP($A35,$A$2:$A$27,_xlfn.XLOOKUP(H$30,$B$1:$M$1,$B$2:$M$27)),$B$2:$M$27),IF(_xlpm.result&gt;150,"",_xlpm.result)),"")</f>
        <v/>
      </c>
      <c r="I35" s="1" t="str" cm="1">
        <f t="array" ref="I35">IFERROR(_xlfn.LET(_xlpm.result,RANK(_xlfn.XLOOKUP($A35,$A$2:$A$27,_xlfn.XLOOKUP(I$30,$B$1:$M$1,$B$2:$M$27)),$B$2:$M$27),IF(_xlpm.result&gt;150,"",_xlpm.result)),"")</f>
        <v/>
      </c>
      <c r="J35" s="1" cm="1">
        <f t="array" ref="J35">IFERROR(_xlfn.LET(_xlpm.result,RANK(_xlfn.XLOOKUP($A35,$A$2:$A$27,_xlfn.XLOOKUP(J$30,$B$1:$M$1,$B$2:$M$27)),$B$2:$M$27),IF(_xlpm.result&gt;150,"",_xlpm.result)),"")</f>
        <v>54</v>
      </c>
      <c r="K35" s="1" t="str" cm="1">
        <f t="array" ref="K35">IFERROR(_xlfn.LET(_xlpm.result,RANK(_xlfn.XLOOKUP($A35,$A$2:$A$27,_xlfn.XLOOKUP(K$30,$B$1:$M$1,$B$2:$M$27)),$B$2:$M$27),IF(_xlpm.result&gt;150,"",_xlpm.result)),"")</f>
        <v/>
      </c>
      <c r="L35" s="1" t="str" cm="1">
        <f t="array" ref="L35">IFERROR(_xlfn.LET(_xlpm.result,RANK(_xlfn.XLOOKUP($A35,$A$2:$A$27,_xlfn.XLOOKUP(L$30,$B$1:$M$1,$B$2:$M$27)),$B$2:$M$27),IF(_xlpm.result&gt;150,"",_xlpm.result)),"")</f>
        <v/>
      </c>
      <c r="M35" s="1" t="str" cm="1">
        <f t="array" ref="M35">IFERROR(_xlfn.LET(_xlpm.result,RANK(_xlfn.XLOOKUP($A35,$A$2:$A$27,_xlfn.XLOOKUP(M$30,$B$1:$M$1,$B$2:$M$27)),$B$2:$M$27),IF(_xlpm.result&gt;150,"",_xlpm.result)),"")</f>
        <v/>
      </c>
      <c r="N35">
        <f t="shared" si="0"/>
        <v>4</v>
      </c>
      <c r="O35" s="10">
        <f t="shared" si="1"/>
        <v>41</v>
      </c>
    </row>
    <row r="36" spans="1:16" x14ac:dyDescent="0.25">
      <c r="A36" t="s">
        <v>25</v>
      </c>
      <c r="B36" s="1" t="str" cm="1">
        <f t="array" ref="B36">IFERROR(_xlfn.LET(_xlpm.result,RANK(_xlfn.XLOOKUP($A36,$A$2:$A$27,_xlfn.XLOOKUP(B$30,$B$1:$M$1,$B$2:$M$27)),$B$2:$M$27),IF(_xlpm.result&gt;150,"",_xlpm.result)),"")</f>
        <v/>
      </c>
      <c r="C36" s="1" cm="1">
        <f t="array" ref="C36">IFERROR(_xlfn.LET(_xlpm.result,RANK(_xlfn.XLOOKUP($A36,$A$2:$A$27,_xlfn.XLOOKUP(C$30,$B$1:$M$1,$B$2:$M$27)),$B$2:$M$27),IF(_xlpm.result&gt;150,"",_xlpm.result)),"")</f>
        <v>136</v>
      </c>
      <c r="D36" s="1" t="str" cm="1">
        <f t="array" ref="D36">IFERROR(_xlfn.LET(_xlpm.result,RANK(_xlfn.XLOOKUP($A36,$A$2:$A$27,_xlfn.XLOOKUP(D$30,$B$1:$M$1,$B$2:$M$27)),$B$2:$M$27),IF(_xlpm.result&gt;150,"",_xlpm.result)),"")</f>
        <v/>
      </c>
      <c r="E36" s="1" cm="1">
        <f t="array" ref="E36">IFERROR(_xlfn.LET(_xlpm.result,RANK(_xlfn.XLOOKUP($A36,$A$2:$A$27,_xlfn.XLOOKUP(E$30,$B$1:$M$1,$B$2:$M$27)),$B$2:$M$27),IF(_xlpm.result&gt;150,"",_xlpm.result)),"")</f>
        <v>122</v>
      </c>
      <c r="F36" s="1" t="str" cm="1">
        <f t="array" ref="F36">IFERROR(_xlfn.LET(_xlpm.result,RANK(_xlfn.XLOOKUP($A36,$A$2:$A$27,_xlfn.XLOOKUP(F$30,$B$1:$M$1,$B$2:$M$27)),$B$2:$M$27),IF(_xlpm.result&gt;150,"",_xlpm.result)),"")</f>
        <v/>
      </c>
      <c r="G36" s="1" t="str" cm="1">
        <f t="array" ref="G36">IFERROR(_xlfn.LET(_xlpm.result,RANK(_xlfn.XLOOKUP($A36,$A$2:$A$27,_xlfn.XLOOKUP(G$30,$B$1:$M$1,$B$2:$M$27)),$B$2:$M$27),IF(_xlpm.result&gt;150,"",_xlpm.result)),"")</f>
        <v/>
      </c>
      <c r="H36" s="1" t="str" cm="1">
        <f t="array" ref="H36">IFERROR(_xlfn.LET(_xlpm.result,RANK(_xlfn.XLOOKUP($A36,$A$2:$A$27,_xlfn.XLOOKUP(H$30,$B$1:$M$1,$B$2:$M$27)),$B$2:$M$27),IF(_xlpm.result&gt;150,"",_xlpm.result)),"")</f>
        <v/>
      </c>
      <c r="I36" s="1" t="str" cm="1">
        <f t="array" ref="I36">IFERROR(_xlfn.LET(_xlpm.result,RANK(_xlfn.XLOOKUP($A36,$A$2:$A$27,_xlfn.XLOOKUP(I$30,$B$1:$M$1,$B$2:$M$27)),$B$2:$M$27),IF(_xlpm.result&gt;150,"",_xlpm.result)),"")</f>
        <v/>
      </c>
      <c r="J36" s="1" t="str" cm="1">
        <f t="array" ref="J36">IFERROR(_xlfn.LET(_xlpm.result,RANK(_xlfn.XLOOKUP($A36,$A$2:$A$27,_xlfn.XLOOKUP(J$30,$B$1:$M$1,$B$2:$M$27)),$B$2:$M$27),IF(_xlpm.result&gt;150,"",_xlpm.result)),"")</f>
        <v/>
      </c>
      <c r="K36" s="1" t="str" cm="1">
        <f t="array" ref="K36">IFERROR(_xlfn.LET(_xlpm.result,RANK(_xlfn.XLOOKUP($A36,$A$2:$A$27,_xlfn.XLOOKUP(K$30,$B$1:$M$1,$B$2:$M$27)),$B$2:$M$27),IF(_xlpm.result&gt;150,"",_xlpm.result)),"")</f>
        <v/>
      </c>
      <c r="L36" s="1" t="str" cm="1">
        <f t="array" ref="L36">IFERROR(_xlfn.LET(_xlpm.result,RANK(_xlfn.XLOOKUP($A36,$A$2:$A$27,_xlfn.XLOOKUP(L$30,$B$1:$M$1,$B$2:$M$27)),$B$2:$M$27),IF(_xlpm.result&gt;150,"",_xlpm.result)),"")</f>
        <v/>
      </c>
      <c r="M36" s="1" cm="1">
        <f t="array" ref="M36">IFERROR(_xlfn.LET(_xlpm.result,RANK(_xlfn.XLOOKUP($A36,$A$2:$A$27,_xlfn.XLOOKUP(M$30,$B$1:$M$1,$B$2:$M$27)),$B$2:$M$27),IF(_xlpm.result&gt;150,"",_xlpm.result)),"")</f>
        <v>136</v>
      </c>
      <c r="N36">
        <f t="shared" si="0"/>
        <v>3</v>
      </c>
      <c r="O36" s="10">
        <f t="shared" si="1"/>
        <v>122</v>
      </c>
    </row>
    <row r="37" spans="1:16" x14ac:dyDescent="0.25">
      <c r="A37" t="s">
        <v>26</v>
      </c>
      <c r="B37" s="1" t="str" cm="1">
        <f t="array" ref="B37">IFERROR(_xlfn.LET(_xlpm.result,RANK(_xlfn.XLOOKUP($A37,$A$2:$A$27,_xlfn.XLOOKUP(B$30,$B$1:$M$1,$B$2:$M$27)),$B$2:$M$27),IF(_xlpm.result&gt;150,"",_xlpm.result)),"")</f>
        <v/>
      </c>
      <c r="C37" s="1" t="str" cm="1">
        <f t="array" ref="C37">IFERROR(_xlfn.LET(_xlpm.result,RANK(_xlfn.XLOOKUP($A37,$A$2:$A$27,_xlfn.XLOOKUP(C$30,$B$1:$M$1,$B$2:$M$27)),$B$2:$M$27),IF(_xlpm.result&gt;150,"",_xlpm.result)),"")</f>
        <v/>
      </c>
      <c r="D37" s="1" cm="1">
        <f t="array" ref="D37">IFERROR(_xlfn.LET(_xlpm.result,RANK(_xlfn.XLOOKUP($A37,$A$2:$A$27,_xlfn.XLOOKUP(D$30,$B$1:$M$1,$B$2:$M$27)),$B$2:$M$27),IF(_xlpm.result&gt;150,"",_xlpm.result)),"")</f>
        <v>122</v>
      </c>
      <c r="E37" s="1" cm="1">
        <f t="array" ref="E37">IFERROR(_xlfn.LET(_xlpm.result,RANK(_xlfn.XLOOKUP($A37,$A$2:$A$27,_xlfn.XLOOKUP(E$30,$B$1:$M$1,$B$2:$M$27)),$B$2:$M$27),IF(_xlpm.result&gt;150,"",_xlpm.result)),"")</f>
        <v>122</v>
      </c>
      <c r="F37" s="1" t="str" cm="1">
        <f t="array" ref="F37">IFERROR(_xlfn.LET(_xlpm.result,RANK(_xlfn.XLOOKUP($A37,$A$2:$A$27,_xlfn.XLOOKUP(F$30,$B$1:$M$1,$B$2:$M$27)),$B$2:$M$27),IF(_xlpm.result&gt;150,"",_xlpm.result)),"")</f>
        <v/>
      </c>
      <c r="G37" s="1" t="str" cm="1">
        <f t="array" ref="G37">IFERROR(_xlfn.LET(_xlpm.result,RANK(_xlfn.XLOOKUP($A37,$A$2:$A$27,_xlfn.XLOOKUP(G$30,$B$1:$M$1,$B$2:$M$27)),$B$2:$M$27),IF(_xlpm.result&gt;150,"",_xlpm.result)),"")</f>
        <v/>
      </c>
      <c r="H37" s="1" t="str" cm="1">
        <f t="array" ref="H37">IFERROR(_xlfn.LET(_xlpm.result,RANK(_xlfn.XLOOKUP($A37,$A$2:$A$27,_xlfn.XLOOKUP(H$30,$B$1:$M$1,$B$2:$M$27)),$B$2:$M$27),IF(_xlpm.result&gt;150,"",_xlpm.result)),"")</f>
        <v/>
      </c>
      <c r="I37" s="1" cm="1">
        <f t="array" ref="I37">IFERROR(_xlfn.LET(_xlpm.result,RANK(_xlfn.XLOOKUP($A37,$A$2:$A$27,_xlfn.XLOOKUP(I$30,$B$1:$M$1,$B$2:$M$27)),$B$2:$M$27),IF(_xlpm.result&gt;150,"",_xlpm.result)),"")</f>
        <v>73</v>
      </c>
      <c r="J37" s="1" t="str" cm="1">
        <f t="array" ref="J37">IFERROR(_xlfn.LET(_xlpm.result,RANK(_xlfn.XLOOKUP($A37,$A$2:$A$27,_xlfn.XLOOKUP(J$30,$B$1:$M$1,$B$2:$M$27)),$B$2:$M$27),IF(_xlpm.result&gt;150,"",_xlpm.result)),"")</f>
        <v/>
      </c>
      <c r="K37" s="1" t="str" cm="1">
        <f t="array" ref="K37">IFERROR(_xlfn.LET(_xlpm.result,RANK(_xlfn.XLOOKUP($A37,$A$2:$A$27,_xlfn.XLOOKUP(K$30,$B$1:$M$1,$B$2:$M$27)),$B$2:$M$27),IF(_xlpm.result&gt;150,"",_xlpm.result)),"")</f>
        <v/>
      </c>
      <c r="L37" s="1" t="str" cm="1">
        <f t="array" ref="L37">IFERROR(_xlfn.LET(_xlpm.result,RANK(_xlfn.XLOOKUP($A37,$A$2:$A$27,_xlfn.XLOOKUP(L$30,$B$1:$M$1,$B$2:$M$27)),$B$2:$M$27),IF(_xlpm.result&gt;150,"",_xlpm.result)),"")</f>
        <v/>
      </c>
      <c r="M37" s="1" cm="1">
        <f t="array" ref="M37">IFERROR(_xlfn.LET(_xlpm.result,RANK(_xlfn.XLOOKUP($A37,$A$2:$A$27,_xlfn.XLOOKUP(M$30,$B$1:$M$1,$B$2:$M$27)),$B$2:$M$27),IF(_xlpm.result&gt;150,"",_xlpm.result)),"")</f>
        <v>111</v>
      </c>
      <c r="N37">
        <f t="shared" si="0"/>
        <v>4</v>
      </c>
      <c r="O37" s="10">
        <f t="shared" si="1"/>
        <v>73</v>
      </c>
    </row>
    <row r="38" spans="1:16" x14ac:dyDescent="0.25">
      <c r="A38" t="s">
        <v>27</v>
      </c>
      <c r="B38" s="1" t="str" cm="1">
        <f t="array" ref="B38">IFERROR(_xlfn.LET(_xlpm.result,RANK(_xlfn.XLOOKUP($A38,$A$2:$A$27,_xlfn.XLOOKUP(B$30,$B$1:$M$1,$B$2:$M$27)),$B$2:$M$27),IF(_xlpm.result&gt;150,"",_xlpm.result)),"")</f>
        <v/>
      </c>
      <c r="C38" s="1" cm="1">
        <f t="array" ref="C38">IFERROR(_xlfn.LET(_xlpm.result,RANK(_xlfn.XLOOKUP($A38,$A$2:$A$27,_xlfn.XLOOKUP(C$30,$B$1:$M$1,$B$2:$M$27)),$B$2:$M$27),IF(_xlpm.result&gt;150,"",_xlpm.result)),"")</f>
        <v>141</v>
      </c>
      <c r="D38" s="1" cm="1">
        <f t="array" ref="D38">IFERROR(_xlfn.LET(_xlpm.result,RANK(_xlfn.XLOOKUP($A38,$A$2:$A$27,_xlfn.XLOOKUP(D$30,$B$1:$M$1,$B$2:$M$27)),$B$2:$M$27),IF(_xlpm.result&gt;150,"",_xlpm.result)),"")</f>
        <v>73</v>
      </c>
      <c r="E38" s="1" cm="1">
        <f t="array" ref="E38">IFERROR(_xlfn.LET(_xlpm.result,RANK(_xlfn.XLOOKUP($A38,$A$2:$A$27,_xlfn.XLOOKUP(E$30,$B$1:$M$1,$B$2:$M$27)),$B$2:$M$27),IF(_xlpm.result&gt;150,"",_xlpm.result)),"")</f>
        <v>122</v>
      </c>
      <c r="F38" s="1" cm="1">
        <f t="array" ref="F38">IFERROR(_xlfn.LET(_xlpm.result,RANK(_xlfn.XLOOKUP($A38,$A$2:$A$27,_xlfn.XLOOKUP(F$30,$B$1:$M$1,$B$2:$M$27)),$B$2:$M$27),IF(_xlpm.result&gt;150,"",_xlpm.result)),"")</f>
        <v>43</v>
      </c>
      <c r="G38" s="1" t="str" cm="1">
        <f t="array" ref="G38">IFERROR(_xlfn.LET(_xlpm.result,RANK(_xlfn.XLOOKUP($A38,$A$2:$A$27,_xlfn.XLOOKUP(G$30,$B$1:$M$1,$B$2:$M$27)),$B$2:$M$27),IF(_xlpm.result&gt;150,"",_xlpm.result)),"")</f>
        <v/>
      </c>
      <c r="H38" s="1" t="str" cm="1">
        <f t="array" ref="H38">IFERROR(_xlfn.LET(_xlpm.result,RANK(_xlfn.XLOOKUP($A38,$A$2:$A$27,_xlfn.XLOOKUP(H$30,$B$1:$M$1,$B$2:$M$27)),$B$2:$M$27),IF(_xlpm.result&gt;150,"",_xlpm.result)),"")</f>
        <v/>
      </c>
      <c r="I38" s="1" t="str" cm="1">
        <f t="array" ref="I38">IFERROR(_xlfn.LET(_xlpm.result,RANK(_xlfn.XLOOKUP($A38,$A$2:$A$27,_xlfn.XLOOKUP(I$30,$B$1:$M$1,$B$2:$M$27)),$B$2:$M$27),IF(_xlpm.result&gt;150,"",_xlpm.result)),"")</f>
        <v/>
      </c>
      <c r="J38" s="1" cm="1">
        <f t="array" ref="J38">IFERROR(_xlfn.LET(_xlpm.result,RANK(_xlfn.XLOOKUP($A38,$A$2:$A$27,_xlfn.XLOOKUP(J$30,$B$1:$M$1,$B$2:$M$27)),$B$2:$M$27),IF(_xlpm.result&gt;150,"",_xlpm.result)),"")</f>
        <v>119</v>
      </c>
      <c r="K38" s="1" cm="1">
        <f t="array" ref="K38">IFERROR(_xlfn.LET(_xlpm.result,RANK(_xlfn.XLOOKUP($A38,$A$2:$A$27,_xlfn.XLOOKUP(K$30,$B$1:$M$1,$B$2:$M$27)),$B$2:$M$27),IF(_xlpm.result&gt;150,"",_xlpm.result)),"")</f>
        <v>133</v>
      </c>
      <c r="L38" s="1" t="str" cm="1">
        <f t="array" ref="L38">IFERROR(_xlfn.LET(_xlpm.result,RANK(_xlfn.XLOOKUP($A38,$A$2:$A$27,_xlfn.XLOOKUP(L$30,$B$1:$M$1,$B$2:$M$27)),$B$2:$M$27),IF(_xlpm.result&gt;150,"",_xlpm.result)),"")</f>
        <v/>
      </c>
      <c r="M38" s="1" cm="1">
        <f t="array" ref="M38">IFERROR(_xlfn.LET(_xlpm.result,RANK(_xlfn.XLOOKUP($A38,$A$2:$A$27,_xlfn.XLOOKUP(M$30,$B$1:$M$1,$B$2:$M$27)),$B$2:$M$27),IF(_xlpm.result&gt;150,"",_xlpm.result)),"")</f>
        <v>62</v>
      </c>
      <c r="N38">
        <f t="shared" si="0"/>
        <v>7</v>
      </c>
      <c r="O38" s="10">
        <f t="shared" si="1"/>
        <v>43</v>
      </c>
    </row>
    <row r="39" spans="1:16" x14ac:dyDescent="0.25">
      <c r="A39" t="s">
        <v>30</v>
      </c>
      <c r="B39" s="1" t="str" cm="1">
        <f t="array" ref="B39">IFERROR(_xlfn.LET(_xlpm.result,RANK(_xlfn.XLOOKUP($A39,$A$2:$A$27,_xlfn.XLOOKUP(B$30,$B$1:$M$1,$B$2:$M$27)),$B$2:$M$27),IF(_xlpm.result&gt;150,"",_xlpm.result)),"")</f>
        <v/>
      </c>
      <c r="C39" s="1" t="str" cm="1">
        <f t="array" ref="C39">IFERROR(_xlfn.LET(_xlpm.result,RANK(_xlfn.XLOOKUP($A39,$A$2:$A$27,_xlfn.XLOOKUP(C$30,$B$1:$M$1,$B$2:$M$27)),$B$2:$M$27),IF(_xlpm.result&gt;150,"",_xlpm.result)),"")</f>
        <v/>
      </c>
      <c r="D39" s="1" t="str" cm="1">
        <f t="array" ref="D39">IFERROR(_xlfn.LET(_xlpm.result,RANK(_xlfn.XLOOKUP($A39,$A$2:$A$27,_xlfn.XLOOKUP(D$30,$B$1:$M$1,$B$2:$M$27)),$B$2:$M$27),IF(_xlpm.result&gt;150,"",_xlpm.result)),"")</f>
        <v/>
      </c>
      <c r="E39" s="1" t="str" cm="1">
        <f t="array" ref="E39">IFERROR(_xlfn.LET(_xlpm.result,RANK(_xlfn.XLOOKUP($A39,$A$2:$A$27,_xlfn.XLOOKUP(E$30,$B$1:$M$1,$B$2:$M$27)),$B$2:$M$27),IF(_xlpm.result&gt;150,"",_xlpm.result)),"")</f>
        <v/>
      </c>
      <c r="F39" s="1" t="str" cm="1">
        <f t="array" ref="F39">IFERROR(_xlfn.LET(_xlpm.result,RANK(_xlfn.XLOOKUP($A39,$A$2:$A$27,_xlfn.XLOOKUP(F$30,$B$1:$M$1,$B$2:$M$27)),$B$2:$M$27),IF(_xlpm.result&gt;150,"",_xlpm.result)),"")</f>
        <v/>
      </c>
      <c r="G39" s="1" t="str" cm="1">
        <f t="array" ref="G39">IFERROR(_xlfn.LET(_xlpm.result,RANK(_xlfn.XLOOKUP($A39,$A$2:$A$27,_xlfn.XLOOKUP(G$30,$B$1:$M$1,$B$2:$M$27)),$B$2:$M$27),IF(_xlpm.result&gt;150,"",_xlpm.result)),"")</f>
        <v/>
      </c>
      <c r="H39" s="1" t="str" cm="1">
        <f t="array" ref="H39">IFERROR(_xlfn.LET(_xlpm.result,RANK(_xlfn.XLOOKUP($A39,$A$2:$A$27,_xlfn.XLOOKUP(H$30,$B$1:$M$1,$B$2:$M$27)),$B$2:$M$27),IF(_xlpm.result&gt;150,"",_xlpm.result)),"")</f>
        <v/>
      </c>
      <c r="I39" s="1" t="str" cm="1">
        <f t="array" ref="I39">IFERROR(_xlfn.LET(_xlpm.result,RANK(_xlfn.XLOOKUP($A39,$A$2:$A$27,_xlfn.XLOOKUP(I$30,$B$1:$M$1,$B$2:$M$27)),$B$2:$M$27),IF(_xlpm.result&gt;150,"",_xlpm.result)),"")</f>
        <v/>
      </c>
      <c r="J39" s="1" t="str" cm="1">
        <f t="array" ref="J39">IFERROR(_xlfn.LET(_xlpm.result,RANK(_xlfn.XLOOKUP($A39,$A$2:$A$27,_xlfn.XLOOKUP(J$30,$B$1:$M$1,$B$2:$M$27)),$B$2:$M$27),IF(_xlpm.result&gt;150,"",_xlpm.result)),"")</f>
        <v/>
      </c>
      <c r="K39" s="1" t="str" cm="1">
        <f t="array" ref="K39">IFERROR(_xlfn.LET(_xlpm.result,RANK(_xlfn.XLOOKUP($A39,$A$2:$A$27,_xlfn.XLOOKUP(K$30,$B$1:$M$1,$B$2:$M$27)),$B$2:$M$27),IF(_xlpm.result&gt;150,"",_xlpm.result)),"")</f>
        <v/>
      </c>
      <c r="L39" s="1" t="str" cm="1">
        <f t="array" ref="L39">IFERROR(_xlfn.LET(_xlpm.result,RANK(_xlfn.XLOOKUP($A39,$A$2:$A$27,_xlfn.XLOOKUP(L$30,$B$1:$M$1,$B$2:$M$27)),$B$2:$M$27),IF(_xlpm.result&gt;150,"",_xlpm.result)),"")</f>
        <v/>
      </c>
      <c r="M39" s="1" t="str" cm="1">
        <f t="array" ref="M39">IFERROR(_xlfn.LET(_xlpm.result,RANK(_xlfn.XLOOKUP($A39,$A$2:$A$27,_xlfn.XLOOKUP(M$30,$B$1:$M$1,$B$2:$M$27)),$B$2:$M$27),IF(_xlpm.result&gt;150,"",_xlpm.result)),"")</f>
        <v/>
      </c>
      <c r="N39">
        <f t="shared" si="0"/>
        <v>0</v>
      </c>
      <c r="O39" s="10">
        <f t="shared" si="1"/>
        <v>0</v>
      </c>
    </row>
    <row r="40" spans="1:16" s="16" customFormat="1" x14ac:dyDescent="0.25">
      <c r="A40" t="s">
        <v>33</v>
      </c>
      <c r="B40" s="1" t="str" cm="1">
        <f t="array" ref="B40">IFERROR(_xlfn.LET(_xlpm.result,RANK(_xlfn.XLOOKUP($A40,$A$2:$A$27,_xlfn.XLOOKUP(B$30,$B$1:$M$1,$B$2:$M$27)),$B$2:$M$27),IF(_xlpm.result&gt;150,"",_xlpm.result)),"")</f>
        <v/>
      </c>
      <c r="C40" s="1" cm="1">
        <f t="array" ref="C40">IFERROR(_xlfn.LET(_xlpm.result,RANK(_xlfn.XLOOKUP($A40,$A$2:$A$27,_xlfn.XLOOKUP(C$30,$B$1:$M$1,$B$2:$M$27)),$B$2:$M$27),IF(_xlpm.result&gt;150,"",_xlpm.result)),"")</f>
        <v>122</v>
      </c>
      <c r="D40" s="1" cm="1">
        <f t="array" ref="D40">IFERROR(_xlfn.LET(_xlpm.result,RANK(_xlfn.XLOOKUP($A40,$A$2:$A$27,_xlfn.XLOOKUP(D$30,$B$1:$M$1,$B$2:$M$27)),$B$2:$M$27),IF(_xlpm.result&gt;150,"",_xlpm.result)),"")</f>
        <v>57</v>
      </c>
      <c r="E40" s="1" t="str" cm="1">
        <f t="array" ref="E40">IFERROR(_xlfn.LET(_xlpm.result,RANK(_xlfn.XLOOKUP($A40,$A$2:$A$27,_xlfn.XLOOKUP(E$30,$B$1:$M$1,$B$2:$M$27)),$B$2:$M$27),IF(_xlpm.result&gt;150,"",_xlpm.result)),"")</f>
        <v/>
      </c>
      <c r="F40" s="1" t="str" cm="1">
        <f t="array" ref="F40">IFERROR(_xlfn.LET(_xlpm.result,RANK(_xlfn.XLOOKUP($A40,$A$2:$A$27,_xlfn.XLOOKUP(F$30,$B$1:$M$1,$B$2:$M$27)),$B$2:$M$27),IF(_xlpm.result&gt;150,"",_xlpm.result)),"")</f>
        <v/>
      </c>
      <c r="G40" s="1" cm="1">
        <f t="array" ref="G40">IFERROR(_xlfn.LET(_xlpm.result,RANK(_xlfn.XLOOKUP($A40,$A$2:$A$27,_xlfn.XLOOKUP(G$30,$B$1:$M$1,$B$2:$M$27)),$B$2:$M$27),IF(_xlpm.result&gt;150,"",_xlpm.result)),"")</f>
        <v>104</v>
      </c>
      <c r="H40" s="1" cm="1">
        <f t="array" ref="H40">IFERROR(_xlfn.LET(_xlpm.result,RANK(_xlfn.XLOOKUP($A40,$A$2:$A$27,_xlfn.XLOOKUP(H$30,$B$1:$M$1,$B$2:$M$27)),$B$2:$M$27),IF(_xlpm.result&gt;150,"",_xlpm.result)),"")</f>
        <v>13</v>
      </c>
      <c r="I40" s="1" t="str" cm="1">
        <f t="array" ref="I40">IFERROR(_xlfn.LET(_xlpm.result,RANK(_xlfn.XLOOKUP($A40,$A$2:$A$27,_xlfn.XLOOKUP(I$30,$B$1:$M$1,$B$2:$M$27)),$B$2:$M$27),IF(_xlpm.result&gt;150,"",_xlpm.result)),"")</f>
        <v/>
      </c>
      <c r="J40" s="1" cm="1">
        <f t="array" ref="J40">IFERROR(_xlfn.LET(_xlpm.result,RANK(_xlfn.XLOOKUP($A40,$A$2:$A$27,_xlfn.XLOOKUP(J$30,$B$1:$M$1,$B$2:$M$27)),$B$2:$M$27),IF(_xlpm.result&gt;150,"",_xlpm.result)),"")</f>
        <v>36</v>
      </c>
      <c r="K40" s="1" t="str" cm="1">
        <f t="array" ref="K40">IFERROR(_xlfn.LET(_xlpm.result,RANK(_xlfn.XLOOKUP($A40,$A$2:$A$27,_xlfn.XLOOKUP(K$30,$B$1:$M$1,$B$2:$M$27)),$B$2:$M$27),IF(_xlpm.result&gt;150,"",_xlpm.result)),"")</f>
        <v/>
      </c>
      <c r="L40" s="1" t="str" cm="1">
        <f t="array" ref="L40">IFERROR(_xlfn.LET(_xlpm.result,RANK(_xlfn.XLOOKUP($A40,$A$2:$A$27,_xlfn.XLOOKUP(L$30,$B$1:$M$1,$B$2:$M$27)),$B$2:$M$27),IF(_xlpm.result&gt;150,"",_xlpm.result)),"")</f>
        <v/>
      </c>
      <c r="M40" s="1" cm="1">
        <f t="array" ref="M40">IFERROR(_xlfn.LET(_xlpm.result,RANK(_xlfn.XLOOKUP($A40,$A$2:$A$27,_xlfn.XLOOKUP(M$30,$B$1:$M$1,$B$2:$M$27)),$B$2:$M$27),IF(_xlpm.result&gt;150,"",_xlpm.result)),"")</f>
        <v>13</v>
      </c>
      <c r="N40">
        <f t="shared" si="0"/>
        <v>6</v>
      </c>
      <c r="O40" s="10">
        <f t="shared" si="1"/>
        <v>13</v>
      </c>
      <c r="P40">
        <v>14</v>
      </c>
    </row>
    <row r="41" spans="1:16" x14ac:dyDescent="0.25">
      <c r="A41" t="s">
        <v>34</v>
      </c>
      <c r="B41" s="1" cm="1">
        <f t="array" ref="B41">IFERROR(_xlfn.LET(_xlpm.result,RANK(_xlfn.XLOOKUP($A41,$A$2:$A$27,_xlfn.XLOOKUP(B$30,$B$1:$M$1,$B$2:$M$27)),$B$2:$M$27),IF(_xlpm.result&gt;150,"",_xlpm.result)),"")</f>
        <v>2</v>
      </c>
      <c r="C41" s="1" cm="1">
        <f t="array" ref="C41">IFERROR(_xlfn.LET(_xlpm.result,RANK(_xlfn.XLOOKUP($A41,$A$2:$A$27,_xlfn.XLOOKUP(C$30,$B$1:$M$1,$B$2:$M$27)),$B$2:$M$27),IF(_xlpm.result&gt;150,"",_xlpm.result)),"")</f>
        <v>63</v>
      </c>
      <c r="D41" s="1" cm="1">
        <f t="array" ref="D41">IFERROR(_xlfn.LET(_xlpm.result,RANK(_xlfn.XLOOKUP($A41,$A$2:$A$27,_xlfn.XLOOKUP(D$30,$B$1:$M$1,$B$2:$M$27)),$B$2:$M$27),IF(_xlpm.result&gt;150,"",_xlpm.result)),"")</f>
        <v>59</v>
      </c>
      <c r="E41" s="1" cm="1">
        <f t="array" ref="E41">IFERROR(_xlfn.LET(_xlpm.result,RANK(_xlfn.XLOOKUP($A41,$A$2:$A$27,_xlfn.XLOOKUP(E$30,$B$1:$M$1,$B$2:$M$27)),$B$2:$M$27),IF(_xlpm.result&gt;150,"",_xlpm.result)),"")</f>
        <v>122</v>
      </c>
      <c r="F41" s="1" cm="1">
        <f t="array" ref="F41">IFERROR(_xlfn.LET(_xlpm.result,RANK(_xlfn.XLOOKUP($A41,$A$2:$A$27,_xlfn.XLOOKUP(F$30,$B$1:$M$1,$B$2:$M$27)),$B$2:$M$27),IF(_xlpm.result&gt;150,"",_xlpm.result)),"")</f>
        <v>51</v>
      </c>
      <c r="G41" s="1" cm="1">
        <f t="array" ref="G41">IFERROR(_xlfn.LET(_xlpm.result,RANK(_xlfn.XLOOKUP($A41,$A$2:$A$27,_xlfn.XLOOKUP(G$30,$B$1:$M$1,$B$2:$M$27)),$B$2:$M$27),IF(_xlpm.result&gt;150,"",_xlpm.result)),"")</f>
        <v>58</v>
      </c>
      <c r="H41" s="1" cm="1">
        <f t="array" ref="H41">IFERROR(_xlfn.LET(_xlpm.result,RANK(_xlfn.XLOOKUP($A41,$A$2:$A$27,_xlfn.XLOOKUP(H$30,$B$1:$M$1,$B$2:$M$27)),$B$2:$M$27),IF(_xlpm.result&gt;150,"",_xlpm.result)),"")</f>
        <v>31</v>
      </c>
      <c r="I41" s="1" cm="1">
        <f t="array" ref="I41">IFERROR(_xlfn.LET(_xlpm.result,RANK(_xlfn.XLOOKUP($A41,$A$2:$A$27,_xlfn.XLOOKUP(I$30,$B$1:$M$1,$B$2:$M$27)),$B$2:$M$27),IF(_xlpm.result&gt;150,"",_xlpm.result)),"")</f>
        <v>48</v>
      </c>
      <c r="J41" s="1" cm="1">
        <f t="array" ref="J41">IFERROR(_xlfn.LET(_xlpm.result,RANK(_xlfn.XLOOKUP($A41,$A$2:$A$27,_xlfn.XLOOKUP(J$30,$B$1:$M$1,$B$2:$M$27)),$B$2:$M$27),IF(_xlpm.result&gt;150,"",_xlpm.result)),"")</f>
        <v>43</v>
      </c>
      <c r="K41" s="1" cm="1">
        <f t="array" ref="K41">IFERROR(_xlfn.LET(_xlpm.result,RANK(_xlfn.XLOOKUP($A41,$A$2:$A$27,_xlfn.XLOOKUP(K$30,$B$1:$M$1,$B$2:$M$27)),$B$2:$M$27),IF(_xlpm.result&gt;150,"",_xlpm.result)),"")</f>
        <v>1</v>
      </c>
      <c r="L41" s="1" cm="1">
        <f t="array" ref="L41">IFERROR(_xlfn.LET(_xlpm.result,RANK(_xlfn.XLOOKUP($A41,$A$2:$A$27,_xlfn.XLOOKUP(L$30,$B$1:$M$1,$B$2:$M$27)),$B$2:$M$27),IF(_xlpm.result&gt;150,"",_xlpm.result)),"")</f>
        <v>51</v>
      </c>
      <c r="M41" s="1" cm="1">
        <f t="array" ref="M41">IFERROR(_xlfn.LET(_xlpm.result,RANK(_xlfn.XLOOKUP($A41,$A$2:$A$27,_xlfn.XLOOKUP(M$30,$B$1:$M$1,$B$2:$M$27)),$B$2:$M$27),IF(_xlpm.result&gt;150,"",_xlpm.result)),"")</f>
        <v>2</v>
      </c>
      <c r="N41">
        <f t="shared" si="0"/>
        <v>12</v>
      </c>
      <c r="O41" s="10">
        <f t="shared" si="1"/>
        <v>1</v>
      </c>
      <c r="P41">
        <v>13</v>
      </c>
    </row>
    <row r="42" spans="1:16" s="16" customFormat="1" x14ac:dyDescent="0.25">
      <c r="A42" t="s">
        <v>35</v>
      </c>
      <c r="B42" s="1" t="str" cm="1">
        <f t="array" ref="B42">IFERROR(_xlfn.LET(_xlpm.result,RANK(_xlfn.XLOOKUP($A42,$A$2:$A$27,_xlfn.XLOOKUP(B$30,$B$1:$M$1,$B$2:$M$27)),$B$2:$M$27),IF(_xlpm.result&gt;150,"",_xlpm.result)),"")</f>
        <v/>
      </c>
      <c r="C42" s="1" cm="1">
        <f t="array" ref="C42">IFERROR(_xlfn.LET(_xlpm.result,RANK(_xlfn.XLOOKUP($A42,$A$2:$A$27,_xlfn.XLOOKUP(C$30,$B$1:$M$1,$B$2:$M$27)),$B$2:$M$27),IF(_xlpm.result&gt;150,"",_xlpm.result)),"")</f>
        <v>122</v>
      </c>
      <c r="D42" s="1" t="str" cm="1">
        <f t="array" ref="D42">IFERROR(_xlfn.LET(_xlpm.result,RANK(_xlfn.XLOOKUP($A42,$A$2:$A$27,_xlfn.XLOOKUP(D$30,$B$1:$M$1,$B$2:$M$27)),$B$2:$M$27),IF(_xlpm.result&gt;150,"",_xlpm.result)),"")</f>
        <v/>
      </c>
      <c r="E42" s="1" t="str" cm="1">
        <f t="array" ref="E42">IFERROR(_xlfn.LET(_xlpm.result,RANK(_xlfn.XLOOKUP($A42,$A$2:$A$27,_xlfn.XLOOKUP(E$30,$B$1:$M$1,$B$2:$M$27)),$B$2:$M$27),IF(_xlpm.result&gt;150,"",_xlpm.result)),"")</f>
        <v/>
      </c>
      <c r="F42" s="1" t="str" cm="1">
        <f t="array" ref="F42">IFERROR(_xlfn.LET(_xlpm.result,RANK(_xlfn.XLOOKUP($A42,$A$2:$A$27,_xlfn.XLOOKUP(F$30,$B$1:$M$1,$B$2:$M$27)),$B$2:$M$27),IF(_xlpm.result&gt;150,"",_xlpm.result)),"")</f>
        <v/>
      </c>
      <c r="G42" s="1" cm="1">
        <f t="array" ref="G42">IFERROR(_xlfn.LET(_xlpm.result,RANK(_xlfn.XLOOKUP($A42,$A$2:$A$27,_xlfn.XLOOKUP(G$30,$B$1:$M$1,$B$2:$M$27)),$B$2:$M$27),IF(_xlpm.result&gt;150,"",_xlpm.result)),"")</f>
        <v>99</v>
      </c>
      <c r="H42" s="1" t="str" cm="1">
        <f t="array" ref="H42">IFERROR(_xlfn.LET(_xlpm.result,RANK(_xlfn.XLOOKUP($A42,$A$2:$A$27,_xlfn.XLOOKUP(H$30,$B$1:$M$1,$B$2:$M$27)),$B$2:$M$27),IF(_xlpm.result&gt;150,"",_xlpm.result)),"")</f>
        <v/>
      </c>
      <c r="I42" s="1" t="str" cm="1">
        <f t="array" ref="I42">IFERROR(_xlfn.LET(_xlpm.result,RANK(_xlfn.XLOOKUP($A42,$A$2:$A$27,_xlfn.XLOOKUP(I$30,$B$1:$M$1,$B$2:$M$27)),$B$2:$M$27),IF(_xlpm.result&gt;150,"",_xlpm.result)),"")</f>
        <v/>
      </c>
      <c r="J42" s="1" t="str" cm="1">
        <f t="array" ref="J42">IFERROR(_xlfn.LET(_xlpm.result,RANK(_xlfn.XLOOKUP($A42,$A$2:$A$27,_xlfn.XLOOKUP(J$30,$B$1:$M$1,$B$2:$M$27)),$B$2:$M$27),IF(_xlpm.result&gt;150,"",_xlpm.result)),"")</f>
        <v/>
      </c>
      <c r="K42" s="1" t="str" cm="1">
        <f t="array" ref="K42">IFERROR(_xlfn.LET(_xlpm.result,RANK(_xlfn.XLOOKUP($A42,$A$2:$A$27,_xlfn.XLOOKUP(K$30,$B$1:$M$1,$B$2:$M$27)),$B$2:$M$27),IF(_xlpm.result&gt;150,"",_xlpm.result)),"")</f>
        <v/>
      </c>
      <c r="L42" s="1" t="str" cm="1">
        <f t="array" ref="L42">IFERROR(_xlfn.LET(_xlpm.result,RANK(_xlfn.XLOOKUP($A42,$A$2:$A$27,_xlfn.XLOOKUP(L$30,$B$1:$M$1,$B$2:$M$27)),$B$2:$M$27),IF(_xlpm.result&gt;150,"",_xlpm.result)),"")</f>
        <v/>
      </c>
      <c r="M42" s="1" t="str" cm="1">
        <f t="array" ref="M42">IFERROR(_xlfn.LET(_xlpm.result,RANK(_xlfn.XLOOKUP($A42,$A$2:$A$27,_xlfn.XLOOKUP(M$30,$B$1:$M$1,$B$2:$M$27)),$B$2:$M$27),IF(_xlpm.result&gt;150,"",_xlpm.result)),"")</f>
        <v/>
      </c>
      <c r="N42">
        <f t="shared" si="0"/>
        <v>2</v>
      </c>
      <c r="O42" s="10">
        <f t="shared" si="1"/>
        <v>99</v>
      </c>
      <c r="P42">
        <v>12</v>
      </c>
    </row>
    <row r="43" spans="1:16" x14ac:dyDescent="0.25">
      <c r="A43" t="s">
        <v>36</v>
      </c>
      <c r="B43" s="1" t="str" cm="1">
        <f t="array" ref="B43">IFERROR(_xlfn.LET(_xlpm.result,RANK(_xlfn.XLOOKUP($A43,$A$2:$A$27,_xlfn.XLOOKUP(B$30,$B$1:$M$1,$B$2:$M$27)),$B$2:$M$27),IF(_xlpm.result&gt;150,"",_xlpm.result)),"")</f>
        <v/>
      </c>
      <c r="C43" s="1" cm="1">
        <f t="array" ref="C43">IFERROR(_xlfn.LET(_xlpm.result,RANK(_xlfn.XLOOKUP($A43,$A$2:$A$27,_xlfn.XLOOKUP(C$30,$B$1:$M$1,$B$2:$M$27)),$B$2:$M$27),IF(_xlpm.result&gt;150,"",_xlpm.result)),"")</f>
        <v>111</v>
      </c>
      <c r="D43" s="1" cm="1">
        <f t="array" ref="D43">IFERROR(_xlfn.LET(_xlpm.result,RANK(_xlfn.XLOOKUP($A43,$A$2:$A$27,_xlfn.XLOOKUP(D$30,$B$1:$M$1,$B$2:$M$27)),$B$2:$M$27),IF(_xlpm.result&gt;150,"",_xlpm.result)),"")</f>
        <v>5</v>
      </c>
      <c r="E43" s="1" cm="1">
        <f t="array" ref="E43">IFERROR(_xlfn.LET(_xlpm.result,RANK(_xlfn.XLOOKUP($A43,$A$2:$A$27,_xlfn.XLOOKUP(E$30,$B$1:$M$1,$B$2:$M$27)),$B$2:$M$27),IF(_xlpm.result&gt;150,"",_xlpm.result)),"")</f>
        <v>109</v>
      </c>
      <c r="F43" s="1" cm="1">
        <f t="array" ref="F43">IFERROR(_xlfn.LET(_xlpm.result,RANK(_xlfn.XLOOKUP($A43,$A$2:$A$27,_xlfn.XLOOKUP(F$30,$B$1:$M$1,$B$2:$M$27)),$B$2:$M$27),IF(_xlpm.result&gt;150,"",_xlpm.result)),"")</f>
        <v>95</v>
      </c>
      <c r="G43" s="1" cm="1">
        <f t="array" ref="G43">IFERROR(_xlfn.LET(_xlpm.result,RANK(_xlfn.XLOOKUP($A43,$A$2:$A$27,_xlfn.XLOOKUP(G$30,$B$1:$M$1,$B$2:$M$27)),$B$2:$M$27),IF(_xlpm.result&gt;150,"",_xlpm.result)),"")</f>
        <v>122</v>
      </c>
      <c r="H43" s="1" cm="1">
        <f t="array" ref="H43">IFERROR(_xlfn.LET(_xlpm.result,RANK(_xlfn.XLOOKUP($A43,$A$2:$A$27,_xlfn.XLOOKUP(H$30,$B$1:$M$1,$B$2:$M$27)),$B$2:$M$27),IF(_xlpm.result&gt;150,"",_xlpm.result)),"")</f>
        <v>31</v>
      </c>
      <c r="I43" s="1" t="str" cm="1">
        <f t="array" ref="I43">IFERROR(_xlfn.LET(_xlpm.result,RANK(_xlfn.XLOOKUP($A43,$A$2:$A$27,_xlfn.XLOOKUP(I$30,$B$1:$M$1,$B$2:$M$27)),$B$2:$M$27),IF(_xlpm.result&gt;150,"",_xlpm.result)),"")</f>
        <v/>
      </c>
      <c r="J43" s="1" t="str" cm="1">
        <f t="array" ref="J43">IFERROR(_xlfn.LET(_xlpm.result,RANK(_xlfn.XLOOKUP($A43,$A$2:$A$27,_xlfn.XLOOKUP(J$30,$B$1:$M$1,$B$2:$M$27)),$B$2:$M$27),IF(_xlpm.result&gt;150,"",_xlpm.result)),"")</f>
        <v/>
      </c>
      <c r="K43" s="1" cm="1">
        <f t="array" ref="K43">IFERROR(_xlfn.LET(_xlpm.result,RANK(_xlfn.XLOOKUP($A43,$A$2:$A$27,_xlfn.XLOOKUP(K$30,$B$1:$M$1,$B$2:$M$27)),$B$2:$M$27),IF(_xlpm.result&gt;150,"",_xlpm.result)),"")</f>
        <v>116</v>
      </c>
      <c r="L43" s="1" cm="1">
        <f t="array" ref="L43">IFERROR(_xlfn.LET(_xlpm.result,RANK(_xlfn.XLOOKUP($A43,$A$2:$A$27,_xlfn.XLOOKUP(L$30,$B$1:$M$1,$B$2:$M$27)),$B$2:$M$27),IF(_xlpm.result&gt;150,"",_xlpm.result)),"")</f>
        <v>128</v>
      </c>
      <c r="M43" s="1" cm="1">
        <f t="array" ref="M43">IFERROR(_xlfn.LET(_xlpm.result,RANK(_xlfn.XLOOKUP($A43,$A$2:$A$27,_xlfn.XLOOKUP(M$30,$B$1:$M$1,$B$2:$M$27)),$B$2:$M$27),IF(_xlpm.result&gt;150,"",_xlpm.result)),"")</f>
        <v>132</v>
      </c>
      <c r="N43" s="2">
        <f t="shared" si="0"/>
        <v>9</v>
      </c>
      <c r="O43" s="10">
        <f t="shared" si="1"/>
        <v>5</v>
      </c>
      <c r="P43">
        <v>11</v>
      </c>
    </row>
    <row r="44" spans="1:16" s="16" customFormat="1" x14ac:dyDescent="0.25">
      <c r="A44" t="s">
        <v>38</v>
      </c>
      <c r="B44" s="1" cm="1">
        <f t="array" ref="B44">IFERROR(_xlfn.LET(_xlpm.result,RANK(_xlfn.XLOOKUP($A44,$A$2:$A$27,_xlfn.XLOOKUP(B$30,$B$1:$M$1,$B$2:$M$27)),$B$2:$M$27),IF(_xlpm.result&gt;150,"",_xlpm.result)),"")</f>
        <v>83</v>
      </c>
      <c r="C44" s="1" t="str" cm="1">
        <f t="array" ref="C44">IFERROR(_xlfn.LET(_xlpm.result,RANK(_xlfn.XLOOKUP($A44,$A$2:$A$27,_xlfn.XLOOKUP(C$30,$B$1:$M$1,$B$2:$M$27)),$B$2:$M$27),IF(_xlpm.result&gt;150,"",_xlpm.result)),"")</f>
        <v/>
      </c>
      <c r="D44" s="1" t="str" cm="1">
        <f t="array" ref="D44">IFERROR(_xlfn.LET(_xlpm.result,RANK(_xlfn.XLOOKUP($A44,$A$2:$A$27,_xlfn.XLOOKUP(D$30,$B$1:$M$1,$B$2:$M$27)),$B$2:$M$27),IF(_xlpm.result&gt;150,"",_xlpm.result)),"")</f>
        <v/>
      </c>
      <c r="E44" s="1" t="str" cm="1">
        <f t="array" ref="E44">IFERROR(_xlfn.LET(_xlpm.result,RANK(_xlfn.XLOOKUP($A44,$A$2:$A$27,_xlfn.XLOOKUP(E$30,$B$1:$M$1,$B$2:$M$27)),$B$2:$M$27),IF(_xlpm.result&gt;150,"",_xlpm.result)),"")</f>
        <v/>
      </c>
      <c r="F44" s="1" t="str" cm="1">
        <f t="array" ref="F44">IFERROR(_xlfn.LET(_xlpm.result,RANK(_xlfn.XLOOKUP($A44,$A$2:$A$27,_xlfn.XLOOKUP(F$30,$B$1:$M$1,$B$2:$M$27)),$B$2:$M$27),IF(_xlpm.result&gt;150,"",_xlpm.result)),"")</f>
        <v/>
      </c>
      <c r="G44" s="1" cm="1">
        <f t="array" ref="G44">IFERROR(_xlfn.LET(_xlpm.result,RANK(_xlfn.XLOOKUP($A44,$A$2:$A$27,_xlfn.XLOOKUP(G$30,$B$1:$M$1,$B$2:$M$27)),$B$2:$M$27),IF(_xlpm.result&gt;150,"",_xlpm.result)),"")</f>
        <v>122</v>
      </c>
      <c r="H44" s="1" cm="1">
        <f t="array" ref="H44">IFERROR(_xlfn.LET(_xlpm.result,RANK(_xlfn.XLOOKUP($A44,$A$2:$A$27,_xlfn.XLOOKUP(H$30,$B$1:$M$1,$B$2:$M$27)),$B$2:$M$27),IF(_xlpm.result&gt;150,"",_xlpm.result)),"")</f>
        <v>70</v>
      </c>
      <c r="I44" s="1" cm="1">
        <f t="array" ref="I44">IFERROR(_xlfn.LET(_xlpm.result,RANK(_xlfn.XLOOKUP($A44,$A$2:$A$27,_xlfn.XLOOKUP(I$30,$B$1:$M$1,$B$2:$M$27)),$B$2:$M$27),IF(_xlpm.result&gt;150,"",_xlpm.result)),"")</f>
        <v>83</v>
      </c>
      <c r="J44" s="1" t="str" cm="1">
        <f t="array" ref="J44">IFERROR(_xlfn.LET(_xlpm.result,RANK(_xlfn.XLOOKUP($A44,$A$2:$A$27,_xlfn.XLOOKUP(J$30,$B$1:$M$1,$B$2:$M$27)),$B$2:$M$27),IF(_xlpm.result&gt;150,"",_xlpm.result)),"")</f>
        <v/>
      </c>
      <c r="K44" s="1" cm="1">
        <f t="array" ref="K44">IFERROR(_xlfn.LET(_xlpm.result,RANK(_xlfn.XLOOKUP($A44,$A$2:$A$27,_xlfn.XLOOKUP(K$30,$B$1:$M$1,$B$2:$M$27)),$B$2:$M$27),IF(_xlpm.result&gt;150,"",_xlpm.result)),"")</f>
        <v>67</v>
      </c>
      <c r="L44" s="1" t="str" cm="1">
        <f t="array" ref="L44">IFERROR(_xlfn.LET(_xlpm.result,RANK(_xlfn.XLOOKUP($A44,$A$2:$A$27,_xlfn.XLOOKUP(L$30,$B$1:$M$1,$B$2:$M$27)),$B$2:$M$27),IF(_xlpm.result&gt;150,"",_xlpm.result)),"")</f>
        <v/>
      </c>
      <c r="M44" s="1" t="str" cm="1">
        <f t="array" ref="M44">IFERROR(_xlfn.LET(_xlpm.result,RANK(_xlfn.XLOOKUP($A44,$A$2:$A$27,_xlfn.XLOOKUP(M$30,$B$1:$M$1,$B$2:$M$27)),$B$2:$M$27),IF(_xlpm.result&gt;150,"",_xlpm.result)),"")</f>
        <v/>
      </c>
      <c r="N44">
        <f t="shared" si="0"/>
        <v>5</v>
      </c>
      <c r="O44" s="10">
        <f t="shared" si="1"/>
        <v>67</v>
      </c>
      <c r="P44">
        <v>10</v>
      </c>
    </row>
    <row r="45" spans="1:16" x14ac:dyDescent="0.25">
      <c r="A45" t="s">
        <v>39</v>
      </c>
      <c r="B45" s="1" t="str" cm="1">
        <f t="array" ref="B45">IFERROR(_xlfn.LET(_xlpm.result,RANK(_xlfn.XLOOKUP($A45,$A$2:$A$27,_xlfn.XLOOKUP(B$30,$B$1:$M$1,$B$2:$M$27)),$B$2:$M$27),IF(_xlpm.result&gt;150,"",_xlpm.result)),"")</f>
        <v/>
      </c>
      <c r="C45" s="1" cm="1">
        <f t="array" ref="C45">IFERROR(_xlfn.LET(_xlpm.result,RANK(_xlfn.XLOOKUP($A45,$A$2:$A$27,_xlfn.XLOOKUP(C$30,$B$1:$M$1,$B$2:$M$27)),$B$2:$M$27),IF(_xlpm.result&gt;150,"",_xlpm.result)),"")</f>
        <v>136</v>
      </c>
      <c r="D45" s="1" t="str" cm="1">
        <f t="array" ref="D45">IFERROR(_xlfn.LET(_xlpm.result,RANK(_xlfn.XLOOKUP($A45,$A$2:$A$27,_xlfn.XLOOKUP(D$30,$B$1:$M$1,$B$2:$M$27)),$B$2:$M$27),IF(_xlpm.result&gt;150,"",_xlpm.result)),"")</f>
        <v/>
      </c>
      <c r="E45" s="1" cm="1">
        <f t="array" ref="E45">IFERROR(_xlfn.LET(_xlpm.result,RANK(_xlfn.XLOOKUP($A45,$A$2:$A$27,_xlfn.XLOOKUP(E$30,$B$1:$M$1,$B$2:$M$27)),$B$2:$M$27),IF(_xlpm.result&gt;150,"",_xlpm.result)),"")</f>
        <v>144</v>
      </c>
      <c r="F45" s="1" cm="1">
        <f t="array" ref="F45">IFERROR(_xlfn.LET(_xlpm.result,RANK(_xlfn.XLOOKUP($A45,$A$2:$A$27,_xlfn.XLOOKUP(F$30,$B$1:$M$1,$B$2:$M$27)),$B$2:$M$27),IF(_xlpm.result&gt;150,"",_xlpm.result)),"")</f>
        <v>89</v>
      </c>
      <c r="G45" s="1" t="str" cm="1">
        <f t="array" ref="G45">IFERROR(_xlfn.LET(_xlpm.result,RANK(_xlfn.XLOOKUP($A45,$A$2:$A$27,_xlfn.XLOOKUP(G$30,$B$1:$M$1,$B$2:$M$27)),$B$2:$M$27),IF(_xlpm.result&gt;150,"",_xlpm.result)),"")</f>
        <v/>
      </c>
      <c r="H45" s="1" cm="1">
        <f t="array" ref="H45">IFERROR(_xlfn.LET(_xlpm.result,RANK(_xlfn.XLOOKUP($A45,$A$2:$A$27,_xlfn.XLOOKUP(H$30,$B$1:$M$1,$B$2:$M$27)),$B$2:$M$27),IF(_xlpm.result&gt;150,"",_xlpm.result)),"")</f>
        <v>129</v>
      </c>
      <c r="I45" s="1" t="str" cm="1">
        <f t="array" ref="I45">IFERROR(_xlfn.LET(_xlpm.result,RANK(_xlfn.XLOOKUP($A45,$A$2:$A$27,_xlfn.XLOOKUP(I$30,$B$1:$M$1,$B$2:$M$27)),$B$2:$M$27),IF(_xlpm.result&gt;150,"",_xlpm.result)),"")</f>
        <v/>
      </c>
      <c r="J45" s="1" cm="1">
        <f t="array" ref="J45">IFERROR(_xlfn.LET(_xlpm.result,RANK(_xlfn.XLOOKUP($A45,$A$2:$A$27,_xlfn.XLOOKUP(J$30,$B$1:$M$1,$B$2:$M$27)),$B$2:$M$27),IF(_xlpm.result&gt;150,"",_xlpm.result)),"")</f>
        <v>129</v>
      </c>
      <c r="K45" s="1" cm="1">
        <f t="array" ref="K45">IFERROR(_xlfn.LET(_xlpm.result,RANK(_xlfn.XLOOKUP($A45,$A$2:$A$27,_xlfn.XLOOKUP(K$30,$B$1:$M$1,$B$2:$M$27)),$B$2:$M$27),IF(_xlpm.result&gt;150,"",_xlpm.result)),"")</f>
        <v>67</v>
      </c>
      <c r="L45" s="1" t="str" cm="1">
        <f t="array" ref="L45">IFERROR(_xlfn.LET(_xlpm.result,RANK(_xlfn.XLOOKUP($A45,$A$2:$A$27,_xlfn.XLOOKUP(L$30,$B$1:$M$1,$B$2:$M$27)),$B$2:$M$27),IF(_xlpm.result&gt;150,"",_xlpm.result)),"")</f>
        <v/>
      </c>
      <c r="M45" s="1" t="str" cm="1">
        <f t="array" ref="M45">IFERROR(_xlfn.LET(_xlpm.result,RANK(_xlfn.XLOOKUP($A45,$A$2:$A$27,_xlfn.XLOOKUP(M$30,$B$1:$M$1,$B$2:$M$27)),$B$2:$M$27),IF(_xlpm.result&gt;150,"",_xlpm.result)),"")</f>
        <v/>
      </c>
      <c r="N45">
        <f t="shared" si="0"/>
        <v>6</v>
      </c>
      <c r="O45" s="10">
        <f t="shared" si="1"/>
        <v>67</v>
      </c>
      <c r="P45">
        <v>9</v>
      </c>
    </row>
    <row r="46" spans="1:16" x14ac:dyDescent="0.25">
      <c r="A46" t="s">
        <v>40</v>
      </c>
      <c r="B46" s="1" cm="1">
        <f t="array" ref="B46">IFERROR(_xlfn.LET(_xlpm.result,RANK(_xlfn.XLOOKUP($A46,$A$2:$A$27,_xlfn.XLOOKUP(B$30,$B$1:$M$1,$B$2:$M$27)),$B$2:$M$27),IF(_xlpm.result&gt;150,"",_xlpm.result)),"")</f>
        <v>12</v>
      </c>
      <c r="C46" s="1" cm="1">
        <f t="array" ref="C46">IFERROR(_xlfn.LET(_xlpm.result,RANK(_xlfn.XLOOKUP($A46,$A$2:$A$27,_xlfn.XLOOKUP(C$30,$B$1:$M$1,$B$2:$M$27)),$B$2:$M$27),IF(_xlpm.result&gt;150,"",_xlpm.result)),"")</f>
        <v>31</v>
      </c>
      <c r="D46" s="1" cm="1">
        <f t="array" ref="D46">IFERROR(_xlfn.LET(_xlpm.result,RANK(_xlfn.XLOOKUP($A46,$A$2:$A$27,_xlfn.XLOOKUP(D$30,$B$1:$M$1,$B$2:$M$27)),$B$2:$M$27),IF(_xlpm.result&gt;150,"",_xlpm.result)),"")</f>
        <v>111</v>
      </c>
      <c r="E46" s="1" t="str" cm="1">
        <f t="array" ref="E46">IFERROR(_xlfn.LET(_xlpm.result,RANK(_xlfn.XLOOKUP($A46,$A$2:$A$27,_xlfn.XLOOKUP(E$30,$B$1:$M$1,$B$2:$M$27)),$B$2:$M$27),IF(_xlpm.result&gt;150,"",_xlpm.result)),"")</f>
        <v/>
      </c>
      <c r="F46" s="1" cm="1">
        <f t="array" ref="F46">IFERROR(_xlfn.LET(_xlpm.result,RANK(_xlfn.XLOOKUP($A46,$A$2:$A$27,_xlfn.XLOOKUP(F$30,$B$1:$M$1,$B$2:$M$27)),$B$2:$M$27),IF(_xlpm.result&gt;150,"",_xlpm.result)),"")</f>
        <v>31</v>
      </c>
      <c r="G46" s="1" cm="1">
        <f t="array" ref="G46">IFERROR(_xlfn.LET(_xlpm.result,RANK(_xlfn.XLOOKUP($A46,$A$2:$A$27,_xlfn.XLOOKUP(G$30,$B$1:$M$1,$B$2:$M$27)),$B$2:$M$27),IF(_xlpm.result&gt;150,"",_xlpm.result)),"")</f>
        <v>27</v>
      </c>
      <c r="H46" s="1" cm="1">
        <f t="array" ref="H46">IFERROR(_xlfn.LET(_xlpm.result,RANK(_xlfn.XLOOKUP($A46,$A$2:$A$27,_xlfn.XLOOKUP(H$30,$B$1:$M$1,$B$2:$M$27)),$B$2:$M$27),IF(_xlpm.result&gt;150,"",_xlpm.result)),"")</f>
        <v>92</v>
      </c>
      <c r="I46" s="1" cm="1">
        <f t="array" ref="I46">IFERROR(_xlfn.LET(_xlpm.result,RANK(_xlfn.XLOOKUP($A46,$A$2:$A$27,_xlfn.XLOOKUP(I$30,$B$1:$M$1,$B$2:$M$27)),$B$2:$M$27),IF(_xlpm.result&gt;150,"",_xlpm.result)),"")</f>
        <v>122</v>
      </c>
      <c r="J46" s="1" t="str" cm="1">
        <f t="array" ref="J46">IFERROR(_xlfn.LET(_xlpm.result,RANK(_xlfn.XLOOKUP($A46,$A$2:$A$27,_xlfn.XLOOKUP(J$30,$B$1:$M$1,$B$2:$M$27)),$B$2:$M$27),IF(_xlpm.result&gt;150,"",_xlpm.result)),"")</f>
        <v/>
      </c>
      <c r="K46" s="1" t="str" cm="1">
        <f t="array" ref="K46">IFERROR(_xlfn.LET(_xlpm.result,RANK(_xlfn.XLOOKUP($A46,$A$2:$A$27,_xlfn.XLOOKUP(K$30,$B$1:$M$1,$B$2:$M$27)),$B$2:$M$27),IF(_xlpm.result&gt;150,"",_xlpm.result)),"")</f>
        <v/>
      </c>
      <c r="L46" s="1" cm="1">
        <f t="array" ref="L46">IFERROR(_xlfn.LET(_xlpm.result,RANK(_xlfn.XLOOKUP($A46,$A$2:$A$27,_xlfn.XLOOKUP(L$30,$B$1:$M$1,$B$2:$M$27)),$B$2:$M$27),IF(_xlpm.result&gt;150,"",_xlpm.result)),"")</f>
        <v>31</v>
      </c>
      <c r="M46" s="1" cm="1">
        <f t="array" ref="M46">IFERROR(_xlfn.LET(_xlpm.result,RANK(_xlfn.XLOOKUP($A46,$A$2:$A$27,_xlfn.XLOOKUP(M$30,$B$1:$M$1,$B$2:$M$27)),$B$2:$M$27),IF(_xlpm.result&gt;150,"",_xlpm.result)),"")</f>
        <v>66</v>
      </c>
      <c r="N46">
        <f t="shared" si="0"/>
        <v>9</v>
      </c>
      <c r="O46" s="10">
        <f t="shared" si="1"/>
        <v>12</v>
      </c>
      <c r="P46">
        <v>8</v>
      </c>
    </row>
    <row r="47" spans="1:16" x14ac:dyDescent="0.25">
      <c r="A47" t="s">
        <v>41</v>
      </c>
      <c r="B47" s="1" t="str" cm="1">
        <f t="array" ref="B47">IFERROR(_xlfn.LET(_xlpm.result,RANK(_xlfn.XLOOKUP($A47,$A$2:$A$27,_xlfn.XLOOKUP(B$30,$B$1:$M$1,$B$2:$M$27)),$B$2:$M$27),IF(_xlpm.result&gt;150,"",_xlpm.result)),"")</f>
        <v/>
      </c>
      <c r="C47" s="1" t="str" cm="1">
        <f t="array" ref="C47">IFERROR(_xlfn.LET(_xlpm.result,RANK(_xlfn.XLOOKUP($A47,$A$2:$A$27,_xlfn.XLOOKUP(C$30,$B$1:$M$1,$B$2:$M$27)),$B$2:$M$27),IF(_xlpm.result&gt;150,"",_xlpm.result)),"")</f>
        <v/>
      </c>
      <c r="D47" s="1" t="str" cm="1">
        <f t="array" ref="D47">IFERROR(_xlfn.LET(_xlpm.result,RANK(_xlfn.XLOOKUP($A47,$A$2:$A$27,_xlfn.XLOOKUP(D$30,$B$1:$M$1,$B$2:$M$27)),$B$2:$M$27),IF(_xlpm.result&gt;150,"",_xlpm.result)),"")</f>
        <v/>
      </c>
      <c r="E47" s="1" t="str" cm="1">
        <f t="array" ref="E47">IFERROR(_xlfn.LET(_xlpm.result,RANK(_xlfn.XLOOKUP($A47,$A$2:$A$27,_xlfn.XLOOKUP(E$30,$B$1:$M$1,$B$2:$M$27)),$B$2:$M$27),IF(_xlpm.result&gt;150,"",_xlpm.result)),"")</f>
        <v/>
      </c>
      <c r="F47" s="1" cm="1">
        <f t="array" ref="F47">IFERROR(_xlfn.LET(_xlpm.result,RANK(_xlfn.XLOOKUP($A47,$A$2:$A$27,_xlfn.XLOOKUP(F$30,$B$1:$M$1,$B$2:$M$27)),$B$2:$M$27),IF(_xlpm.result&gt;150,"",_xlpm.result)),"")</f>
        <v>122</v>
      </c>
      <c r="G47" s="1" t="str" cm="1">
        <f t="array" ref="G47">IFERROR(_xlfn.LET(_xlpm.result,RANK(_xlfn.XLOOKUP($A47,$A$2:$A$27,_xlfn.XLOOKUP(G$30,$B$1:$M$1,$B$2:$M$27)),$B$2:$M$27),IF(_xlpm.result&gt;150,"",_xlpm.result)),"")</f>
        <v/>
      </c>
      <c r="H47" s="1" t="str" cm="1">
        <f t="array" ref="H47">IFERROR(_xlfn.LET(_xlpm.result,RANK(_xlfn.XLOOKUP($A47,$A$2:$A$27,_xlfn.XLOOKUP(H$30,$B$1:$M$1,$B$2:$M$27)),$B$2:$M$27),IF(_xlpm.result&gt;150,"",_xlpm.result)),"")</f>
        <v/>
      </c>
      <c r="I47" s="1" t="str" cm="1">
        <f t="array" ref="I47">IFERROR(_xlfn.LET(_xlpm.result,RANK(_xlfn.XLOOKUP($A47,$A$2:$A$27,_xlfn.XLOOKUP(I$30,$B$1:$M$1,$B$2:$M$27)),$B$2:$M$27),IF(_xlpm.result&gt;150,"",_xlpm.result)),"")</f>
        <v/>
      </c>
      <c r="J47" s="1" t="str" cm="1">
        <f t="array" ref="J47">IFERROR(_xlfn.LET(_xlpm.result,RANK(_xlfn.XLOOKUP($A47,$A$2:$A$27,_xlfn.XLOOKUP(J$30,$B$1:$M$1,$B$2:$M$27)),$B$2:$M$27),IF(_xlpm.result&gt;150,"",_xlpm.result)),"")</f>
        <v/>
      </c>
      <c r="K47" s="1" cm="1">
        <f t="array" ref="K47">IFERROR(_xlfn.LET(_xlpm.result,RANK(_xlfn.XLOOKUP($A47,$A$2:$A$27,_xlfn.XLOOKUP(K$30,$B$1:$M$1,$B$2:$M$27)),$B$2:$M$27),IF(_xlpm.result&gt;150,"",_xlpm.result)),"")</f>
        <v>133</v>
      </c>
      <c r="L47" s="1" cm="1">
        <f t="array" ref="L47">IFERROR(_xlfn.LET(_xlpm.result,RANK(_xlfn.XLOOKUP($A47,$A$2:$A$27,_xlfn.XLOOKUP(L$30,$B$1:$M$1,$B$2:$M$27)),$B$2:$M$27),IF(_xlpm.result&gt;150,"",_xlpm.result)),"")</f>
        <v>89</v>
      </c>
      <c r="M47" s="1" t="str" cm="1">
        <f t="array" ref="M47">IFERROR(_xlfn.LET(_xlpm.result,RANK(_xlfn.XLOOKUP($A47,$A$2:$A$27,_xlfn.XLOOKUP(M$30,$B$1:$M$1,$B$2:$M$27)),$B$2:$M$27),IF(_xlpm.result&gt;150,"",_xlpm.result)),"")</f>
        <v/>
      </c>
      <c r="N47">
        <f t="shared" si="0"/>
        <v>3</v>
      </c>
      <c r="O47" s="10">
        <f t="shared" si="1"/>
        <v>89</v>
      </c>
      <c r="P47">
        <v>7</v>
      </c>
    </row>
    <row r="48" spans="1:16" x14ac:dyDescent="0.25">
      <c r="A48" t="s">
        <v>42</v>
      </c>
      <c r="B48" s="1" t="str" cm="1">
        <f t="array" ref="B48">IFERROR(_xlfn.LET(_xlpm.result,RANK(_xlfn.XLOOKUP($A48,$A$2:$A$27,_xlfn.XLOOKUP(B$30,$B$1:$M$1,$B$2:$M$27)),$B$2:$M$27),IF(_xlpm.result&gt;150,"",_xlpm.result)),"")</f>
        <v/>
      </c>
      <c r="C48" s="1" t="str" cm="1">
        <f t="array" ref="C48">IFERROR(_xlfn.LET(_xlpm.result,RANK(_xlfn.XLOOKUP($A48,$A$2:$A$27,_xlfn.XLOOKUP(C$30,$B$1:$M$1,$B$2:$M$27)),$B$2:$M$27),IF(_xlpm.result&gt;150,"",_xlpm.result)),"")</f>
        <v/>
      </c>
      <c r="D48" s="1" t="str" cm="1">
        <f t="array" ref="D48">IFERROR(_xlfn.LET(_xlpm.result,RANK(_xlfn.XLOOKUP($A48,$A$2:$A$27,_xlfn.XLOOKUP(D$30,$B$1:$M$1,$B$2:$M$27)),$B$2:$M$27),IF(_xlpm.result&gt;150,"",_xlpm.result)),"")</f>
        <v/>
      </c>
      <c r="E48" s="1" cm="1">
        <f t="array" ref="E48">IFERROR(_xlfn.LET(_xlpm.result,RANK(_xlfn.XLOOKUP($A48,$A$2:$A$27,_xlfn.XLOOKUP(E$30,$B$1:$M$1,$B$2:$M$27)),$B$2:$M$27),IF(_xlpm.result&gt;150,"",_xlpm.result)),"")</f>
        <v>145</v>
      </c>
      <c r="F48" s="1" t="str" cm="1">
        <f t="array" ref="F48">IFERROR(_xlfn.LET(_xlpm.result,RANK(_xlfn.XLOOKUP($A48,$A$2:$A$27,_xlfn.XLOOKUP(F$30,$B$1:$M$1,$B$2:$M$27)),$B$2:$M$27),IF(_xlpm.result&gt;150,"",_xlpm.result)),"")</f>
        <v/>
      </c>
      <c r="G48" s="1" t="str" cm="1">
        <f t="array" ref="G48">IFERROR(_xlfn.LET(_xlpm.result,RANK(_xlfn.XLOOKUP($A48,$A$2:$A$27,_xlfn.XLOOKUP(G$30,$B$1:$M$1,$B$2:$M$27)),$B$2:$M$27),IF(_xlpm.result&gt;150,"",_xlpm.result)),"")</f>
        <v/>
      </c>
      <c r="H48" s="1" t="str" cm="1">
        <f t="array" ref="H48">IFERROR(_xlfn.LET(_xlpm.result,RANK(_xlfn.XLOOKUP($A48,$A$2:$A$27,_xlfn.XLOOKUP(H$30,$B$1:$M$1,$B$2:$M$27)),$B$2:$M$27),IF(_xlpm.result&gt;150,"",_xlpm.result)),"")</f>
        <v/>
      </c>
      <c r="I48" s="1" cm="1">
        <f t="array" ref="I48">IFERROR(_xlfn.LET(_xlpm.result,RANK(_xlfn.XLOOKUP($A48,$A$2:$A$27,_xlfn.XLOOKUP(I$30,$B$1:$M$1,$B$2:$M$27)),$B$2:$M$27),IF(_xlpm.result&gt;150,"",_xlpm.result)),"")</f>
        <v>122</v>
      </c>
      <c r="J48" s="1" t="str" cm="1">
        <f t="array" ref="J48">IFERROR(_xlfn.LET(_xlpm.result,RANK(_xlfn.XLOOKUP($A48,$A$2:$A$27,_xlfn.XLOOKUP(J$30,$B$1:$M$1,$B$2:$M$27)),$B$2:$M$27),IF(_xlpm.result&gt;150,"",_xlpm.result)),"")</f>
        <v/>
      </c>
      <c r="K48" s="1" t="str" cm="1">
        <f t="array" ref="K48">IFERROR(_xlfn.LET(_xlpm.result,RANK(_xlfn.XLOOKUP($A48,$A$2:$A$27,_xlfn.XLOOKUP(K$30,$B$1:$M$1,$B$2:$M$27)),$B$2:$M$27),IF(_xlpm.result&gt;150,"",_xlpm.result)),"")</f>
        <v/>
      </c>
      <c r="L48" s="1" cm="1">
        <f t="array" ref="L48">IFERROR(_xlfn.LET(_xlpm.result,RANK(_xlfn.XLOOKUP($A48,$A$2:$A$27,_xlfn.XLOOKUP(L$30,$B$1:$M$1,$B$2:$M$27)),$B$2:$M$27),IF(_xlpm.result&gt;150,"",_xlpm.result)),"")</f>
        <v>99</v>
      </c>
      <c r="M48" s="1" t="str" cm="1">
        <f t="array" ref="M48">IFERROR(_xlfn.LET(_xlpm.result,RANK(_xlfn.XLOOKUP($A48,$A$2:$A$27,_xlfn.XLOOKUP(M$30,$B$1:$M$1,$B$2:$M$27)),$B$2:$M$27),IF(_xlpm.result&gt;150,"",_xlpm.result)),"")</f>
        <v/>
      </c>
      <c r="N48">
        <f t="shared" si="0"/>
        <v>3</v>
      </c>
      <c r="O48" s="10">
        <f t="shared" si="1"/>
        <v>99</v>
      </c>
      <c r="P48">
        <v>6</v>
      </c>
    </row>
    <row r="49" spans="1:16" x14ac:dyDescent="0.25">
      <c r="A49" t="s">
        <v>43</v>
      </c>
      <c r="B49" s="1" t="str" cm="1">
        <f t="array" ref="B49">IFERROR(_xlfn.LET(_xlpm.result,RANK(_xlfn.XLOOKUP($A49,$A$2:$A$27,_xlfn.XLOOKUP(B$30,$B$1:$M$1,$B$2:$M$27)),$B$2:$M$27),IF(_xlpm.result&gt;150,"",_xlpm.result)),"")</f>
        <v/>
      </c>
      <c r="C49" s="1" cm="1">
        <f t="array" ref="C49">IFERROR(_xlfn.LET(_xlpm.result,RANK(_xlfn.XLOOKUP($A49,$A$2:$A$27,_xlfn.XLOOKUP(C$30,$B$1:$M$1,$B$2:$M$27)),$B$2:$M$27),IF(_xlpm.result&gt;150,"",_xlpm.result)),"")</f>
        <v>111</v>
      </c>
      <c r="D49" s="1" cm="1">
        <f t="array" ref="D49">IFERROR(_xlfn.LET(_xlpm.result,RANK(_xlfn.XLOOKUP($A49,$A$2:$A$27,_xlfn.XLOOKUP(D$30,$B$1:$M$1,$B$2:$M$27)),$B$2:$M$27),IF(_xlpm.result&gt;150,"",_xlpm.result)),"")</f>
        <v>122</v>
      </c>
      <c r="E49" s="1" cm="1">
        <f t="array" ref="E49">IFERROR(_xlfn.LET(_xlpm.result,RANK(_xlfn.XLOOKUP($A49,$A$2:$A$27,_xlfn.XLOOKUP(E$30,$B$1:$M$1,$B$2:$M$27)),$B$2:$M$27),IF(_xlpm.result&gt;150,"",_xlpm.result)),"")</f>
        <v>122</v>
      </c>
      <c r="F49" s="1" t="str" cm="1">
        <f t="array" ref="F49">IFERROR(_xlfn.LET(_xlpm.result,RANK(_xlfn.XLOOKUP($A49,$A$2:$A$27,_xlfn.XLOOKUP(F$30,$B$1:$M$1,$B$2:$M$27)),$B$2:$M$27),IF(_xlpm.result&gt;150,"",_xlpm.result)),"")</f>
        <v/>
      </c>
      <c r="G49" s="1" t="str" cm="1">
        <f t="array" ref="G49">IFERROR(_xlfn.LET(_xlpm.result,RANK(_xlfn.XLOOKUP($A49,$A$2:$A$27,_xlfn.XLOOKUP(G$30,$B$1:$M$1,$B$2:$M$27)),$B$2:$M$27),IF(_xlpm.result&gt;150,"",_xlpm.result)),"")</f>
        <v/>
      </c>
      <c r="H49" s="1" t="str" cm="1">
        <f t="array" ref="H49">IFERROR(_xlfn.LET(_xlpm.result,RANK(_xlfn.XLOOKUP($A49,$A$2:$A$27,_xlfn.XLOOKUP(H$30,$B$1:$M$1,$B$2:$M$27)),$B$2:$M$27),IF(_xlpm.result&gt;150,"",_xlpm.result)),"")</f>
        <v/>
      </c>
      <c r="I49" s="1" t="str" cm="1">
        <f t="array" ref="I49">IFERROR(_xlfn.LET(_xlpm.result,RANK(_xlfn.XLOOKUP($A49,$A$2:$A$27,_xlfn.XLOOKUP(I$30,$B$1:$M$1,$B$2:$M$27)),$B$2:$M$27),IF(_xlpm.result&gt;150,"",_xlpm.result)),"")</f>
        <v/>
      </c>
      <c r="J49" s="1" t="str" cm="1">
        <f t="array" ref="J49">IFERROR(_xlfn.LET(_xlpm.result,RANK(_xlfn.XLOOKUP($A49,$A$2:$A$27,_xlfn.XLOOKUP(J$30,$B$1:$M$1,$B$2:$M$27)),$B$2:$M$27),IF(_xlpm.result&gt;150,"",_xlpm.result)),"")</f>
        <v/>
      </c>
      <c r="K49" s="1" cm="1">
        <f t="array" ref="K49">IFERROR(_xlfn.LET(_xlpm.result,RANK(_xlfn.XLOOKUP($A49,$A$2:$A$27,_xlfn.XLOOKUP(K$30,$B$1:$M$1,$B$2:$M$27)),$B$2:$M$27),IF(_xlpm.result&gt;150,"",_xlpm.result)),"")</f>
        <v>116</v>
      </c>
      <c r="L49" s="1" t="str" cm="1">
        <f t="array" ref="L49">IFERROR(_xlfn.LET(_xlpm.result,RANK(_xlfn.XLOOKUP($A49,$A$2:$A$27,_xlfn.XLOOKUP(L$30,$B$1:$M$1,$B$2:$M$27)),$B$2:$M$27),IF(_xlpm.result&gt;150,"",_xlpm.result)),"")</f>
        <v/>
      </c>
      <c r="M49" s="1" t="str" cm="1">
        <f t="array" ref="M49">IFERROR(_xlfn.LET(_xlpm.result,RANK(_xlfn.XLOOKUP($A49,$A$2:$A$27,_xlfn.XLOOKUP(M$30,$B$1:$M$1,$B$2:$M$27)),$B$2:$M$27),IF(_xlpm.result&gt;150,"",_xlpm.result)),"")</f>
        <v/>
      </c>
      <c r="N49">
        <f t="shared" si="0"/>
        <v>4</v>
      </c>
      <c r="O49" s="10">
        <f t="shared" si="1"/>
        <v>111</v>
      </c>
      <c r="P49">
        <v>5</v>
      </c>
    </row>
    <row r="50" spans="1:16" x14ac:dyDescent="0.25">
      <c r="A50" t="s">
        <v>44</v>
      </c>
      <c r="B50" s="1" cm="1">
        <f t="array" ref="B50">IFERROR(_xlfn.LET(_xlpm.result,RANK(_xlfn.XLOOKUP($A50,$A$2:$A$27,_xlfn.XLOOKUP(B$30,$B$1:$M$1,$B$2:$M$27)),$B$2:$M$27),IF(_xlpm.result&gt;150,"",_xlpm.result)),"")</f>
        <v>73</v>
      </c>
      <c r="C50" s="1" cm="1">
        <f t="array" ref="C50">IFERROR(_xlfn.LET(_xlpm.result,RANK(_xlfn.XLOOKUP($A50,$A$2:$A$27,_xlfn.XLOOKUP(C$30,$B$1:$M$1,$B$2:$M$27)),$B$2:$M$27),IF(_xlpm.result&gt;150,"",_xlpm.result)),"")</f>
        <v>29</v>
      </c>
      <c r="D50" s="1" cm="1">
        <f t="array" ref="D50">IFERROR(_xlfn.LET(_xlpm.result,RANK(_xlfn.XLOOKUP($A50,$A$2:$A$27,_xlfn.XLOOKUP(D$30,$B$1:$M$1,$B$2:$M$27)),$B$2:$M$27),IF(_xlpm.result&gt;150,"",_xlpm.result)),"")</f>
        <v>122</v>
      </c>
      <c r="E50" s="1" cm="1">
        <f t="array" ref="E50">IFERROR(_xlfn.LET(_xlpm.result,RANK(_xlfn.XLOOKUP($A50,$A$2:$A$27,_xlfn.XLOOKUP(E$30,$B$1:$M$1,$B$2:$M$27)),$B$2:$M$27),IF(_xlpm.result&gt;150,"",_xlpm.result)),"")</f>
        <v>145</v>
      </c>
      <c r="F50" s="1" t="str" cm="1">
        <f t="array" ref="F50">IFERROR(_xlfn.LET(_xlpm.result,RANK(_xlfn.XLOOKUP($A50,$A$2:$A$27,_xlfn.XLOOKUP(F$30,$B$1:$M$1,$B$2:$M$27)),$B$2:$M$27),IF(_xlpm.result&gt;150,"",_xlpm.result)),"")</f>
        <v/>
      </c>
      <c r="G50" s="1" cm="1">
        <f t="array" ref="G50">IFERROR(_xlfn.LET(_xlpm.result,RANK(_xlfn.XLOOKUP($A50,$A$2:$A$27,_xlfn.XLOOKUP(G$30,$B$1:$M$1,$B$2:$M$27)),$B$2:$M$27),IF(_xlpm.result&gt;150,"",_xlpm.result)),"")</f>
        <v>83</v>
      </c>
      <c r="H50" s="1" cm="1">
        <f t="array" ref="H50">IFERROR(_xlfn.LET(_xlpm.result,RANK(_xlfn.XLOOKUP($A50,$A$2:$A$27,_xlfn.XLOOKUP(H$30,$B$1:$M$1,$B$2:$M$27)),$B$2:$M$27),IF(_xlpm.result&gt;150,"",_xlpm.result)),"")</f>
        <v>51</v>
      </c>
      <c r="I50" s="1" cm="1">
        <f t="array" ref="I50">IFERROR(_xlfn.LET(_xlpm.result,RANK(_xlfn.XLOOKUP($A50,$A$2:$A$27,_xlfn.XLOOKUP(I$30,$B$1:$M$1,$B$2:$M$27)),$B$2:$M$27),IF(_xlpm.result&gt;150,"",_xlpm.result)),"")</f>
        <v>95</v>
      </c>
      <c r="J50" s="1" cm="1">
        <f t="array" ref="J50">IFERROR(_xlfn.LET(_xlpm.result,RANK(_xlfn.XLOOKUP($A50,$A$2:$A$27,_xlfn.XLOOKUP(J$30,$B$1:$M$1,$B$2:$M$27)),$B$2:$M$27),IF(_xlpm.result&gt;150,"",_xlpm.result)),"")</f>
        <v>20</v>
      </c>
      <c r="K50" s="1" cm="1">
        <f t="array" ref="K50">IFERROR(_xlfn.LET(_xlpm.result,RANK(_xlfn.XLOOKUP($A50,$A$2:$A$27,_xlfn.XLOOKUP(K$30,$B$1:$M$1,$B$2:$M$27)),$B$2:$M$27),IF(_xlpm.result&gt;150,"",_xlpm.result)),"")</f>
        <v>122</v>
      </c>
      <c r="L50" s="1" cm="1">
        <f t="array" ref="L50">IFERROR(_xlfn.LET(_xlpm.result,RANK(_xlfn.XLOOKUP($A50,$A$2:$A$27,_xlfn.XLOOKUP(L$30,$B$1:$M$1,$B$2:$M$27)),$B$2:$M$27),IF(_xlpm.result&gt;150,"",_xlpm.result)),"")</f>
        <v>118</v>
      </c>
      <c r="M50" s="1" cm="1">
        <f t="array" ref="M50">IFERROR(_xlfn.LET(_xlpm.result,RANK(_xlfn.XLOOKUP($A50,$A$2:$A$27,_xlfn.XLOOKUP(M$30,$B$1:$M$1,$B$2:$M$27)),$B$2:$M$27),IF(_xlpm.result&gt;150,"",_xlpm.result)),"")</f>
        <v>122</v>
      </c>
      <c r="N50" s="16">
        <f t="shared" si="0"/>
        <v>11</v>
      </c>
      <c r="O50" s="19">
        <f t="shared" si="1"/>
        <v>20</v>
      </c>
      <c r="P50" s="16">
        <v>4</v>
      </c>
    </row>
    <row r="51" spans="1:16" x14ac:dyDescent="0.25">
      <c r="A51" t="s">
        <v>45</v>
      </c>
      <c r="B51" s="1" cm="1">
        <f t="array" ref="B51">IFERROR(_xlfn.LET(_xlpm.result,RANK(_xlfn.XLOOKUP($A51,$A$2:$A$27,_xlfn.XLOOKUP(B$30,$B$1:$M$1,$B$2:$M$27)),$B$2:$M$27),IF(_xlpm.result&gt;150,"",_xlpm.result)),"")</f>
        <v>21</v>
      </c>
      <c r="C51" s="1" t="str" cm="1">
        <f t="array" ref="C51">IFERROR(_xlfn.LET(_xlpm.result,RANK(_xlfn.XLOOKUP($A51,$A$2:$A$27,_xlfn.XLOOKUP(C$30,$B$1:$M$1,$B$2:$M$27)),$B$2:$M$27),IF(_xlpm.result&gt;150,"",_xlpm.result)),"")</f>
        <v/>
      </c>
      <c r="D51" s="1" t="str" cm="1">
        <f t="array" ref="D51">IFERROR(_xlfn.LET(_xlpm.result,RANK(_xlfn.XLOOKUP($A51,$A$2:$A$27,_xlfn.XLOOKUP(D$30,$B$1:$M$1,$B$2:$M$27)),$B$2:$M$27),IF(_xlpm.result&gt;150,"",_xlpm.result)),"")</f>
        <v/>
      </c>
      <c r="E51" s="1" cm="1">
        <f t="array" ref="E51">IFERROR(_xlfn.LET(_xlpm.result,RANK(_xlfn.XLOOKUP($A51,$A$2:$A$27,_xlfn.XLOOKUP(E$30,$B$1:$M$1,$B$2:$M$27)),$B$2:$M$27),IF(_xlpm.result&gt;150,"",_xlpm.result)),"")</f>
        <v>143</v>
      </c>
      <c r="F51" s="1" cm="1">
        <f t="array" ref="F51">IFERROR(_xlfn.LET(_xlpm.result,RANK(_xlfn.XLOOKUP($A51,$A$2:$A$27,_xlfn.XLOOKUP(F$30,$B$1:$M$1,$B$2:$M$27)),$B$2:$M$27),IF(_xlpm.result&gt;150,"",_xlpm.result)),"")</f>
        <v>21</v>
      </c>
      <c r="G51" s="1" cm="1">
        <f t="array" ref="G51">IFERROR(_xlfn.LET(_xlpm.result,RANK(_xlfn.XLOOKUP($A51,$A$2:$A$27,_xlfn.XLOOKUP(G$30,$B$1:$M$1,$B$2:$M$27)),$B$2:$M$27),IF(_xlpm.result&gt;150,"",_xlpm.result)),"")</f>
        <v>95</v>
      </c>
      <c r="H51" s="1" t="str" cm="1">
        <f t="array" ref="H51">IFERROR(_xlfn.LET(_xlpm.result,RANK(_xlfn.XLOOKUP($A51,$A$2:$A$27,_xlfn.XLOOKUP(H$30,$B$1:$M$1,$B$2:$M$27)),$B$2:$M$27),IF(_xlpm.result&gt;150,"",_xlpm.result)),"")</f>
        <v/>
      </c>
      <c r="I51" s="1" cm="1">
        <f t="array" ref="I51">IFERROR(_xlfn.LET(_xlpm.result,RANK(_xlfn.XLOOKUP($A51,$A$2:$A$27,_xlfn.XLOOKUP(I$30,$B$1:$M$1,$B$2:$M$27)),$B$2:$M$27),IF(_xlpm.result&gt;150,"",_xlpm.result)),"")</f>
        <v>149</v>
      </c>
      <c r="J51" s="1" cm="1">
        <f t="array" ref="J51">IFERROR(_xlfn.LET(_xlpm.result,RANK(_xlfn.XLOOKUP($A51,$A$2:$A$27,_xlfn.XLOOKUP(J$30,$B$1:$M$1,$B$2:$M$27)),$B$2:$M$27),IF(_xlpm.result&gt;150,"",_xlpm.result)),"")</f>
        <v>56</v>
      </c>
      <c r="K51" s="1" t="str" cm="1">
        <f t="array" ref="K51">IFERROR(_xlfn.LET(_xlpm.result,RANK(_xlfn.XLOOKUP($A51,$A$2:$A$27,_xlfn.XLOOKUP(K$30,$B$1:$M$1,$B$2:$M$27)),$B$2:$M$27),IF(_xlpm.result&gt;150,"",_xlpm.result)),"")</f>
        <v/>
      </c>
      <c r="L51" s="1" cm="1">
        <f t="array" ref="L51">IFERROR(_xlfn.LET(_xlpm.result,RANK(_xlfn.XLOOKUP($A51,$A$2:$A$27,_xlfn.XLOOKUP(L$30,$B$1:$M$1,$B$2:$M$27)),$B$2:$M$27),IF(_xlpm.result&gt;150,"",_xlpm.result)),"")</f>
        <v>26</v>
      </c>
      <c r="M51" s="1" cm="1">
        <f t="array" ref="M51">IFERROR(_xlfn.LET(_xlpm.result,RANK(_xlfn.XLOOKUP($A51,$A$2:$A$27,_xlfn.XLOOKUP(M$30,$B$1:$M$1,$B$2:$M$27)),$B$2:$M$27),IF(_xlpm.result&gt;150,"",_xlpm.result)),"")</f>
        <v>149</v>
      </c>
      <c r="N51">
        <f t="shared" si="0"/>
        <v>8</v>
      </c>
      <c r="O51" s="10">
        <f t="shared" si="1"/>
        <v>21</v>
      </c>
      <c r="P51">
        <v>3</v>
      </c>
    </row>
    <row r="52" spans="1:16" x14ac:dyDescent="0.25">
      <c r="A52" t="s">
        <v>46</v>
      </c>
      <c r="B52" s="1" cm="1">
        <f t="array" ref="B52">IFERROR(_xlfn.LET(_xlpm.result,RANK(_xlfn.XLOOKUP($A52,$A$2:$A$27,_xlfn.XLOOKUP(B$30,$B$1:$M$1,$B$2:$M$27)),$B$2:$M$27),IF(_xlpm.result&gt;150,"",_xlpm.result)),"")</f>
        <v>70</v>
      </c>
      <c r="C52" s="1" cm="1">
        <f t="array" ref="C52">IFERROR(_xlfn.LET(_xlpm.result,RANK(_xlfn.XLOOKUP($A52,$A$2:$A$27,_xlfn.XLOOKUP(C$30,$B$1:$M$1,$B$2:$M$27)),$B$2:$M$27),IF(_xlpm.result&gt;150,"",_xlpm.result)),"")</f>
        <v>121</v>
      </c>
      <c r="D52" s="1" cm="1">
        <f t="array" ref="D52">IFERROR(_xlfn.LET(_xlpm.result,RANK(_xlfn.XLOOKUP($A52,$A$2:$A$27,_xlfn.XLOOKUP(D$30,$B$1:$M$1,$B$2:$M$27)),$B$2:$M$27),IF(_xlpm.result&gt;150,"",_xlpm.result)),"")</f>
        <v>55</v>
      </c>
      <c r="E52" s="1" cm="1">
        <f t="array" ref="E52">IFERROR(_xlfn.LET(_xlpm.result,RANK(_xlfn.XLOOKUP($A52,$A$2:$A$27,_xlfn.XLOOKUP(E$30,$B$1:$M$1,$B$2:$M$27)),$B$2:$M$27),IF(_xlpm.result&gt;150,"",_xlpm.result)),"")</f>
        <v>147</v>
      </c>
      <c r="F52" s="1" cm="1">
        <f t="array" ref="F52">IFERROR(_xlfn.LET(_xlpm.result,RANK(_xlfn.XLOOKUP($A52,$A$2:$A$27,_xlfn.XLOOKUP(F$30,$B$1:$M$1,$B$2:$M$27)),$B$2:$M$27),IF(_xlpm.result&gt;150,"",_xlpm.result)),"")</f>
        <v>59</v>
      </c>
      <c r="G52" s="1" cm="1">
        <f t="array" ref="G52">IFERROR(_xlfn.LET(_xlpm.result,RANK(_xlfn.XLOOKUP($A52,$A$2:$A$27,_xlfn.XLOOKUP(G$30,$B$1:$M$1,$B$2:$M$27)),$B$2:$M$27),IF(_xlpm.result&gt;150,"",_xlpm.result)),"")</f>
        <v>28</v>
      </c>
      <c r="H52" s="1" cm="1">
        <f t="array" ref="H52">IFERROR(_xlfn.LET(_xlpm.result,RANK(_xlfn.XLOOKUP($A52,$A$2:$A$27,_xlfn.XLOOKUP(H$30,$B$1:$M$1,$B$2:$M$27)),$B$2:$M$27),IF(_xlpm.result&gt;150,"",_xlpm.result)),"")</f>
        <v>17</v>
      </c>
      <c r="I52" s="1" cm="1">
        <f t="array" ref="I52">IFERROR(_xlfn.LET(_xlpm.result,RANK(_xlfn.XLOOKUP($A52,$A$2:$A$27,_xlfn.XLOOKUP(I$30,$B$1:$M$1,$B$2:$M$27)),$B$2:$M$27),IF(_xlpm.result&gt;150,"",_xlpm.result)),"")</f>
        <v>122</v>
      </c>
      <c r="J52" s="1" cm="1">
        <f t="array" ref="J52">IFERROR(_xlfn.LET(_xlpm.result,RANK(_xlfn.XLOOKUP($A52,$A$2:$A$27,_xlfn.XLOOKUP(J$30,$B$1:$M$1,$B$2:$M$27)),$B$2:$M$27),IF(_xlpm.result&gt;150,"",_xlpm.result)),"")</f>
        <v>4</v>
      </c>
      <c r="K52" s="1" cm="1">
        <f t="array" ref="K52">IFERROR(_xlfn.LET(_xlpm.result,RANK(_xlfn.XLOOKUP($A52,$A$2:$A$27,_xlfn.XLOOKUP(K$30,$B$1:$M$1,$B$2:$M$27)),$B$2:$M$27),IF(_xlpm.result&gt;150,"",_xlpm.result)),"")</f>
        <v>147</v>
      </c>
      <c r="L52" s="1" cm="1">
        <f t="array" ref="L52">IFERROR(_xlfn.LET(_xlpm.result,RANK(_xlfn.XLOOKUP($A52,$A$2:$A$27,_xlfn.XLOOKUP(L$30,$B$1:$M$1,$B$2:$M$27)),$B$2:$M$27),IF(_xlpm.result&gt;150,"",_xlpm.result)),"")</f>
        <v>63</v>
      </c>
      <c r="M52" s="1" cm="1">
        <f t="array" ref="M52">IFERROR(_xlfn.LET(_xlpm.result,RANK(_xlfn.XLOOKUP($A52,$A$2:$A$27,_xlfn.XLOOKUP(M$30,$B$1:$M$1,$B$2:$M$27)),$B$2:$M$27),IF(_xlpm.result&gt;150,"",_xlpm.result)),"")</f>
        <v>110</v>
      </c>
      <c r="N52">
        <f t="shared" si="0"/>
        <v>12</v>
      </c>
      <c r="O52" s="10">
        <f t="shared" si="1"/>
        <v>4</v>
      </c>
      <c r="P52">
        <v>2</v>
      </c>
    </row>
    <row r="53" spans="1:16" x14ac:dyDescent="0.25">
      <c r="A53" t="s">
        <v>47</v>
      </c>
      <c r="B53" s="1" cm="1">
        <f t="array" ref="B53">IFERROR(_xlfn.LET(_xlpm.result,RANK(_xlfn.XLOOKUP($A53,$A$2:$A$27,_xlfn.XLOOKUP(B$30,$B$1:$M$1,$B$2:$M$27)),$B$2:$M$27),IF(_xlpm.result&gt;150,"",_xlpm.result)),"")</f>
        <v>136</v>
      </c>
      <c r="C53" s="1" cm="1">
        <f t="array" ref="C53">IFERROR(_xlfn.LET(_xlpm.result,RANK(_xlfn.XLOOKUP($A53,$A$2:$A$27,_xlfn.XLOOKUP(C$30,$B$1:$M$1,$B$2:$M$27)),$B$2:$M$27),IF(_xlpm.result&gt;150,"",_xlpm.result)),"")</f>
        <v>122</v>
      </c>
      <c r="D53" s="1" t="str" cm="1">
        <f t="array" ref="D53">IFERROR(_xlfn.LET(_xlpm.result,RANK(_xlfn.XLOOKUP($A53,$A$2:$A$27,_xlfn.XLOOKUP(D$30,$B$1:$M$1,$B$2:$M$27)),$B$2:$M$27),IF(_xlpm.result&gt;150,"",_xlpm.result)),"")</f>
        <v/>
      </c>
      <c r="E53" s="1" cm="1">
        <f t="array" ref="E53">IFERROR(_xlfn.LET(_xlpm.result,RANK(_xlfn.XLOOKUP($A53,$A$2:$A$27,_xlfn.XLOOKUP(E$30,$B$1:$M$1,$B$2:$M$27)),$B$2:$M$27),IF(_xlpm.result&gt;150,"",_xlpm.result)),"")</f>
        <v>73</v>
      </c>
      <c r="F53" s="1" t="str" cm="1">
        <f t="array" ref="F53">IFERROR(_xlfn.LET(_xlpm.result,RANK(_xlfn.XLOOKUP($A53,$A$2:$A$27,_xlfn.XLOOKUP(F$30,$B$1:$M$1,$B$2:$M$27)),$B$2:$M$27),IF(_xlpm.result&gt;150,"",_xlpm.result)),"")</f>
        <v/>
      </c>
      <c r="G53" s="1" cm="1">
        <f t="array" ref="G53">IFERROR(_xlfn.LET(_xlpm.result,RANK(_xlfn.XLOOKUP($A53,$A$2:$A$27,_xlfn.XLOOKUP(G$30,$B$1:$M$1,$B$2:$M$27)),$B$2:$M$27),IF(_xlpm.result&gt;150,"",_xlpm.result)),"")</f>
        <v>7</v>
      </c>
      <c r="H53" s="1" cm="1">
        <f t="array" ref="H53">IFERROR(_xlfn.LET(_xlpm.result,RANK(_xlfn.XLOOKUP($A53,$A$2:$A$27,_xlfn.XLOOKUP(H$30,$B$1:$M$1,$B$2:$M$27)),$B$2:$M$27),IF(_xlpm.result&gt;150,"",_xlpm.result)),"")</f>
        <v>119</v>
      </c>
      <c r="I53" s="1" cm="1">
        <f t="array" ref="I53">IFERROR(_xlfn.LET(_xlpm.result,RANK(_xlfn.XLOOKUP($A53,$A$2:$A$27,_xlfn.XLOOKUP(I$30,$B$1:$M$1,$B$2:$M$27)),$B$2:$M$27),IF(_xlpm.result&gt;150,"",_xlpm.result)),"")</f>
        <v>92</v>
      </c>
      <c r="J53" s="1" t="str" cm="1">
        <f t="array" ref="J53">IFERROR(_xlfn.LET(_xlpm.result,RANK(_xlfn.XLOOKUP($A53,$A$2:$A$27,_xlfn.XLOOKUP(J$30,$B$1:$M$1,$B$2:$M$27)),$B$2:$M$27),IF(_xlpm.result&gt;150,"",_xlpm.result)),"")</f>
        <v/>
      </c>
      <c r="K53" s="1" t="str" cm="1">
        <f t="array" ref="K53">IFERROR(_xlfn.LET(_xlpm.result,RANK(_xlfn.XLOOKUP($A53,$A$2:$A$27,_xlfn.XLOOKUP(K$30,$B$1:$M$1,$B$2:$M$27)),$B$2:$M$27),IF(_xlpm.result&gt;150,"",_xlpm.result)),"")</f>
        <v/>
      </c>
      <c r="L53" s="1" cm="1">
        <f t="array" ref="L53">IFERROR(_xlfn.LET(_xlpm.result,RANK(_xlfn.XLOOKUP($A53,$A$2:$A$27,_xlfn.XLOOKUP(L$30,$B$1:$M$1,$B$2:$M$27)),$B$2:$M$27),IF(_xlpm.result&gt;150,"",_xlpm.result)),"")</f>
        <v>48</v>
      </c>
      <c r="M53" s="1" cm="1">
        <f t="array" ref="M53">IFERROR(_xlfn.LET(_xlpm.result,RANK(_xlfn.XLOOKUP($A53,$A$2:$A$27,_xlfn.XLOOKUP(M$30,$B$1:$M$1,$B$2:$M$27)),$B$2:$M$27),IF(_xlpm.result&gt;150,"",_xlpm.result)),"")</f>
        <v>141</v>
      </c>
      <c r="N53">
        <f t="shared" si="0"/>
        <v>8</v>
      </c>
      <c r="O53" s="10">
        <f t="shared" si="1"/>
        <v>7</v>
      </c>
      <c r="P53">
        <v>1</v>
      </c>
    </row>
    <row r="54" spans="1:16" x14ac:dyDescent="0.25">
      <c r="A54" t="s">
        <v>48</v>
      </c>
      <c r="B54" s="1" t="str" cm="1">
        <f t="array" ref="B54">IFERROR(_xlfn.LET(_xlpm.result,RANK(_xlfn.XLOOKUP($A54,$A$2:$A$27,_xlfn.XLOOKUP(B$30,$B$1:$M$1,$B$2:$M$27)),$B$2:$M$27),IF(_xlpm.result&gt;150,"",_xlpm.result)),"")</f>
        <v/>
      </c>
      <c r="C54" s="1" cm="1">
        <f t="array" ref="C54">IFERROR(_xlfn.LET(_xlpm.result,RANK(_xlfn.XLOOKUP($A54,$A$2:$A$27,_xlfn.XLOOKUP(C$30,$B$1:$M$1,$B$2:$M$27)),$B$2:$M$27),IF(_xlpm.result&gt;150,"",_xlpm.result)),"")</f>
        <v>15</v>
      </c>
      <c r="D54" s="1" cm="1">
        <f t="array" ref="D54">IFERROR(_xlfn.LET(_xlpm.result,RANK(_xlfn.XLOOKUP($A54,$A$2:$A$27,_xlfn.XLOOKUP(D$30,$B$1:$M$1,$B$2:$M$27)),$B$2:$M$27),IF(_xlpm.result&gt;150,"",_xlpm.result)),"")</f>
        <v>122</v>
      </c>
      <c r="E54" s="1" cm="1">
        <f t="array" ref="E54">IFERROR(_xlfn.LET(_xlpm.result,RANK(_xlfn.XLOOKUP($A54,$A$2:$A$27,_xlfn.XLOOKUP(E$30,$B$1:$M$1,$B$2:$M$27)),$B$2:$M$27),IF(_xlpm.result&gt;150,"",_xlpm.result)),"")</f>
        <v>95</v>
      </c>
      <c r="F54" s="1" t="str" cm="1">
        <f t="array" ref="F54">IFERROR(_xlfn.LET(_xlpm.result,RANK(_xlfn.XLOOKUP($A54,$A$2:$A$27,_xlfn.XLOOKUP(F$30,$B$1:$M$1,$B$2:$M$27)),$B$2:$M$27),IF(_xlpm.result&gt;150,"",_xlpm.result)),"")</f>
        <v/>
      </c>
      <c r="G54" s="1" t="str" cm="1">
        <f t="array" ref="G54">IFERROR(_xlfn.LET(_xlpm.result,RANK(_xlfn.XLOOKUP($A54,$A$2:$A$27,_xlfn.XLOOKUP(G$30,$B$1:$M$1,$B$2:$M$27)),$B$2:$M$27),IF(_xlpm.result&gt;150,"",_xlpm.result)),"")</f>
        <v/>
      </c>
      <c r="H54" s="1" cm="1">
        <f t="array" ref="H54">IFERROR(_xlfn.LET(_xlpm.result,RANK(_xlfn.XLOOKUP($A54,$A$2:$A$27,_xlfn.XLOOKUP(H$30,$B$1:$M$1,$B$2:$M$27)),$B$2:$M$27),IF(_xlpm.result&gt;150,"",_xlpm.result)),"")</f>
        <v>63</v>
      </c>
      <c r="I54" s="1" cm="1">
        <f t="array" ref="I54">IFERROR(_xlfn.LET(_xlpm.result,RANK(_xlfn.XLOOKUP($A54,$A$2:$A$27,_xlfn.XLOOKUP(I$30,$B$1:$M$1,$B$2:$M$27)),$B$2:$M$27),IF(_xlpm.result&gt;150,"",_xlpm.result)),"")</f>
        <v>15</v>
      </c>
      <c r="J54" s="1" cm="1">
        <f t="array" ref="J54">IFERROR(_xlfn.LET(_xlpm.result,RANK(_xlfn.XLOOKUP($A54,$A$2:$A$27,_xlfn.XLOOKUP(J$30,$B$1:$M$1,$B$2:$M$27)),$B$2:$M$27),IF(_xlpm.result&gt;150,"",_xlpm.result)),"")</f>
        <v>73</v>
      </c>
      <c r="K54" s="1" cm="1">
        <f t="array" ref="K54">IFERROR(_xlfn.LET(_xlpm.result,RANK(_xlfn.XLOOKUP($A54,$A$2:$A$27,_xlfn.XLOOKUP(K$30,$B$1:$M$1,$B$2:$M$27)),$B$2:$M$27),IF(_xlpm.result&gt;150,"",_xlpm.result)),"")</f>
        <v>36</v>
      </c>
      <c r="L54" s="1" cm="1">
        <f t="array" ref="L54">IFERROR(_xlfn.LET(_xlpm.result,RANK(_xlfn.XLOOKUP($A54,$A$2:$A$27,_xlfn.XLOOKUP(L$30,$B$1:$M$1,$B$2:$M$27)),$B$2:$M$27),IF(_xlpm.result&gt;150,"",_xlpm.result)),"")</f>
        <v>43</v>
      </c>
      <c r="M54" s="1" cm="1">
        <f t="array" ref="M54">IFERROR(_xlfn.LET(_xlpm.result,RANK(_xlfn.XLOOKUP($A54,$A$2:$A$27,_xlfn.XLOOKUP(M$30,$B$1:$M$1,$B$2:$M$27)),$B$2:$M$27),IF(_xlpm.result&gt;150,"",_xlpm.result)),"")</f>
        <v>36</v>
      </c>
      <c r="N54">
        <f t="shared" si="0"/>
        <v>9</v>
      </c>
      <c r="O54" s="10">
        <f t="shared" si="1"/>
        <v>15</v>
      </c>
    </row>
    <row r="55" spans="1:16" x14ac:dyDescent="0.25">
      <c r="A55" t="s">
        <v>49</v>
      </c>
      <c r="B55" s="1" t="str" cm="1">
        <f t="array" ref="B55">IFERROR(_xlfn.LET(_xlpm.result,RANK(_xlfn.XLOOKUP($A55,$A$2:$A$27,_xlfn.XLOOKUP(B$30,$B$1:$M$1,$B$2:$M$27)),$B$2:$M$27),IF(_xlpm.result&gt;150,"",_xlpm.result)),"")</f>
        <v/>
      </c>
      <c r="C55" s="1" t="str" cm="1">
        <f t="array" ref="C55">IFERROR(_xlfn.LET(_xlpm.result,RANK(_xlfn.XLOOKUP($A55,$A$2:$A$27,_xlfn.XLOOKUP(C$30,$B$1:$M$1,$B$2:$M$27)),$B$2:$M$27),IF(_xlpm.result&gt;150,"",_xlpm.result)),"")</f>
        <v/>
      </c>
      <c r="D55" s="1" t="str" cm="1">
        <f t="array" ref="D55">IFERROR(_xlfn.LET(_xlpm.result,RANK(_xlfn.XLOOKUP($A55,$A$2:$A$27,_xlfn.XLOOKUP(D$30,$B$1:$M$1,$B$2:$M$27)),$B$2:$M$27),IF(_xlpm.result&gt;150,"",_xlpm.result)),"")</f>
        <v/>
      </c>
      <c r="E55" s="1" cm="1">
        <f t="array" ref="E55">IFERROR(_xlfn.LET(_xlpm.result,RANK(_xlfn.XLOOKUP($A55,$A$2:$A$27,_xlfn.XLOOKUP(E$30,$B$1:$M$1,$B$2:$M$27)),$B$2:$M$27),IF(_xlpm.result&gt;150,"",_xlpm.result)),"")</f>
        <v>122</v>
      </c>
      <c r="F55" s="1" t="str" cm="1">
        <f t="array" ref="F55">IFERROR(_xlfn.LET(_xlpm.result,RANK(_xlfn.XLOOKUP($A55,$A$2:$A$27,_xlfn.XLOOKUP(F$30,$B$1:$M$1,$B$2:$M$27)),$B$2:$M$27),IF(_xlpm.result&gt;150,"",_xlpm.result)),"")</f>
        <v/>
      </c>
      <c r="G55" s="1" t="str" cm="1">
        <f t="array" ref="G55">IFERROR(_xlfn.LET(_xlpm.result,RANK(_xlfn.XLOOKUP($A55,$A$2:$A$27,_xlfn.XLOOKUP(G$30,$B$1:$M$1,$B$2:$M$27)),$B$2:$M$27),IF(_xlpm.result&gt;150,"",_xlpm.result)),"")</f>
        <v/>
      </c>
      <c r="H55" s="1" t="str" cm="1">
        <f t="array" ref="H55">IFERROR(_xlfn.LET(_xlpm.result,RANK(_xlfn.XLOOKUP($A55,$A$2:$A$27,_xlfn.XLOOKUP(H$30,$B$1:$M$1,$B$2:$M$27)),$B$2:$M$27),IF(_xlpm.result&gt;150,"",_xlpm.result)),"")</f>
        <v/>
      </c>
      <c r="I55" s="1" t="str" cm="1">
        <f t="array" ref="I55">IFERROR(_xlfn.LET(_xlpm.result,RANK(_xlfn.XLOOKUP($A55,$A$2:$A$27,_xlfn.XLOOKUP(I$30,$B$1:$M$1,$B$2:$M$27)),$B$2:$M$27),IF(_xlpm.result&gt;150,"",_xlpm.result)),"")</f>
        <v/>
      </c>
      <c r="J55" s="1" t="str" cm="1">
        <f t="array" ref="J55">IFERROR(_xlfn.LET(_xlpm.result,RANK(_xlfn.XLOOKUP($A55,$A$2:$A$27,_xlfn.XLOOKUP(J$30,$B$1:$M$1,$B$2:$M$27)),$B$2:$M$27),IF(_xlpm.result&gt;150,"",_xlpm.result)),"")</f>
        <v/>
      </c>
      <c r="K55" s="1" t="str" cm="1">
        <f t="array" ref="K55">IFERROR(_xlfn.LET(_xlpm.result,RANK(_xlfn.XLOOKUP($A55,$A$2:$A$27,_xlfn.XLOOKUP(K$30,$B$1:$M$1,$B$2:$M$27)),$B$2:$M$27),IF(_xlpm.result&gt;150,"",_xlpm.result)),"")</f>
        <v/>
      </c>
      <c r="L55" s="1" t="str" cm="1">
        <f t="array" ref="L55">IFERROR(_xlfn.LET(_xlpm.result,RANK(_xlfn.XLOOKUP($A55,$A$2:$A$27,_xlfn.XLOOKUP(L$30,$B$1:$M$1,$B$2:$M$27)),$B$2:$M$27),IF(_xlpm.result&gt;150,"",_xlpm.result)),"")</f>
        <v/>
      </c>
      <c r="M55" s="1" t="str" cm="1">
        <f t="array" ref="M55">IFERROR(_xlfn.LET(_xlpm.result,RANK(_xlfn.XLOOKUP($A55,$A$2:$A$27,_xlfn.XLOOKUP(M$30,$B$1:$M$1,$B$2:$M$27)),$B$2:$M$27),IF(_xlpm.result&gt;150,"",_xlpm.result)),"")</f>
        <v/>
      </c>
      <c r="N55">
        <f t="shared" si="0"/>
        <v>1</v>
      </c>
      <c r="O55" s="10">
        <f t="shared" si="1"/>
        <v>122</v>
      </c>
    </row>
    <row r="56" spans="1:16" x14ac:dyDescent="0.25">
      <c r="A56" t="s">
        <v>50</v>
      </c>
      <c r="B56" s="1" cm="1">
        <f t="array" ref="B56">IFERROR(_xlfn.LET(_xlpm.result,RANK(_xlfn.XLOOKUP($A56,$A$2:$A$27,_xlfn.XLOOKUP(B$30,$B$1:$M$1,$B$2:$M$27)),$B$2:$M$27),IF(_xlpm.result&gt;150,"",_xlpm.result)),"")</f>
        <v>83</v>
      </c>
      <c r="C56" s="1" t="str" cm="1">
        <f t="array" ref="C56">IFERROR(_xlfn.LET(_xlpm.result,RANK(_xlfn.XLOOKUP($A56,$A$2:$A$27,_xlfn.XLOOKUP(C$30,$B$1:$M$1,$B$2:$M$27)),$B$2:$M$27),IF(_xlpm.result&gt;150,"",_xlpm.result)),"")</f>
        <v/>
      </c>
      <c r="D56" s="1" cm="1">
        <f t="array" ref="D56">IFERROR(_xlfn.LET(_xlpm.result,RANK(_xlfn.XLOOKUP($A56,$A$2:$A$27,_xlfn.XLOOKUP(D$30,$B$1:$M$1,$B$2:$M$27)),$B$2:$M$27),IF(_xlpm.result&gt;150,"",_xlpm.result)),"")</f>
        <v>83</v>
      </c>
      <c r="E56" s="1" t="str" cm="1">
        <f t="array" ref="E56">IFERROR(_xlfn.LET(_xlpm.result,RANK(_xlfn.XLOOKUP($A56,$A$2:$A$27,_xlfn.XLOOKUP(E$30,$B$1:$M$1,$B$2:$M$27)),$B$2:$M$27),IF(_xlpm.result&gt;150,"",_xlpm.result)),"")</f>
        <v/>
      </c>
      <c r="F56" s="1" cm="1">
        <f t="array" ref="F56">IFERROR(_xlfn.LET(_xlpm.result,RANK(_xlfn.XLOOKUP($A56,$A$2:$A$27,_xlfn.XLOOKUP(F$30,$B$1:$M$1,$B$2:$M$27)),$B$2:$M$27),IF(_xlpm.result&gt;150,"",_xlpm.result)),"")</f>
        <v>24</v>
      </c>
      <c r="G56" s="1" cm="1">
        <f t="array" ref="G56">IFERROR(_xlfn.LET(_xlpm.result,RANK(_xlfn.XLOOKUP($A56,$A$2:$A$27,_xlfn.XLOOKUP(G$30,$B$1:$M$1,$B$2:$M$27)),$B$2:$M$27),IF(_xlpm.result&gt;150,"",_xlpm.result)),"")</f>
        <v>122</v>
      </c>
      <c r="H56" s="1" cm="1">
        <f t="array" ref="H56">IFERROR(_xlfn.LET(_xlpm.result,RANK(_xlfn.XLOOKUP($A56,$A$2:$A$27,_xlfn.XLOOKUP(H$30,$B$1:$M$1,$B$2:$M$27)),$B$2:$M$27),IF(_xlpm.result&gt;150,"",_xlpm.result)),"")</f>
        <v>101</v>
      </c>
      <c r="I56" s="1" cm="1">
        <f t="array" ref="I56">IFERROR(_xlfn.LET(_xlpm.result,RANK(_xlfn.XLOOKUP($A56,$A$2:$A$27,_xlfn.XLOOKUP(I$30,$B$1:$M$1,$B$2:$M$27)),$B$2:$M$27),IF(_xlpm.result&gt;150,"",_xlpm.result)),"")</f>
        <v>73</v>
      </c>
      <c r="J56" s="1" cm="1">
        <f t="array" ref="J56">IFERROR(_xlfn.LET(_xlpm.result,RANK(_xlfn.XLOOKUP($A56,$A$2:$A$27,_xlfn.XLOOKUP(J$30,$B$1:$M$1,$B$2:$M$27)),$B$2:$M$27),IF(_xlpm.result&gt;150,"",_xlpm.result)),"")</f>
        <v>29</v>
      </c>
      <c r="K56" s="1" cm="1">
        <f t="array" ref="K56">IFERROR(_xlfn.LET(_xlpm.result,RANK(_xlfn.XLOOKUP($A56,$A$2:$A$27,_xlfn.XLOOKUP(K$30,$B$1:$M$1,$B$2:$M$27)),$B$2:$M$27),IF(_xlpm.result&gt;150,"",_xlpm.result)),"")</f>
        <v>122</v>
      </c>
      <c r="L56" s="1" cm="1">
        <f t="array" ref="L56">IFERROR(_xlfn.LET(_xlpm.result,RANK(_xlfn.XLOOKUP($A56,$A$2:$A$27,_xlfn.XLOOKUP(L$30,$B$1:$M$1,$B$2:$M$27)),$B$2:$M$27),IF(_xlpm.result&gt;150,"",_xlpm.result)),"")</f>
        <v>83</v>
      </c>
      <c r="M56" s="1" cm="1">
        <f t="array" ref="M56">IFERROR(_xlfn.LET(_xlpm.result,RANK(_xlfn.XLOOKUP($A56,$A$2:$A$27,_xlfn.XLOOKUP(M$30,$B$1:$M$1,$B$2:$M$27)),$B$2:$M$27),IF(_xlpm.result&gt;150,"",_xlpm.result)),"")</f>
        <v>122</v>
      </c>
      <c r="N56">
        <f t="shared" si="0"/>
        <v>10</v>
      </c>
      <c r="O56" s="10">
        <f t="shared" si="1"/>
        <v>24</v>
      </c>
    </row>
    <row r="57" spans="1:16" x14ac:dyDescent="0.25">
      <c r="B57" s="1" t="str" cm="1">
        <f t="array" ref="B57">IFERROR(_xlfn.LET(_xlpm.result,RANK(_xlfn.XLOOKUP($A57,$A$2:$A$27,_xlfn.XLOOKUP(B$30,$B$1:$M$1,$B$2:$M$27)),$B$2:$M$27),IF(_xlpm.result&gt;150,"",_xlpm.result)),"")</f>
        <v/>
      </c>
      <c r="C57" s="1" t="str" cm="1">
        <f t="array" ref="C57">IFERROR(_xlfn.LET(_xlpm.result,RANK(_xlfn.XLOOKUP($A57,$A$2:$A$27,_xlfn.XLOOKUP(C$30,$B$1:$M$1,$B$2:$M$27)),$B$2:$M$27),IF(_xlpm.result&gt;150,"",_xlpm.result)),"")</f>
        <v/>
      </c>
      <c r="D57" s="1" t="str" cm="1">
        <f t="array" ref="D57">IFERROR(_xlfn.LET(_xlpm.result,RANK(_xlfn.XLOOKUP($A57,$A$2:$A$27,_xlfn.XLOOKUP(D$30,$B$1:$M$1,$B$2:$M$27)),$B$2:$M$27),IF(_xlpm.result&gt;150,"",_xlpm.result)),"")</f>
        <v/>
      </c>
      <c r="E57" s="1" t="str" cm="1">
        <f t="array" ref="E57">IFERROR(_xlfn.LET(_xlpm.result,RANK(_xlfn.XLOOKUP($A57,$A$2:$A$27,_xlfn.XLOOKUP(E$30,$B$1:$M$1,$B$2:$M$27)),$B$2:$M$27),IF(_xlpm.result&gt;150,"",_xlpm.result)),"")</f>
        <v/>
      </c>
      <c r="F57" s="1" t="str" cm="1">
        <f t="array" ref="F57">IFERROR(_xlfn.LET(_xlpm.result,RANK(_xlfn.XLOOKUP($A57,$A$2:$A$27,_xlfn.XLOOKUP(F$30,$B$1:$M$1,$B$2:$M$27)),$B$2:$M$27),IF(_xlpm.result&gt;150,"",_xlpm.result)),"")</f>
        <v/>
      </c>
      <c r="G57" s="1" t="str" cm="1">
        <f t="array" ref="G57">IFERROR(_xlfn.LET(_xlpm.result,RANK(_xlfn.XLOOKUP($A57,$A$2:$A$27,_xlfn.XLOOKUP(G$30,$B$1:$M$1,$B$2:$M$27)),$B$2:$M$27),IF(_xlpm.result&gt;150,"",_xlpm.result)),"")</f>
        <v/>
      </c>
      <c r="H57" s="1" t="str" cm="1">
        <f t="array" ref="H57">IFERROR(_xlfn.LET(_xlpm.result,RANK(_xlfn.XLOOKUP($A57,$A$2:$A$27,_xlfn.XLOOKUP(H$30,$B$1:$M$1,$B$2:$M$27)),$B$2:$M$27),IF(_xlpm.result&gt;150,"",_xlpm.result)),"")</f>
        <v/>
      </c>
      <c r="I57" s="1" t="str" cm="1">
        <f t="array" ref="I57">IFERROR(_xlfn.LET(_xlpm.result,RANK(_xlfn.XLOOKUP($A57,$A$2:$A$27,_xlfn.XLOOKUP(I$30,$B$1:$M$1,$B$2:$M$27)),$B$2:$M$27),IF(_xlpm.result&gt;150,"",_xlpm.result)),"")</f>
        <v/>
      </c>
      <c r="J57" s="1" t="str" cm="1">
        <f t="array" ref="J57">IFERROR(_xlfn.LET(_xlpm.result,RANK(_xlfn.XLOOKUP($A57,$A$2:$A$27,_xlfn.XLOOKUP(J$30,$B$1:$M$1,$B$2:$M$27)),$B$2:$M$27),IF(_xlpm.result&gt;150,"",_xlpm.result)),"")</f>
        <v/>
      </c>
      <c r="K57" s="1" t="str" cm="1">
        <f t="array" ref="K57">IFERROR(_xlfn.LET(_xlpm.result,RANK(_xlfn.XLOOKUP($A57,$A$2:$A$27,_xlfn.XLOOKUP(K$30,$B$1:$M$1,$B$2:$M$27)),$B$2:$M$27),IF(_xlpm.result&gt;150,"",_xlpm.result)),"")</f>
        <v/>
      </c>
      <c r="L57" s="1" t="str" cm="1">
        <f t="array" ref="L57">IFERROR(_xlfn.LET(_xlpm.result,RANK(_xlfn.XLOOKUP($A57,$A$2:$A$27,_xlfn.XLOOKUP(L$30,$B$1:$M$1,$B$2:$M$27)),$B$2:$M$27),IF(_xlpm.result&gt;150,"",_xlpm.result)),"")</f>
        <v/>
      </c>
      <c r="M57" s="1" t="str" cm="1">
        <f t="array" ref="M57">IFERROR(_xlfn.LET(_xlpm.result,RANK(_xlfn.XLOOKUP($A57,$A$2:$A$27,_xlfn.XLOOKUP(M$30,$B$1:$M$1,$B$2:$M$27)),$B$2:$M$27),IF(_xlpm.result&gt;150,"",_xlpm.result)),"")</f>
        <v/>
      </c>
      <c r="O57" s="10"/>
    </row>
    <row r="58" spans="1:16" s="24" customFormat="1" x14ac:dyDescent="0.25"/>
    <row r="59" spans="1:16" x14ac:dyDescent="0.25">
      <c r="B59" s="1">
        <f>MAX(B60:B86)</f>
        <v>107</v>
      </c>
      <c r="C59" s="1">
        <f t="shared" ref="C59:M59" si="2">MAX(C60:C86)</f>
        <v>80</v>
      </c>
      <c r="D59" s="1">
        <f t="shared" si="2"/>
        <v>100</v>
      </c>
      <c r="E59" s="1">
        <f t="shared" si="2"/>
        <v>66</v>
      </c>
      <c r="F59" s="1">
        <f t="shared" si="2"/>
        <v>76.999999999999901</v>
      </c>
      <c r="G59" s="1">
        <f t="shared" si="2"/>
        <v>95</v>
      </c>
      <c r="H59" s="1">
        <f t="shared" si="2"/>
        <v>84</v>
      </c>
      <c r="I59" s="1">
        <f t="shared" si="2"/>
        <v>97</v>
      </c>
      <c r="J59" s="1">
        <f t="shared" si="2"/>
        <v>104</v>
      </c>
      <c r="K59" s="1">
        <f t="shared" si="2"/>
        <v>151</v>
      </c>
      <c r="L59" s="1">
        <f t="shared" si="2"/>
        <v>65</v>
      </c>
      <c r="M59" s="1">
        <f t="shared" si="2"/>
        <v>107</v>
      </c>
    </row>
    <row r="60" spans="1:16" x14ac:dyDescent="0.25">
      <c r="A60" t="s">
        <v>0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  <c r="G60" t="s">
        <v>12</v>
      </c>
      <c r="H60" t="s">
        <v>13</v>
      </c>
      <c r="I60" t="s">
        <v>14</v>
      </c>
      <c r="J60" t="s">
        <v>15</v>
      </c>
      <c r="K60" t="s">
        <v>16</v>
      </c>
      <c r="L60" t="s">
        <v>17</v>
      </c>
      <c r="M60" t="s">
        <v>18</v>
      </c>
      <c r="N60" t="s">
        <v>54</v>
      </c>
    </row>
    <row r="61" spans="1:16" x14ac:dyDescent="0.25">
      <c r="A61" t="s">
        <v>25</v>
      </c>
      <c r="B61" s="1" t="str" cm="1">
        <f t="array" ref="B61">_xlfn.LET(_xlpm.result,10*_xlfn.XLOOKUP($A61,$A$2:$A$27,_xlfn.XLOOKUP(B$30,$B$1:$M$1,$B$2:$M$27)),IF(_xlpm.result&lt;0,"",_xlpm.result))</f>
        <v/>
      </c>
      <c r="C61" s="1" t="str" cm="1">
        <f t="array" ref="C61">_xlfn.LET(_xlpm.result,10*_xlfn.XLOOKUP($A61,$A$2:$A$27,_xlfn.XLOOKUP(C$30,$B$1:$M$1,$B$2:$M$27)),IF(_xlpm.result&lt;0,"",_xlpm.result))</f>
        <v/>
      </c>
      <c r="D61" s="1" t="str" cm="1">
        <f t="array" ref="D61">_xlfn.LET(_xlpm.result,10*_xlfn.XLOOKUP($A61,$A$2:$A$27,_xlfn.XLOOKUP(D$30,$B$1:$M$1,$B$2:$M$27)),IF(_xlpm.result&lt;0,"",_xlpm.result))</f>
        <v/>
      </c>
      <c r="E61" s="17" cm="1">
        <f t="array" ref="E61">_xlfn.LET(_xlpm.result,10*_xlfn.XLOOKUP($A61,$A$2:$A$27,_xlfn.XLOOKUP(E$30,$B$1:$M$1,$B$2:$M$27)),IF(_xlpm.result&lt;0,"",_xlpm.result))</f>
        <v>0</v>
      </c>
      <c r="F61" s="1" t="str" cm="1">
        <f t="array" ref="F61">_xlfn.LET(_xlpm.result,10*_xlfn.XLOOKUP($A61,$A$2:$A$27,_xlfn.XLOOKUP(F$30,$B$1:$M$1,$B$2:$M$27)),IF(_xlpm.result&lt;0,"",_xlpm.result))</f>
        <v/>
      </c>
      <c r="G61" s="1" t="str" cm="1">
        <f t="array" ref="G61">_xlfn.LET(_xlpm.result,10*_xlfn.XLOOKUP($A61,$A$2:$A$27,_xlfn.XLOOKUP(G$30,$B$1:$M$1,$B$2:$M$27)),IF(_xlpm.result&lt;0,"",_xlpm.result))</f>
        <v/>
      </c>
      <c r="H61" s="1" t="str" cm="1">
        <f t="array" ref="H61">_xlfn.LET(_xlpm.result,10*_xlfn.XLOOKUP($A61,$A$2:$A$27,_xlfn.XLOOKUP(H$30,$B$1:$M$1,$B$2:$M$27)),IF(_xlpm.result&lt;0,"",_xlpm.result))</f>
        <v/>
      </c>
      <c r="I61" s="1" t="str" cm="1">
        <f t="array" ref="I61">_xlfn.LET(_xlpm.result,10*_xlfn.XLOOKUP($A61,$A$2:$A$27,_xlfn.XLOOKUP(I$30,$B$1:$M$1,$B$2:$M$27)),IF(_xlpm.result&lt;0,"",_xlpm.result))</f>
        <v/>
      </c>
      <c r="J61" s="1" t="str" cm="1">
        <f t="array" ref="J61">_xlfn.LET(_xlpm.result,10*_xlfn.XLOOKUP($A61,$A$2:$A$27,_xlfn.XLOOKUP(J$30,$B$1:$M$1,$B$2:$M$27)),IF(_xlpm.result&lt;0,"",_xlpm.result))</f>
        <v/>
      </c>
      <c r="K61" s="1" t="str" cm="1">
        <f t="array" ref="K61">_xlfn.LET(_xlpm.result,10*_xlfn.XLOOKUP($A61,$A$2:$A$27,_xlfn.XLOOKUP(K$30,$B$1:$M$1,$B$2:$M$27)),IF(_xlpm.result&lt;0,"",_xlpm.result))</f>
        <v/>
      </c>
      <c r="L61" s="1" t="str" cm="1">
        <f t="array" ref="L61">_xlfn.LET(_xlpm.result,10*_xlfn.XLOOKUP($A61,$A$2:$A$27,_xlfn.XLOOKUP(L$30,$B$1:$M$1,$B$2:$M$27)),IF(_xlpm.result&lt;0,"",_xlpm.result))</f>
        <v/>
      </c>
      <c r="M61" s="1" t="str" cm="1">
        <f t="array" ref="M61">_xlfn.LET(_xlpm.result,10*_xlfn.XLOOKUP($A61,$A$2:$A$27,_xlfn.XLOOKUP(M$30,$B$1:$M$1,$B$2:$M$27)),IF(_xlpm.result&lt;0,"",_xlpm.result))</f>
        <v/>
      </c>
      <c r="N61" s="10">
        <f t="shared" ref="N61:N86" si="3">MAX(B61:M61)</f>
        <v>0</v>
      </c>
    </row>
    <row r="62" spans="1:16" x14ac:dyDescent="0.25">
      <c r="A62" t="s">
        <v>49</v>
      </c>
      <c r="B62" s="1" t="str" cm="1">
        <f t="array" ref="B62">_xlfn.LET(_xlpm.result,10*_xlfn.XLOOKUP($A62,$A$2:$A$27,_xlfn.XLOOKUP(B$30,$B$1:$M$1,$B$2:$M$27)),IF(_xlpm.result&lt;0,"",_xlpm.result))</f>
        <v/>
      </c>
      <c r="C62" s="1" t="str" cm="1">
        <f t="array" ref="C62">_xlfn.LET(_xlpm.result,10*_xlfn.XLOOKUP($A62,$A$2:$A$27,_xlfn.XLOOKUP(C$30,$B$1:$M$1,$B$2:$M$27)),IF(_xlpm.result&lt;0,"",_xlpm.result))</f>
        <v/>
      </c>
      <c r="D62" s="1" t="str" cm="1">
        <f t="array" ref="D62">_xlfn.LET(_xlpm.result,10*_xlfn.XLOOKUP($A62,$A$2:$A$27,_xlfn.XLOOKUP(D$30,$B$1:$M$1,$B$2:$M$27)),IF(_xlpm.result&lt;0,"",_xlpm.result))</f>
        <v/>
      </c>
      <c r="E62" s="17" cm="1">
        <f t="array" ref="E62">_xlfn.LET(_xlpm.result,10*_xlfn.XLOOKUP($A62,$A$2:$A$27,_xlfn.XLOOKUP(E$30,$B$1:$M$1,$B$2:$M$27)),IF(_xlpm.result&lt;0,"",_xlpm.result))</f>
        <v>0</v>
      </c>
      <c r="F62" s="1" t="str" cm="1">
        <f t="array" ref="F62">_xlfn.LET(_xlpm.result,10*_xlfn.XLOOKUP($A62,$A$2:$A$27,_xlfn.XLOOKUP(F$30,$B$1:$M$1,$B$2:$M$27)),IF(_xlpm.result&lt;0,"",_xlpm.result))</f>
        <v/>
      </c>
      <c r="G62" s="1" t="str" cm="1">
        <f t="array" ref="G62">_xlfn.LET(_xlpm.result,10*_xlfn.XLOOKUP($A62,$A$2:$A$27,_xlfn.XLOOKUP(G$30,$B$1:$M$1,$B$2:$M$27)),IF(_xlpm.result&lt;0,"",_xlpm.result))</f>
        <v/>
      </c>
      <c r="H62" s="1" t="str" cm="1">
        <f t="array" ref="H62">_xlfn.LET(_xlpm.result,10*_xlfn.XLOOKUP($A62,$A$2:$A$27,_xlfn.XLOOKUP(H$30,$B$1:$M$1,$B$2:$M$27)),IF(_xlpm.result&lt;0,"",_xlpm.result))</f>
        <v/>
      </c>
      <c r="I62" s="1" t="str" cm="1">
        <f t="array" ref="I62">_xlfn.LET(_xlpm.result,10*_xlfn.XLOOKUP($A62,$A$2:$A$27,_xlfn.XLOOKUP(I$30,$B$1:$M$1,$B$2:$M$27)),IF(_xlpm.result&lt;0,"",_xlpm.result))</f>
        <v/>
      </c>
      <c r="J62" s="1" t="str" cm="1">
        <f t="array" ref="J62">_xlfn.LET(_xlpm.result,10*_xlfn.XLOOKUP($A62,$A$2:$A$27,_xlfn.XLOOKUP(J$30,$B$1:$M$1,$B$2:$M$27)),IF(_xlpm.result&lt;0,"",_xlpm.result))</f>
        <v/>
      </c>
      <c r="K62" s="1" t="str" cm="1">
        <f t="array" ref="K62">_xlfn.LET(_xlpm.result,10*_xlfn.XLOOKUP($A62,$A$2:$A$27,_xlfn.XLOOKUP(K$30,$B$1:$M$1,$B$2:$M$27)),IF(_xlpm.result&lt;0,"",_xlpm.result))</f>
        <v/>
      </c>
      <c r="L62" s="1" t="str" cm="1">
        <f t="array" ref="L62">_xlfn.LET(_xlpm.result,10*_xlfn.XLOOKUP($A62,$A$2:$A$27,_xlfn.XLOOKUP(L$30,$B$1:$M$1,$B$2:$M$27)),IF(_xlpm.result&lt;0,"",_xlpm.result))</f>
        <v/>
      </c>
      <c r="M62" s="1" t="str" cm="1">
        <f t="array" ref="M62">_xlfn.LET(_xlpm.result,10*_xlfn.XLOOKUP($A62,$A$2:$A$27,_xlfn.XLOOKUP(M$30,$B$1:$M$1,$B$2:$M$27)),IF(_xlpm.result&lt;0,"",_xlpm.result))</f>
        <v/>
      </c>
      <c r="N62" s="10">
        <f t="shared" si="3"/>
        <v>0</v>
      </c>
    </row>
    <row r="63" spans="1:16" x14ac:dyDescent="0.25">
      <c r="A63" t="s">
        <v>43</v>
      </c>
      <c r="B63" s="1" t="str" cm="1">
        <f t="array" ref="B63">_xlfn.LET(_xlpm.result,10*_xlfn.XLOOKUP($A63,$A$2:$A$27,_xlfn.XLOOKUP(B$30,$B$1:$M$1,$B$2:$M$27)),IF(_xlpm.result&lt;0,"",_xlpm.result))</f>
        <v/>
      </c>
      <c r="C63" s="1" cm="1">
        <f t="array" ref="C63">_xlfn.LET(_xlpm.result,10*_xlfn.XLOOKUP($A63,$A$2:$A$27,_xlfn.XLOOKUP(C$30,$B$1:$M$1,$B$2:$M$27)),IF(_xlpm.result&lt;0,"",_xlpm.result))</f>
        <v>7</v>
      </c>
      <c r="D63" s="1" cm="1">
        <f t="array" ref="D63">_xlfn.LET(_xlpm.result,10*_xlfn.XLOOKUP($A63,$A$2:$A$27,_xlfn.XLOOKUP(D$30,$B$1:$M$1,$B$2:$M$27)),IF(_xlpm.result&lt;0,"",_xlpm.result))</f>
        <v>0</v>
      </c>
      <c r="E63" s="17" cm="1">
        <f t="array" ref="E63">_xlfn.LET(_xlpm.result,10*_xlfn.XLOOKUP($A63,$A$2:$A$27,_xlfn.XLOOKUP(E$30,$B$1:$M$1,$B$2:$M$27)),IF(_xlpm.result&lt;0,"",_xlpm.result))</f>
        <v>0</v>
      </c>
      <c r="F63" s="1" t="str" cm="1">
        <f t="array" ref="F63">_xlfn.LET(_xlpm.result,10*_xlfn.XLOOKUP($A63,$A$2:$A$27,_xlfn.XLOOKUP(F$30,$B$1:$M$1,$B$2:$M$27)),IF(_xlpm.result&lt;0,"",_xlpm.result))</f>
        <v/>
      </c>
      <c r="G63" s="1" t="str" cm="1">
        <f t="array" ref="G63">_xlfn.LET(_xlpm.result,10*_xlfn.XLOOKUP($A63,$A$2:$A$27,_xlfn.XLOOKUP(G$30,$B$1:$M$1,$B$2:$M$27)),IF(_xlpm.result&lt;0,"",_xlpm.result))</f>
        <v/>
      </c>
      <c r="H63" s="1" t="str" cm="1">
        <f t="array" ref="H63">_xlfn.LET(_xlpm.result,10*_xlfn.XLOOKUP($A63,$A$2:$A$27,_xlfn.XLOOKUP(H$30,$B$1:$M$1,$B$2:$M$27)),IF(_xlpm.result&lt;0,"",_xlpm.result))</f>
        <v/>
      </c>
      <c r="I63" s="1" t="str" cm="1">
        <f t="array" ref="I63">_xlfn.LET(_xlpm.result,10*_xlfn.XLOOKUP($A63,$A$2:$A$27,_xlfn.XLOOKUP(I$30,$B$1:$M$1,$B$2:$M$27)),IF(_xlpm.result&lt;0,"",_xlpm.result))</f>
        <v/>
      </c>
      <c r="J63" s="1" t="str" cm="1">
        <f t="array" ref="J63">_xlfn.LET(_xlpm.result,10*_xlfn.XLOOKUP($A63,$A$2:$A$27,_xlfn.XLOOKUP(J$30,$B$1:$M$1,$B$2:$M$27)),IF(_xlpm.result&lt;0,"",_xlpm.result))</f>
        <v/>
      </c>
      <c r="K63" s="1" cm="1">
        <f t="array" ref="K63">_xlfn.LET(_xlpm.result,10*_xlfn.XLOOKUP($A63,$A$2:$A$27,_xlfn.XLOOKUP(K$30,$B$1:$M$1,$B$2:$M$27)),IF(_xlpm.result&lt;0,"",_xlpm.result))</f>
        <v>5</v>
      </c>
      <c r="L63" s="1" t="str" cm="1">
        <f t="array" ref="L63">_xlfn.LET(_xlpm.result,10*_xlfn.XLOOKUP($A63,$A$2:$A$27,_xlfn.XLOOKUP(L$30,$B$1:$M$1,$B$2:$M$27)),IF(_xlpm.result&lt;0,"",_xlpm.result))</f>
        <v/>
      </c>
      <c r="M63" s="1" t="str" cm="1">
        <f t="array" ref="M63">_xlfn.LET(_xlpm.result,10*_xlfn.XLOOKUP($A63,$A$2:$A$27,_xlfn.XLOOKUP(M$30,$B$1:$M$1,$B$2:$M$27)),IF(_xlpm.result&lt;0,"",_xlpm.result))</f>
        <v/>
      </c>
      <c r="N63" s="10">
        <f t="shared" si="3"/>
        <v>7</v>
      </c>
    </row>
    <row r="64" spans="1:16" s="16" customFormat="1" x14ac:dyDescent="0.25">
      <c r="A64" t="s">
        <v>35</v>
      </c>
      <c r="B64" s="1" t="str" cm="1">
        <f t="array" ref="B64">_xlfn.LET(_xlpm.result,10*_xlfn.XLOOKUP($A64,$A$2:$A$27,_xlfn.XLOOKUP(B$30,$B$1:$M$1,$B$2:$M$27)),IF(_xlpm.result&lt;0,"",_xlpm.result))</f>
        <v/>
      </c>
      <c r="C64" s="1" cm="1">
        <f t="array" ref="C64">_xlfn.LET(_xlpm.result,10*_xlfn.XLOOKUP($A64,$A$2:$A$27,_xlfn.XLOOKUP(C$30,$B$1:$M$1,$B$2:$M$27)),IF(_xlpm.result&lt;0,"",_xlpm.result))</f>
        <v>0</v>
      </c>
      <c r="D64" s="1" t="str" cm="1">
        <f t="array" ref="D64">_xlfn.LET(_xlpm.result,10*_xlfn.XLOOKUP($A64,$A$2:$A$27,_xlfn.XLOOKUP(D$30,$B$1:$M$1,$B$2:$M$27)),IF(_xlpm.result&lt;0,"",_xlpm.result))</f>
        <v/>
      </c>
      <c r="E64" s="17" t="str" cm="1">
        <f t="array" ref="E64">_xlfn.LET(_xlpm.result,10*_xlfn.XLOOKUP($A64,$A$2:$A$27,_xlfn.XLOOKUP(E$30,$B$1:$M$1,$B$2:$M$27)),IF(_xlpm.result&lt;0,"",_xlpm.result))</f>
        <v/>
      </c>
      <c r="F64" s="1" t="str" cm="1">
        <f t="array" ref="F64">_xlfn.LET(_xlpm.result,10*_xlfn.XLOOKUP($A64,$A$2:$A$27,_xlfn.XLOOKUP(F$30,$B$1:$M$1,$B$2:$M$27)),IF(_xlpm.result&lt;0,"",_xlpm.result))</f>
        <v/>
      </c>
      <c r="G64" s="1" cm="1">
        <f t="array" ref="G64">_xlfn.LET(_xlpm.result,10*_xlfn.XLOOKUP($A64,$A$2:$A$27,_xlfn.XLOOKUP(G$30,$B$1:$M$1,$B$2:$M$27)),IF(_xlpm.result&lt;0,"",_xlpm.result))</f>
        <v>17.999999999999901</v>
      </c>
      <c r="H64" s="1" t="str" cm="1">
        <f t="array" ref="H64">_xlfn.LET(_xlpm.result,10*_xlfn.XLOOKUP($A64,$A$2:$A$27,_xlfn.XLOOKUP(H$30,$B$1:$M$1,$B$2:$M$27)),IF(_xlpm.result&lt;0,"",_xlpm.result))</f>
        <v/>
      </c>
      <c r="I64" s="1" t="str" cm="1">
        <f t="array" ref="I64">_xlfn.LET(_xlpm.result,10*_xlfn.XLOOKUP($A64,$A$2:$A$27,_xlfn.XLOOKUP(I$30,$B$1:$M$1,$B$2:$M$27)),IF(_xlpm.result&lt;0,"",_xlpm.result))</f>
        <v/>
      </c>
      <c r="J64" s="1" t="str" cm="1">
        <f t="array" ref="J64">_xlfn.LET(_xlpm.result,10*_xlfn.XLOOKUP($A64,$A$2:$A$27,_xlfn.XLOOKUP(J$30,$B$1:$M$1,$B$2:$M$27)),IF(_xlpm.result&lt;0,"",_xlpm.result))</f>
        <v/>
      </c>
      <c r="K64" s="1" t="str" cm="1">
        <f t="array" ref="K64">_xlfn.LET(_xlpm.result,10*_xlfn.XLOOKUP($A64,$A$2:$A$27,_xlfn.XLOOKUP(K$30,$B$1:$M$1,$B$2:$M$27)),IF(_xlpm.result&lt;0,"",_xlpm.result))</f>
        <v/>
      </c>
      <c r="L64" s="1" t="str" cm="1">
        <f t="array" ref="L64">_xlfn.LET(_xlpm.result,10*_xlfn.XLOOKUP($A64,$A$2:$A$27,_xlfn.XLOOKUP(L$30,$B$1:$M$1,$B$2:$M$27)),IF(_xlpm.result&lt;0,"",_xlpm.result))</f>
        <v/>
      </c>
      <c r="M64" s="1" t="str" cm="1">
        <f t="array" ref="M64">_xlfn.LET(_xlpm.result,10*_xlfn.XLOOKUP($A64,$A$2:$A$27,_xlfn.XLOOKUP(M$30,$B$1:$M$1,$B$2:$M$27)),IF(_xlpm.result&lt;0,"",_xlpm.result))</f>
        <v/>
      </c>
      <c r="N64" s="10">
        <f t="shared" si="3"/>
        <v>17.999999999999901</v>
      </c>
    </row>
    <row r="65" spans="1:15" x14ac:dyDescent="0.25">
      <c r="A65" t="s">
        <v>42</v>
      </c>
      <c r="B65" s="1" t="str" cm="1">
        <f t="array" ref="B65">_xlfn.LET(_xlpm.result,10*_xlfn.XLOOKUP($A65,$A$2:$A$27,_xlfn.XLOOKUP(B$30,$B$1:$M$1,$B$2:$M$27)),IF(_xlpm.result&lt;0,"",_xlpm.result))</f>
        <v/>
      </c>
      <c r="C65" s="1" t="str" cm="1">
        <f t="array" ref="C65">_xlfn.LET(_xlpm.result,10*_xlfn.XLOOKUP($A65,$A$2:$A$27,_xlfn.XLOOKUP(C$30,$B$1:$M$1,$B$2:$M$27)),IF(_xlpm.result&lt;0,"",_xlpm.result))</f>
        <v/>
      </c>
      <c r="D65" s="1" t="str" cm="1">
        <f t="array" ref="D65">_xlfn.LET(_xlpm.result,10*_xlfn.XLOOKUP($A65,$A$2:$A$27,_xlfn.XLOOKUP(D$30,$B$1:$M$1,$B$2:$M$27)),IF(_xlpm.result&lt;0,"",_xlpm.result))</f>
        <v/>
      </c>
      <c r="E65" s="17" t="str" cm="1">
        <f t="array" ref="E65">_xlfn.LET(_xlpm.result,10*_xlfn.XLOOKUP($A65,$A$2:$A$27,_xlfn.XLOOKUP(E$30,$B$1:$M$1,$B$2:$M$27)),IF(_xlpm.result&lt;0,"",_xlpm.result))</f>
        <v/>
      </c>
      <c r="F65" s="1" t="str" cm="1">
        <f t="array" ref="F65">_xlfn.LET(_xlpm.result,10*_xlfn.XLOOKUP($A65,$A$2:$A$27,_xlfn.XLOOKUP(F$30,$B$1:$M$1,$B$2:$M$27)),IF(_xlpm.result&lt;0,"",_xlpm.result))</f>
        <v/>
      </c>
      <c r="G65" s="1" t="str" cm="1">
        <f t="array" ref="G65">_xlfn.LET(_xlpm.result,10*_xlfn.XLOOKUP($A65,$A$2:$A$27,_xlfn.XLOOKUP(G$30,$B$1:$M$1,$B$2:$M$27)),IF(_xlpm.result&lt;0,"",_xlpm.result))</f>
        <v/>
      </c>
      <c r="H65" s="1" t="str" cm="1">
        <f t="array" ref="H65">_xlfn.LET(_xlpm.result,10*_xlfn.XLOOKUP($A65,$A$2:$A$27,_xlfn.XLOOKUP(H$30,$B$1:$M$1,$B$2:$M$27)),IF(_xlpm.result&lt;0,"",_xlpm.result))</f>
        <v/>
      </c>
      <c r="I65" s="1" cm="1">
        <f t="array" ref="I65">_xlfn.LET(_xlpm.result,10*_xlfn.XLOOKUP($A65,$A$2:$A$27,_xlfn.XLOOKUP(I$30,$B$1:$M$1,$B$2:$M$27)),IF(_xlpm.result&lt;0,"",_xlpm.result))</f>
        <v>0</v>
      </c>
      <c r="J65" s="1" t="str" cm="1">
        <f t="array" ref="J65">_xlfn.LET(_xlpm.result,10*_xlfn.XLOOKUP($A65,$A$2:$A$27,_xlfn.XLOOKUP(J$30,$B$1:$M$1,$B$2:$M$27)),IF(_xlpm.result&lt;0,"",_xlpm.result))</f>
        <v/>
      </c>
      <c r="K65" s="1" t="str" cm="1">
        <f t="array" ref="K65">_xlfn.LET(_xlpm.result,10*_xlfn.XLOOKUP($A65,$A$2:$A$27,_xlfn.XLOOKUP(K$30,$B$1:$M$1,$B$2:$M$27)),IF(_xlpm.result&lt;0,"",_xlpm.result))</f>
        <v/>
      </c>
      <c r="L65" s="1" cm="1">
        <f t="array" ref="L65">_xlfn.LET(_xlpm.result,10*_xlfn.XLOOKUP($A65,$A$2:$A$27,_xlfn.XLOOKUP(L$30,$B$1:$M$1,$B$2:$M$27)),IF(_xlpm.result&lt;0,"",_xlpm.result))</f>
        <v>17.999999999999901</v>
      </c>
      <c r="M65" s="1" t="str" cm="1">
        <f t="array" ref="M65">_xlfn.LET(_xlpm.result,10*_xlfn.XLOOKUP($A65,$A$2:$A$27,_xlfn.XLOOKUP(M$30,$B$1:$M$1,$B$2:$M$27)),IF(_xlpm.result&lt;0,"",_xlpm.result))</f>
        <v/>
      </c>
      <c r="N65" s="10">
        <f t="shared" si="3"/>
        <v>17.999999999999901</v>
      </c>
    </row>
    <row r="66" spans="1:15" x14ac:dyDescent="0.25">
      <c r="A66" t="s">
        <v>41</v>
      </c>
      <c r="B66" s="1" t="str" cm="1">
        <f t="array" ref="B66">_xlfn.LET(_xlpm.result,10*_xlfn.XLOOKUP($A66,$A$2:$A$27,_xlfn.XLOOKUP(B$30,$B$1:$M$1,$B$2:$M$27)),IF(_xlpm.result&lt;0,"",_xlpm.result))</f>
        <v/>
      </c>
      <c r="C66" s="1" t="str" cm="1">
        <f t="array" ref="C66">_xlfn.LET(_xlpm.result,10*_xlfn.XLOOKUP($A66,$A$2:$A$27,_xlfn.XLOOKUP(C$30,$B$1:$M$1,$B$2:$M$27)),IF(_xlpm.result&lt;0,"",_xlpm.result))</f>
        <v/>
      </c>
      <c r="D66" s="1" t="str" cm="1">
        <f t="array" ref="D66">_xlfn.LET(_xlpm.result,10*_xlfn.XLOOKUP($A66,$A$2:$A$27,_xlfn.XLOOKUP(D$30,$B$1:$M$1,$B$2:$M$27)),IF(_xlpm.result&lt;0,"",_xlpm.result))</f>
        <v/>
      </c>
      <c r="E66" s="17" t="str" cm="1">
        <f t="array" ref="E66">_xlfn.LET(_xlpm.result,10*_xlfn.XLOOKUP($A66,$A$2:$A$27,_xlfn.XLOOKUP(E$30,$B$1:$M$1,$B$2:$M$27)),IF(_xlpm.result&lt;0,"",_xlpm.result))</f>
        <v/>
      </c>
      <c r="F66" s="1" cm="1">
        <f t="array" ref="F66">_xlfn.LET(_xlpm.result,10*_xlfn.XLOOKUP($A66,$A$2:$A$27,_xlfn.XLOOKUP(F$30,$B$1:$M$1,$B$2:$M$27)),IF(_xlpm.result&lt;0,"",_xlpm.result))</f>
        <v>0</v>
      </c>
      <c r="G66" s="1" t="str" cm="1">
        <f t="array" ref="G66">_xlfn.LET(_xlpm.result,10*_xlfn.XLOOKUP($A66,$A$2:$A$27,_xlfn.XLOOKUP(G$30,$B$1:$M$1,$B$2:$M$27)),IF(_xlpm.result&lt;0,"",_xlpm.result))</f>
        <v/>
      </c>
      <c r="H66" s="1" t="str" cm="1">
        <f t="array" ref="H66">_xlfn.LET(_xlpm.result,10*_xlfn.XLOOKUP($A66,$A$2:$A$27,_xlfn.XLOOKUP(H$30,$B$1:$M$1,$B$2:$M$27)),IF(_xlpm.result&lt;0,"",_xlpm.result))</f>
        <v/>
      </c>
      <c r="I66" s="1" t="str" cm="1">
        <f t="array" ref="I66">_xlfn.LET(_xlpm.result,10*_xlfn.XLOOKUP($A66,$A$2:$A$27,_xlfn.XLOOKUP(I$30,$B$1:$M$1,$B$2:$M$27)),IF(_xlpm.result&lt;0,"",_xlpm.result))</f>
        <v/>
      </c>
      <c r="J66" s="1" t="str" cm="1">
        <f t="array" ref="J66">_xlfn.LET(_xlpm.result,10*_xlfn.XLOOKUP($A66,$A$2:$A$27,_xlfn.XLOOKUP(J$30,$B$1:$M$1,$B$2:$M$27)),IF(_xlpm.result&lt;0,"",_xlpm.result))</f>
        <v/>
      </c>
      <c r="K66" s="1" t="str" cm="1">
        <f t="array" ref="K66">_xlfn.LET(_xlpm.result,10*_xlfn.XLOOKUP($A66,$A$2:$A$27,_xlfn.XLOOKUP(K$30,$B$1:$M$1,$B$2:$M$27)),IF(_xlpm.result&lt;0,"",_xlpm.result))</f>
        <v/>
      </c>
      <c r="L66" s="1" cm="1">
        <f t="array" ref="L66">_xlfn.LET(_xlpm.result,10*_xlfn.XLOOKUP($A66,$A$2:$A$27,_xlfn.XLOOKUP(L$30,$B$1:$M$1,$B$2:$M$27)),IF(_xlpm.result&lt;0,"",_xlpm.result))</f>
        <v>21</v>
      </c>
      <c r="M66" s="1" t="str" cm="1">
        <f t="array" ref="M66">_xlfn.LET(_xlpm.result,10*_xlfn.XLOOKUP($A66,$A$2:$A$27,_xlfn.XLOOKUP(M$30,$B$1:$M$1,$B$2:$M$27)),IF(_xlpm.result&lt;0,"",_xlpm.result))</f>
        <v/>
      </c>
      <c r="N66" s="10">
        <f t="shared" si="3"/>
        <v>21</v>
      </c>
    </row>
    <row r="67" spans="1:15" x14ac:dyDescent="0.25">
      <c r="A67" t="s">
        <v>23</v>
      </c>
      <c r="B67" s="1" cm="1">
        <f t="array" ref="B67">_xlfn.LET(_xlpm.result,10*_xlfn.XLOOKUP($A67,$A$2:$A$27,_xlfn.XLOOKUP(B$30,$B$1:$M$1,$B$2:$M$27)),IF(_xlpm.result&lt;0,"",_xlpm.result))</f>
        <v>20</v>
      </c>
      <c r="C67" s="1" t="str" cm="1">
        <f t="array" ref="C67">_xlfn.LET(_xlpm.result,10*_xlfn.XLOOKUP($A67,$A$2:$A$27,_xlfn.XLOOKUP(C$30,$B$1:$M$1,$B$2:$M$27)),IF(_xlpm.result&lt;0,"",_xlpm.result))</f>
        <v/>
      </c>
      <c r="D67" s="1" t="str" cm="1">
        <f t="array" ref="D67">_xlfn.LET(_xlpm.result,10*_xlfn.XLOOKUP($A67,$A$2:$A$27,_xlfn.XLOOKUP(D$30,$B$1:$M$1,$B$2:$M$27)),IF(_xlpm.result&lt;0,"",_xlpm.result))</f>
        <v/>
      </c>
      <c r="E67" s="17" cm="1">
        <f t="array" ref="E67">_xlfn.LET(_xlpm.result,10*_xlfn.XLOOKUP($A67,$A$2:$A$27,_xlfn.XLOOKUP(E$30,$B$1:$M$1,$B$2:$M$27)),IF(_xlpm.result&lt;0,"",_xlpm.result))</f>
        <v>25</v>
      </c>
      <c r="F67" s="1" t="str" cm="1">
        <f t="array" ref="F67">_xlfn.LET(_xlpm.result,10*_xlfn.XLOOKUP($A67,$A$2:$A$27,_xlfn.XLOOKUP(F$30,$B$1:$M$1,$B$2:$M$27)),IF(_xlpm.result&lt;0,"",_xlpm.result))</f>
        <v/>
      </c>
      <c r="G67" s="1" t="str" cm="1">
        <f t="array" ref="G67">_xlfn.LET(_xlpm.result,10*_xlfn.XLOOKUP($A67,$A$2:$A$27,_xlfn.XLOOKUP(G$30,$B$1:$M$1,$B$2:$M$27)),IF(_xlpm.result&lt;0,"",_xlpm.result))</f>
        <v/>
      </c>
      <c r="H67" s="1" t="str" cm="1">
        <f t="array" ref="H67">_xlfn.LET(_xlpm.result,10*_xlfn.XLOOKUP($A67,$A$2:$A$27,_xlfn.XLOOKUP(H$30,$B$1:$M$1,$B$2:$M$27)),IF(_xlpm.result&lt;0,"",_xlpm.result))</f>
        <v/>
      </c>
      <c r="I67" s="1" cm="1">
        <f t="array" ref="I67">_xlfn.LET(_xlpm.result,10*_xlfn.XLOOKUP($A67,$A$2:$A$27,_xlfn.XLOOKUP(I$30,$B$1:$M$1,$B$2:$M$27)),IF(_xlpm.result&lt;0,"",_xlpm.result))</f>
        <v>0</v>
      </c>
      <c r="J67" s="1" cm="1">
        <f t="array" ref="J67">_xlfn.LET(_xlpm.result,10*_xlfn.XLOOKUP($A67,$A$2:$A$27,_xlfn.XLOOKUP(J$30,$B$1:$M$1,$B$2:$M$27)),IF(_xlpm.result&lt;0,"",_xlpm.result))</f>
        <v>25</v>
      </c>
      <c r="K67" s="1" t="str" cm="1">
        <f t="array" ref="K67">_xlfn.LET(_xlpm.result,10*_xlfn.XLOOKUP($A67,$A$2:$A$27,_xlfn.XLOOKUP(K$30,$B$1:$M$1,$B$2:$M$27)),IF(_xlpm.result&lt;0,"",_xlpm.result))</f>
        <v/>
      </c>
      <c r="L67" s="1" t="str" cm="1">
        <f t="array" ref="L67">_xlfn.LET(_xlpm.result,10*_xlfn.XLOOKUP($A67,$A$2:$A$27,_xlfn.XLOOKUP(L$30,$B$1:$M$1,$B$2:$M$27)),IF(_xlpm.result&lt;0,"",_xlpm.result))</f>
        <v/>
      </c>
      <c r="M67" s="1" t="str" cm="1">
        <f t="array" ref="M67">_xlfn.LET(_xlpm.result,10*_xlfn.XLOOKUP($A67,$A$2:$A$27,_xlfn.XLOOKUP(M$30,$B$1:$M$1,$B$2:$M$27)),IF(_xlpm.result&lt;0,"",_xlpm.result))</f>
        <v/>
      </c>
      <c r="N67" s="10">
        <f t="shared" si="3"/>
        <v>25</v>
      </c>
    </row>
    <row r="68" spans="1:15" x14ac:dyDescent="0.25">
      <c r="A68" t="s">
        <v>26</v>
      </c>
      <c r="B68" s="1" t="str" cm="1">
        <f t="array" ref="B68">_xlfn.LET(_xlpm.result,10*_xlfn.XLOOKUP($A68,$A$2:$A$27,_xlfn.XLOOKUP(B$30,$B$1:$M$1,$B$2:$M$27)),IF(_xlpm.result&lt;0,"",_xlpm.result))</f>
        <v/>
      </c>
      <c r="C68" s="1" t="str" cm="1">
        <f t="array" ref="C68">_xlfn.LET(_xlpm.result,10*_xlfn.XLOOKUP($A68,$A$2:$A$27,_xlfn.XLOOKUP(C$30,$B$1:$M$1,$B$2:$M$27)),IF(_xlpm.result&lt;0,"",_xlpm.result))</f>
        <v/>
      </c>
      <c r="D68" s="1" cm="1">
        <f t="array" ref="D68">_xlfn.LET(_xlpm.result,10*_xlfn.XLOOKUP($A68,$A$2:$A$27,_xlfn.XLOOKUP(D$30,$B$1:$M$1,$B$2:$M$27)),IF(_xlpm.result&lt;0,"",_xlpm.result))</f>
        <v>0</v>
      </c>
      <c r="E68" s="17" cm="1">
        <f t="array" ref="E68">_xlfn.LET(_xlpm.result,10*_xlfn.XLOOKUP($A68,$A$2:$A$27,_xlfn.XLOOKUP(E$30,$B$1:$M$1,$B$2:$M$27)),IF(_xlpm.result&lt;0,"",_xlpm.result))</f>
        <v>0</v>
      </c>
      <c r="F68" s="1" t="str" cm="1">
        <f t="array" ref="F68">_xlfn.LET(_xlpm.result,10*_xlfn.XLOOKUP($A68,$A$2:$A$27,_xlfn.XLOOKUP(F$30,$B$1:$M$1,$B$2:$M$27)),IF(_xlpm.result&lt;0,"",_xlpm.result))</f>
        <v/>
      </c>
      <c r="G68" s="1" t="str" cm="1">
        <f t="array" ref="G68">_xlfn.LET(_xlpm.result,10*_xlfn.XLOOKUP($A68,$A$2:$A$27,_xlfn.XLOOKUP(G$30,$B$1:$M$1,$B$2:$M$27)),IF(_xlpm.result&lt;0,"",_xlpm.result))</f>
        <v/>
      </c>
      <c r="H68" s="1" t="str" cm="1">
        <f t="array" ref="H68">_xlfn.LET(_xlpm.result,10*_xlfn.XLOOKUP($A68,$A$2:$A$27,_xlfn.XLOOKUP(H$30,$B$1:$M$1,$B$2:$M$27)),IF(_xlpm.result&lt;0,"",_xlpm.result))</f>
        <v/>
      </c>
      <c r="I68" s="1" cm="1">
        <f t="array" ref="I68">_xlfn.LET(_xlpm.result,10*_xlfn.XLOOKUP($A68,$A$2:$A$27,_xlfn.XLOOKUP(I$30,$B$1:$M$1,$B$2:$M$27)),IF(_xlpm.result&lt;0,"",_xlpm.result))</f>
        <v>26</v>
      </c>
      <c r="J68" s="1" t="str" cm="1">
        <f t="array" ref="J68">_xlfn.LET(_xlpm.result,10*_xlfn.XLOOKUP($A68,$A$2:$A$27,_xlfn.XLOOKUP(J$30,$B$1:$M$1,$B$2:$M$27)),IF(_xlpm.result&lt;0,"",_xlpm.result))</f>
        <v/>
      </c>
      <c r="K68" s="1" t="str" cm="1">
        <f t="array" ref="K68">_xlfn.LET(_xlpm.result,10*_xlfn.XLOOKUP($A68,$A$2:$A$27,_xlfn.XLOOKUP(K$30,$B$1:$M$1,$B$2:$M$27)),IF(_xlpm.result&lt;0,"",_xlpm.result))</f>
        <v/>
      </c>
      <c r="L68" s="1" t="str" cm="1">
        <f t="array" ref="L68">_xlfn.LET(_xlpm.result,10*_xlfn.XLOOKUP($A68,$A$2:$A$27,_xlfn.XLOOKUP(L$30,$B$1:$M$1,$B$2:$M$27)),IF(_xlpm.result&lt;0,"",_xlpm.result))</f>
        <v/>
      </c>
      <c r="M68" s="1" cm="1">
        <f t="array" ref="M68">_xlfn.LET(_xlpm.result,10*_xlfn.XLOOKUP($A68,$A$2:$A$27,_xlfn.XLOOKUP(M$30,$B$1:$M$1,$B$2:$M$27)),IF(_xlpm.result&lt;0,"",_xlpm.result))</f>
        <v>7</v>
      </c>
      <c r="N68" s="10">
        <f t="shared" si="3"/>
        <v>26</v>
      </c>
    </row>
    <row r="69" spans="1:15" ht="21" x14ac:dyDescent="0.35">
      <c r="A69" t="s">
        <v>38</v>
      </c>
      <c r="B69" s="1" cm="1">
        <f t="array" ref="B69">_xlfn.LET(_xlpm.result,10*_xlfn.XLOOKUP($A69,$A$2:$A$27,_xlfn.XLOOKUP(B$30,$B$1:$M$1,$B$2:$M$27)),IF(_xlpm.result&lt;0,"",_xlpm.result))</f>
        <v>24</v>
      </c>
      <c r="C69" s="1" t="str" cm="1">
        <f t="array" ref="C69">_xlfn.LET(_xlpm.result,10*_xlfn.XLOOKUP($A69,$A$2:$A$27,_xlfn.XLOOKUP(C$30,$B$1:$M$1,$B$2:$M$27)),IF(_xlpm.result&lt;0,"",_xlpm.result))</f>
        <v/>
      </c>
      <c r="D69" s="1" t="str" cm="1">
        <f t="array" ref="D69">_xlfn.LET(_xlpm.result,10*_xlfn.XLOOKUP($A69,$A$2:$A$27,_xlfn.XLOOKUP(D$30,$B$1:$M$1,$B$2:$M$27)),IF(_xlpm.result&lt;0,"",_xlpm.result))</f>
        <v/>
      </c>
      <c r="E69" s="17" t="str" cm="1">
        <f t="array" ref="E69">_xlfn.LET(_xlpm.result,10*_xlfn.XLOOKUP($A69,$A$2:$A$27,_xlfn.XLOOKUP(E$30,$B$1:$M$1,$B$2:$M$27)),IF(_xlpm.result&lt;0,"",_xlpm.result))</f>
        <v/>
      </c>
      <c r="F69" s="1" t="str" cm="1">
        <f t="array" ref="F69">_xlfn.LET(_xlpm.result,10*_xlfn.XLOOKUP($A69,$A$2:$A$27,_xlfn.XLOOKUP(F$30,$B$1:$M$1,$B$2:$M$27)),IF(_xlpm.result&lt;0,"",_xlpm.result))</f>
        <v/>
      </c>
      <c r="G69" s="1" cm="1">
        <f t="array" ref="G69">_xlfn.LET(_xlpm.result,10*_xlfn.XLOOKUP($A69,$A$2:$A$27,_xlfn.XLOOKUP(G$30,$B$1:$M$1,$B$2:$M$27)),IF(_xlpm.result&lt;0,"",_xlpm.result))</f>
        <v>0</v>
      </c>
      <c r="H69" s="1" cm="1">
        <f t="array" ref="H69">_xlfn.LET(_xlpm.result,10*_xlfn.XLOOKUP($A69,$A$2:$A$27,_xlfn.XLOOKUP(H$30,$B$1:$M$1,$B$2:$M$27)),IF(_xlpm.result&lt;0,"",_xlpm.result))</f>
        <v>29</v>
      </c>
      <c r="I69" s="1" cm="1">
        <f t="array" ref="I69">_xlfn.LET(_xlpm.result,10*_xlfn.XLOOKUP($A69,$A$2:$A$27,_xlfn.XLOOKUP(I$30,$B$1:$M$1,$B$2:$M$27)),IF(_xlpm.result&lt;0,"",_xlpm.result))</f>
        <v>24</v>
      </c>
      <c r="J69" s="1" t="str" cm="1">
        <f t="array" ref="J69">_xlfn.LET(_xlpm.result,10*_xlfn.XLOOKUP($A69,$A$2:$A$27,_xlfn.XLOOKUP(J$30,$B$1:$M$1,$B$2:$M$27)),IF(_xlpm.result&lt;0,"",_xlpm.result))</f>
        <v/>
      </c>
      <c r="K69" s="12" cm="1">
        <f t="array" ref="K69">_xlfn.LET(_xlpm.result,10*_xlfn.XLOOKUP($A69,$A$2:$A$27,_xlfn.XLOOKUP(K$30,$B$1:$M$1,$B$2:$M$27)),IF(_xlpm.result&lt;0,"",_xlpm.result))</f>
        <v>31</v>
      </c>
      <c r="L69" s="1" t="str" cm="1">
        <f t="array" ref="L69">_xlfn.LET(_xlpm.result,10*_xlfn.XLOOKUP($A69,$A$2:$A$27,_xlfn.XLOOKUP(L$30,$B$1:$M$1,$B$2:$M$27)),IF(_xlpm.result&lt;0,"",_xlpm.result))</f>
        <v/>
      </c>
      <c r="M69" s="1" t="str" cm="1">
        <f t="array" ref="M69">_xlfn.LET(_xlpm.result,10*_xlfn.XLOOKUP($A69,$A$2:$A$27,_xlfn.XLOOKUP(M$30,$B$1:$M$1,$B$2:$M$27)),IF(_xlpm.result&lt;0,"",_xlpm.result))</f>
        <v/>
      </c>
      <c r="N69" s="10">
        <f t="shared" si="3"/>
        <v>31</v>
      </c>
    </row>
    <row r="70" spans="1:15" s="16" customFormat="1" x14ac:dyDescent="0.25">
      <c r="A70" t="s">
        <v>39</v>
      </c>
      <c r="B70" s="1" t="str" cm="1">
        <f t="array" ref="B70">_xlfn.LET(_xlpm.result,10*_xlfn.XLOOKUP($A70,$A$2:$A$27,_xlfn.XLOOKUP(B$30,$B$1:$M$1,$B$2:$M$27)),IF(_xlpm.result&lt;0,"",_xlpm.result))</f>
        <v/>
      </c>
      <c r="C70" s="1" t="str" cm="1">
        <f t="array" ref="C70">_xlfn.LET(_xlpm.result,10*_xlfn.XLOOKUP($A70,$A$2:$A$27,_xlfn.XLOOKUP(C$30,$B$1:$M$1,$B$2:$M$27)),IF(_xlpm.result&lt;0,"",_xlpm.result))</f>
        <v/>
      </c>
      <c r="D70" s="1" t="str" cm="1">
        <f t="array" ref="D70">_xlfn.LET(_xlpm.result,10*_xlfn.XLOOKUP($A70,$A$2:$A$27,_xlfn.XLOOKUP(D$30,$B$1:$M$1,$B$2:$M$27)),IF(_xlpm.result&lt;0,"",_xlpm.result))</f>
        <v/>
      </c>
      <c r="E70" s="17" t="str" cm="1">
        <f t="array" ref="E70">_xlfn.LET(_xlpm.result,10*_xlfn.XLOOKUP($A70,$A$2:$A$27,_xlfn.XLOOKUP(E$30,$B$1:$M$1,$B$2:$M$27)),IF(_xlpm.result&lt;0,"",_xlpm.result))</f>
        <v/>
      </c>
      <c r="F70" s="1" cm="1">
        <f t="array" ref="F70">_xlfn.LET(_xlpm.result,10*_xlfn.XLOOKUP($A70,$A$2:$A$27,_xlfn.XLOOKUP(F$30,$B$1:$M$1,$B$2:$M$27)),IF(_xlpm.result&lt;0,"",_xlpm.result))</f>
        <v>21</v>
      </c>
      <c r="G70" s="1" t="str" cm="1">
        <f t="array" ref="G70">_xlfn.LET(_xlpm.result,10*_xlfn.XLOOKUP($A70,$A$2:$A$27,_xlfn.XLOOKUP(G$30,$B$1:$M$1,$B$2:$M$27)),IF(_xlpm.result&lt;0,"",_xlpm.result))</f>
        <v/>
      </c>
      <c r="H70" s="1" t="str" cm="1">
        <f t="array" ref="H70">_xlfn.LET(_xlpm.result,10*_xlfn.XLOOKUP($A70,$A$2:$A$27,_xlfn.XLOOKUP(H$30,$B$1:$M$1,$B$2:$M$27)),IF(_xlpm.result&lt;0,"",_xlpm.result))</f>
        <v/>
      </c>
      <c r="I70" s="1" t="str" cm="1">
        <f t="array" ref="I70">_xlfn.LET(_xlpm.result,10*_xlfn.XLOOKUP($A70,$A$2:$A$27,_xlfn.XLOOKUP(I$30,$B$1:$M$1,$B$2:$M$27)),IF(_xlpm.result&lt;0,"",_xlpm.result))</f>
        <v/>
      </c>
      <c r="J70" s="1" t="str" cm="1">
        <f t="array" ref="J70">_xlfn.LET(_xlpm.result,10*_xlfn.XLOOKUP($A70,$A$2:$A$27,_xlfn.XLOOKUP(J$30,$B$1:$M$1,$B$2:$M$27)),IF(_xlpm.result&lt;0,"",_xlpm.result))</f>
        <v/>
      </c>
      <c r="K70" s="1" cm="1">
        <f t="array" ref="K70">_xlfn.LET(_xlpm.result,10*_xlfn.XLOOKUP($A70,$A$2:$A$27,_xlfn.XLOOKUP(K$30,$B$1:$M$1,$B$2:$M$27)),IF(_xlpm.result&lt;0,"",_xlpm.result))</f>
        <v>31</v>
      </c>
      <c r="L70" s="1" t="str" cm="1">
        <f t="array" ref="L70">_xlfn.LET(_xlpm.result,10*_xlfn.XLOOKUP($A70,$A$2:$A$27,_xlfn.XLOOKUP(L$30,$B$1:$M$1,$B$2:$M$27)),IF(_xlpm.result&lt;0,"",_xlpm.result))</f>
        <v/>
      </c>
      <c r="M70" s="1" t="str" cm="1">
        <f t="array" ref="M70">_xlfn.LET(_xlpm.result,10*_xlfn.XLOOKUP($A70,$A$2:$A$27,_xlfn.XLOOKUP(M$30,$B$1:$M$1,$B$2:$M$27)),IF(_xlpm.result&lt;0,"",_xlpm.result))</f>
        <v/>
      </c>
      <c r="N70" s="10">
        <f t="shared" si="3"/>
        <v>31</v>
      </c>
    </row>
    <row r="71" spans="1:15" s="16" customFormat="1" x14ac:dyDescent="0.25">
      <c r="A71" t="s">
        <v>19</v>
      </c>
      <c r="B71" s="1" t="str" cm="1">
        <f t="array" ref="B71">_xlfn.LET(_xlpm.result,10*_xlfn.XLOOKUP($A71,$A$2:$A$27,_xlfn.XLOOKUP(B$30,$B$1:$M$1,$B$2:$M$27)),IF(_xlpm.result&lt;0,"",_xlpm.result))</f>
        <v/>
      </c>
      <c r="C71" s="1" cm="1">
        <f t="array" ref="C71">_xlfn.LET(_xlpm.result,10*_xlfn.XLOOKUP($A71,$A$2:$A$27,_xlfn.XLOOKUP(C$30,$B$1:$M$1,$B$2:$M$27)),IF(_xlpm.result&lt;0,"",_xlpm.result))</f>
        <v>0</v>
      </c>
      <c r="D71" s="1" t="str" cm="1">
        <f t="array" ref="D71">_xlfn.LET(_xlpm.result,10*_xlfn.XLOOKUP($A71,$A$2:$A$27,_xlfn.XLOOKUP(D$30,$B$1:$M$1,$B$2:$M$27)),IF(_xlpm.result&lt;0,"",_xlpm.result))</f>
        <v/>
      </c>
      <c r="E71" s="17" t="str" cm="1">
        <f t="array" ref="E71">_xlfn.LET(_xlpm.result,10*_xlfn.XLOOKUP($A71,$A$2:$A$27,_xlfn.XLOOKUP(E$30,$B$1:$M$1,$B$2:$M$27)),IF(_xlpm.result&lt;0,"",_xlpm.result))</f>
        <v/>
      </c>
      <c r="F71" s="1" t="str" cm="1">
        <f t="array" ref="F71">_xlfn.LET(_xlpm.result,10*_xlfn.XLOOKUP($A71,$A$2:$A$27,_xlfn.XLOOKUP(F$30,$B$1:$M$1,$B$2:$M$27)),IF(_xlpm.result&lt;0,"",_xlpm.result))</f>
        <v/>
      </c>
      <c r="G71" s="1" t="str" cm="1">
        <f t="array" ref="G71">_xlfn.LET(_xlpm.result,10*_xlfn.XLOOKUP($A71,$A$2:$A$27,_xlfn.XLOOKUP(G$30,$B$1:$M$1,$B$2:$M$27)),IF(_xlpm.result&lt;0,"",_xlpm.result))</f>
        <v/>
      </c>
      <c r="H71" s="1" t="str" cm="1">
        <f t="array" ref="H71">_xlfn.LET(_xlpm.result,10*_xlfn.XLOOKUP($A71,$A$2:$A$27,_xlfn.XLOOKUP(H$30,$B$1:$M$1,$B$2:$M$27)),IF(_xlpm.result&lt;0,"",_xlpm.result))</f>
        <v/>
      </c>
      <c r="I71" s="1" t="str" cm="1">
        <f t="array" ref="I71">_xlfn.LET(_xlpm.result,10*_xlfn.XLOOKUP($A71,$A$2:$A$27,_xlfn.XLOOKUP(I$30,$B$1:$M$1,$B$2:$M$27)),IF(_xlpm.result&lt;0,"",_xlpm.result))</f>
        <v/>
      </c>
      <c r="J71" s="1" t="str" cm="1">
        <f t="array" ref="J71">_xlfn.LET(_xlpm.result,10*_xlfn.XLOOKUP($A71,$A$2:$A$27,_xlfn.XLOOKUP(J$30,$B$1:$M$1,$B$2:$M$27)),IF(_xlpm.result&lt;0,"",_xlpm.result))</f>
        <v/>
      </c>
      <c r="K71" s="1" t="str" cm="1">
        <f t="array" ref="K71">_xlfn.LET(_xlpm.result,10*_xlfn.XLOOKUP($A71,$A$2:$A$27,_xlfn.XLOOKUP(K$30,$B$1:$M$1,$B$2:$M$27)),IF(_xlpm.result&lt;0,"",_xlpm.result))</f>
        <v/>
      </c>
      <c r="L71" s="1" cm="1">
        <f t="array" ref="L71">_xlfn.LET(_xlpm.result,10*_xlfn.XLOOKUP($A71,$A$2:$A$27,_xlfn.XLOOKUP(L$30,$B$1:$M$1,$B$2:$M$27)),IF(_xlpm.result&lt;0,"",_xlpm.result))</f>
        <v>50</v>
      </c>
      <c r="M71" s="1" t="str" cm="1">
        <f t="array" ref="M71">_xlfn.LET(_xlpm.result,10*_xlfn.XLOOKUP($A71,$A$2:$A$27,_xlfn.XLOOKUP(M$30,$B$1:$M$1,$B$2:$M$27)),IF(_xlpm.result&lt;0,"",_xlpm.result))</f>
        <v/>
      </c>
      <c r="N71" s="10">
        <f t="shared" si="3"/>
        <v>50</v>
      </c>
    </row>
    <row r="72" spans="1:15" x14ac:dyDescent="0.25">
      <c r="A72" t="s">
        <v>27</v>
      </c>
      <c r="B72" s="1" t="str" cm="1">
        <f t="array" ref="B72">_xlfn.LET(_xlpm.result,10*_xlfn.XLOOKUP($A72,$A$2:$A$27,_xlfn.XLOOKUP(B$30,$B$1:$M$1,$B$2:$M$27)),IF(_xlpm.result&lt;0,"",_xlpm.result))</f>
        <v/>
      </c>
      <c r="C72" s="1" t="str" cm="1">
        <f t="array" ref="C72">_xlfn.LET(_xlpm.result,10*_xlfn.XLOOKUP($A72,$A$2:$A$27,_xlfn.XLOOKUP(C$30,$B$1:$M$1,$B$2:$M$27)),IF(_xlpm.result&lt;0,"",_xlpm.result))</f>
        <v/>
      </c>
      <c r="D72" s="1" cm="1">
        <f t="array" ref="D72">_xlfn.LET(_xlpm.result,10*_xlfn.XLOOKUP($A72,$A$2:$A$27,_xlfn.XLOOKUP(D$30,$B$1:$M$1,$B$2:$M$27)),IF(_xlpm.result&lt;0,"",_xlpm.result))</f>
        <v>26</v>
      </c>
      <c r="E72" s="17" cm="1">
        <f t="array" ref="E72">_xlfn.LET(_xlpm.result,10*_xlfn.XLOOKUP($A72,$A$2:$A$27,_xlfn.XLOOKUP(E$30,$B$1:$M$1,$B$2:$M$27)),IF(_xlpm.result&lt;0,"",_xlpm.result))</f>
        <v>0</v>
      </c>
      <c r="F72" s="1" cm="1">
        <f t="array" ref="F72">_xlfn.LET(_xlpm.result,10*_xlfn.XLOOKUP($A72,$A$2:$A$27,_xlfn.XLOOKUP(F$30,$B$1:$M$1,$B$2:$M$27)),IF(_xlpm.result&lt;0,"",_xlpm.result))</f>
        <v>51</v>
      </c>
      <c r="G72" s="1" t="str" cm="1">
        <f t="array" ref="G72">_xlfn.LET(_xlpm.result,10*_xlfn.XLOOKUP($A72,$A$2:$A$27,_xlfn.XLOOKUP(G$30,$B$1:$M$1,$B$2:$M$27)),IF(_xlpm.result&lt;0,"",_xlpm.result))</f>
        <v/>
      </c>
      <c r="H72" s="1" t="str" cm="1">
        <f t="array" ref="H72">_xlfn.LET(_xlpm.result,10*_xlfn.XLOOKUP($A72,$A$2:$A$27,_xlfn.XLOOKUP(H$30,$B$1:$M$1,$B$2:$M$27)),IF(_xlpm.result&lt;0,"",_xlpm.result))</f>
        <v/>
      </c>
      <c r="I72" s="1" t="str" cm="1">
        <f t="array" ref="I72">_xlfn.LET(_xlpm.result,10*_xlfn.XLOOKUP($A72,$A$2:$A$27,_xlfn.XLOOKUP(I$30,$B$1:$M$1,$B$2:$M$27)),IF(_xlpm.result&lt;0,"",_xlpm.result))</f>
        <v/>
      </c>
      <c r="J72" s="1" cm="1">
        <f t="array" ref="J72">_xlfn.LET(_xlpm.result,10*_xlfn.XLOOKUP($A72,$A$2:$A$27,_xlfn.XLOOKUP(J$30,$B$1:$M$1,$B$2:$M$27)),IF(_xlpm.result&lt;0,"",_xlpm.result))</f>
        <v>2</v>
      </c>
      <c r="K72" s="1" t="str" cm="1">
        <f t="array" ref="K72">_xlfn.LET(_xlpm.result,10*_xlfn.XLOOKUP($A72,$A$2:$A$27,_xlfn.XLOOKUP(K$30,$B$1:$M$1,$B$2:$M$27)),IF(_xlpm.result&lt;0,"",_xlpm.result))</f>
        <v/>
      </c>
      <c r="L72" s="1" t="str" cm="1">
        <f t="array" ref="L72">_xlfn.LET(_xlpm.result,10*_xlfn.XLOOKUP($A72,$A$2:$A$27,_xlfn.XLOOKUP(L$30,$B$1:$M$1,$B$2:$M$27)),IF(_xlpm.result&lt;0,"",_xlpm.result))</f>
        <v/>
      </c>
      <c r="M72" s="1" cm="1">
        <f t="array" ref="M72">_xlfn.LET(_xlpm.result,10*_xlfn.XLOOKUP($A72,$A$2:$A$27,_xlfn.XLOOKUP(M$30,$B$1:$M$1,$B$2:$M$27)),IF(_xlpm.result&lt;0,"",_xlpm.result))</f>
        <v>33</v>
      </c>
      <c r="N72" s="10">
        <f t="shared" si="3"/>
        <v>51</v>
      </c>
    </row>
    <row r="73" spans="1:15" s="16" customFormat="1" x14ac:dyDescent="0.25">
      <c r="A73" t="s">
        <v>24</v>
      </c>
      <c r="B73" s="1" cm="1">
        <f t="array" ref="B73">_xlfn.LET(_xlpm.result,10*_xlfn.XLOOKUP($A73,$A$2:$A$27,_xlfn.XLOOKUP(B$30,$B$1:$M$1,$B$2:$M$27)),IF(_xlpm.result&lt;0,"",_xlpm.result))</f>
        <v>51</v>
      </c>
      <c r="C73" s="1" t="str" cm="1">
        <f t="array" ref="C73">_xlfn.LET(_xlpm.result,10*_xlfn.XLOOKUP($A73,$A$2:$A$27,_xlfn.XLOOKUP(C$30,$B$1:$M$1,$B$2:$M$27)),IF(_xlpm.result&lt;0,"",_xlpm.result))</f>
        <v/>
      </c>
      <c r="D73" s="1" cm="1">
        <f t="array" ref="D73">_xlfn.LET(_xlpm.result,10*_xlfn.XLOOKUP($A73,$A$2:$A$27,_xlfn.XLOOKUP(D$30,$B$1:$M$1,$B$2:$M$27)),IF(_xlpm.result&lt;0,"",_xlpm.result))</f>
        <v>53</v>
      </c>
      <c r="E73" s="17" cm="1">
        <f t="array" ref="E73">_xlfn.LET(_xlpm.result,10*_xlfn.XLOOKUP($A73,$A$2:$A$27,_xlfn.XLOOKUP(E$30,$B$1:$M$1,$B$2:$M$27)),IF(_xlpm.result&lt;0,"",_xlpm.result))</f>
        <v>10</v>
      </c>
      <c r="F73" s="1" t="str" cm="1">
        <f t="array" ref="F73">_xlfn.LET(_xlpm.result,10*_xlfn.XLOOKUP($A73,$A$2:$A$27,_xlfn.XLOOKUP(F$30,$B$1:$M$1,$B$2:$M$27)),IF(_xlpm.result&lt;0,"",_xlpm.result))</f>
        <v/>
      </c>
      <c r="G73" s="1" t="str" cm="1">
        <f t="array" ref="G73">_xlfn.LET(_xlpm.result,10*_xlfn.XLOOKUP($A73,$A$2:$A$27,_xlfn.XLOOKUP(G$30,$B$1:$M$1,$B$2:$M$27)),IF(_xlpm.result&lt;0,"",_xlpm.result))</f>
        <v/>
      </c>
      <c r="H73" s="1" t="str" cm="1">
        <f t="array" ref="H73">_xlfn.LET(_xlpm.result,10*_xlfn.XLOOKUP($A73,$A$2:$A$27,_xlfn.XLOOKUP(H$30,$B$1:$M$1,$B$2:$M$27)),IF(_xlpm.result&lt;0,"",_xlpm.result))</f>
        <v/>
      </c>
      <c r="I73" s="1" t="str" cm="1">
        <f t="array" ref="I73">_xlfn.LET(_xlpm.result,10*_xlfn.XLOOKUP($A73,$A$2:$A$27,_xlfn.XLOOKUP(I$30,$B$1:$M$1,$B$2:$M$27)),IF(_xlpm.result&lt;0,"",_xlpm.result))</f>
        <v/>
      </c>
      <c r="J73" s="1" cm="1">
        <f t="array" ref="J73">_xlfn.LET(_xlpm.result,10*_xlfn.XLOOKUP($A73,$A$2:$A$27,_xlfn.XLOOKUP(J$30,$B$1:$M$1,$B$2:$M$27)),IF(_xlpm.result&lt;0,"",_xlpm.result))</f>
        <v>46</v>
      </c>
      <c r="K73" s="1" t="str" cm="1">
        <f t="array" ref="K73">_xlfn.LET(_xlpm.result,10*_xlfn.XLOOKUP($A73,$A$2:$A$27,_xlfn.XLOOKUP(K$30,$B$1:$M$1,$B$2:$M$27)),IF(_xlpm.result&lt;0,"",_xlpm.result))</f>
        <v/>
      </c>
      <c r="L73" s="1" t="str" cm="1">
        <f t="array" ref="L73">_xlfn.LET(_xlpm.result,10*_xlfn.XLOOKUP($A73,$A$2:$A$27,_xlfn.XLOOKUP(L$30,$B$1:$M$1,$B$2:$M$27)),IF(_xlpm.result&lt;0,"",_xlpm.result))</f>
        <v/>
      </c>
      <c r="M73" s="1" t="str" cm="1">
        <f t="array" ref="M73">_xlfn.LET(_xlpm.result,10*_xlfn.XLOOKUP($A73,$A$2:$A$27,_xlfn.XLOOKUP(M$30,$B$1:$M$1,$B$2:$M$27)),IF(_xlpm.result&lt;0,"",_xlpm.result))</f>
        <v/>
      </c>
      <c r="N73" s="10">
        <f t="shared" si="3"/>
        <v>53</v>
      </c>
    </row>
    <row r="74" spans="1:15" x14ac:dyDescent="0.25">
      <c r="A74" t="s">
        <v>20</v>
      </c>
      <c r="B74" s="1" t="str" cm="1">
        <f t="array" ref="B74">_xlfn.LET(_xlpm.result,10*_xlfn.XLOOKUP($A74,$A$2:$A$27,_xlfn.XLOOKUP(B$30,$B$1:$M$1,$B$2:$M$27)),IF(_xlpm.result&lt;0,"",_xlpm.result))</f>
        <v/>
      </c>
      <c r="C74" s="1" cm="1">
        <f t="array" ref="C74">_xlfn.LET(_xlpm.result,10*_xlfn.XLOOKUP($A74,$A$2:$A$27,_xlfn.XLOOKUP(C$30,$B$1:$M$1,$B$2:$M$27)),IF(_xlpm.result&lt;0,"",_xlpm.result))</f>
        <v>25</v>
      </c>
      <c r="D74" s="1" t="str" cm="1">
        <f t="array" ref="D74">_xlfn.LET(_xlpm.result,10*_xlfn.XLOOKUP($A74,$A$2:$A$27,_xlfn.XLOOKUP(D$30,$B$1:$M$1,$B$2:$M$27)),IF(_xlpm.result&lt;0,"",_xlpm.result))</f>
        <v/>
      </c>
      <c r="E74" s="17" t="str" cm="1">
        <f t="array" ref="E74">_xlfn.LET(_xlpm.result,10*_xlfn.XLOOKUP($A74,$A$2:$A$27,_xlfn.XLOOKUP(E$30,$B$1:$M$1,$B$2:$M$27)),IF(_xlpm.result&lt;0,"",_xlpm.result))</f>
        <v/>
      </c>
      <c r="F74" s="1" cm="1">
        <f t="array" ref="F74">_xlfn.LET(_xlpm.result,10*_xlfn.XLOOKUP($A74,$A$2:$A$27,_xlfn.XLOOKUP(F$30,$B$1:$M$1,$B$2:$M$27)),IF(_xlpm.result&lt;0,"",_xlpm.result))</f>
        <v>29</v>
      </c>
      <c r="G74" s="1" cm="1">
        <f t="array" ref="G74">_xlfn.LET(_xlpm.result,10*_xlfn.XLOOKUP($A74,$A$2:$A$27,_xlfn.XLOOKUP(G$30,$B$1:$M$1,$B$2:$M$27)),IF(_xlpm.result&lt;0,"",_xlpm.result))</f>
        <v>53.999999999999901</v>
      </c>
      <c r="H74" s="1" cm="1">
        <f t="array" ref="H74">_xlfn.LET(_xlpm.result,10*_xlfn.XLOOKUP($A74,$A$2:$A$27,_xlfn.XLOOKUP(H$30,$B$1:$M$1,$B$2:$M$27)),IF(_xlpm.result&lt;0,"",_xlpm.result))</f>
        <v>48.999999999999901</v>
      </c>
      <c r="I74" s="1" t="str" cm="1">
        <f t="array" ref="I74">_xlfn.LET(_xlpm.result,10*_xlfn.XLOOKUP($A74,$A$2:$A$27,_xlfn.XLOOKUP(I$30,$B$1:$M$1,$B$2:$M$27)),IF(_xlpm.result&lt;0,"",_xlpm.result))</f>
        <v/>
      </c>
      <c r="J74" s="1" t="str" cm="1">
        <f t="array" ref="J74">_xlfn.LET(_xlpm.result,10*_xlfn.XLOOKUP($A74,$A$2:$A$27,_xlfn.XLOOKUP(J$30,$B$1:$M$1,$B$2:$M$27)),IF(_xlpm.result&lt;0,"",_xlpm.result))</f>
        <v/>
      </c>
      <c r="K74" s="1" cm="1">
        <f t="array" ref="K74">_xlfn.LET(_xlpm.result,10*_xlfn.XLOOKUP($A74,$A$2:$A$27,_xlfn.XLOOKUP(K$30,$B$1:$M$1,$B$2:$M$27)),IF(_xlpm.result&lt;0,"",_xlpm.result))</f>
        <v>6</v>
      </c>
      <c r="L74" s="1" t="str" cm="1">
        <f t="array" ref="L74">_xlfn.LET(_xlpm.result,10*_xlfn.XLOOKUP($A74,$A$2:$A$27,_xlfn.XLOOKUP(L$30,$B$1:$M$1,$B$2:$M$27)),IF(_xlpm.result&lt;0,"",_xlpm.result))</f>
        <v/>
      </c>
      <c r="M74" s="1" cm="1">
        <f t="array" ref="M74">_xlfn.LET(_xlpm.result,10*_xlfn.XLOOKUP($A74,$A$2:$A$27,_xlfn.XLOOKUP(M$30,$B$1:$M$1,$B$2:$M$27)),IF(_xlpm.result&lt;0,"",_xlpm.result))</f>
        <v>53.999999999999901</v>
      </c>
      <c r="N74" s="10">
        <f t="shared" si="3"/>
        <v>53.999999999999901</v>
      </c>
    </row>
    <row r="75" spans="1:15" s="16" customFormat="1" x14ac:dyDescent="0.25">
      <c r="A75" t="s">
        <v>50</v>
      </c>
      <c r="B75" s="1" cm="1">
        <f t="array" ref="B75">_xlfn.LET(_xlpm.result,10*_xlfn.XLOOKUP($A75,$A$2:$A$27,_xlfn.XLOOKUP(B$30,$B$1:$M$1,$B$2:$M$27)),IF(_xlpm.result&lt;0,"",_xlpm.result))</f>
        <v>24</v>
      </c>
      <c r="C75" s="1" t="str" cm="1">
        <f t="array" ref="C75">_xlfn.LET(_xlpm.result,10*_xlfn.XLOOKUP($A75,$A$2:$A$27,_xlfn.XLOOKUP(C$30,$B$1:$M$1,$B$2:$M$27)),IF(_xlpm.result&lt;0,"",_xlpm.result))</f>
        <v/>
      </c>
      <c r="D75" s="1" cm="1">
        <f t="array" ref="D75">_xlfn.LET(_xlpm.result,10*_xlfn.XLOOKUP($A75,$A$2:$A$27,_xlfn.XLOOKUP(D$30,$B$1:$M$1,$B$2:$M$27)),IF(_xlpm.result&lt;0,"",_xlpm.result))</f>
        <v>24</v>
      </c>
      <c r="E75" s="17" t="str" cm="1">
        <f t="array" ref="E75">_xlfn.LET(_xlpm.result,10*_xlfn.XLOOKUP($A75,$A$2:$A$27,_xlfn.XLOOKUP(E$30,$B$1:$M$1,$B$2:$M$27)),IF(_xlpm.result&lt;0,"",_xlpm.result))</f>
        <v/>
      </c>
      <c r="F75" s="1" cm="1">
        <f t="array" ref="F75">_xlfn.LET(_xlpm.result,10*_xlfn.XLOOKUP($A75,$A$2:$A$27,_xlfn.XLOOKUP(F$30,$B$1:$M$1,$B$2:$M$27)),IF(_xlpm.result&lt;0,"",_xlpm.result))</f>
        <v>69</v>
      </c>
      <c r="G75" s="1" cm="1">
        <f t="array" ref="G75">_xlfn.LET(_xlpm.result,10*_xlfn.XLOOKUP($A75,$A$2:$A$27,_xlfn.XLOOKUP(G$30,$B$1:$M$1,$B$2:$M$27)),IF(_xlpm.result&lt;0,"",_xlpm.result))</f>
        <v>0</v>
      </c>
      <c r="H75" s="1" cm="1">
        <f t="array" ref="H75">_xlfn.LET(_xlpm.result,10*_xlfn.XLOOKUP($A75,$A$2:$A$27,_xlfn.XLOOKUP(H$30,$B$1:$M$1,$B$2:$M$27)),IF(_xlpm.result&lt;0,"",_xlpm.result))</f>
        <v>15</v>
      </c>
      <c r="I75" s="1" cm="1">
        <f t="array" ref="I75">_xlfn.LET(_xlpm.result,10*_xlfn.XLOOKUP($A75,$A$2:$A$27,_xlfn.XLOOKUP(I$30,$B$1:$M$1,$B$2:$M$27)),IF(_xlpm.result&lt;0,"",_xlpm.result))</f>
        <v>26</v>
      </c>
      <c r="J75" s="1" cm="1">
        <f t="array" ref="J75">_xlfn.LET(_xlpm.result,10*_xlfn.XLOOKUP($A75,$A$2:$A$27,_xlfn.XLOOKUP(J$30,$B$1:$M$1,$B$2:$M$27)),IF(_xlpm.result&lt;0,"",_xlpm.result))</f>
        <v>57</v>
      </c>
      <c r="K75" s="1" cm="1">
        <f t="array" ref="K75">_xlfn.LET(_xlpm.result,10*_xlfn.XLOOKUP($A75,$A$2:$A$27,_xlfn.XLOOKUP(K$30,$B$1:$M$1,$B$2:$M$27)),IF(_xlpm.result&lt;0,"",_xlpm.result))</f>
        <v>0</v>
      </c>
      <c r="L75" s="1" cm="1">
        <f t="array" ref="L75">_xlfn.LET(_xlpm.result,10*_xlfn.XLOOKUP($A75,$A$2:$A$27,_xlfn.XLOOKUP(L$30,$B$1:$M$1,$B$2:$M$27)),IF(_xlpm.result&lt;0,"",_xlpm.result))</f>
        <v>24</v>
      </c>
      <c r="M75" s="1" cm="1">
        <f t="array" ref="M75">_xlfn.LET(_xlpm.result,10*_xlfn.XLOOKUP($A75,$A$2:$A$27,_xlfn.XLOOKUP(M$30,$B$1:$M$1,$B$2:$M$27)),IF(_xlpm.result&lt;0,"",_xlpm.result))</f>
        <v>0</v>
      </c>
      <c r="N75" s="10">
        <f t="shared" si="3"/>
        <v>69</v>
      </c>
    </row>
    <row r="76" spans="1:15" ht="21" x14ac:dyDescent="0.35">
      <c r="A76" t="s">
        <v>45</v>
      </c>
      <c r="B76" s="1" cm="1">
        <f t="array" ref="B76">_xlfn.LET(_xlpm.result,10*_xlfn.XLOOKUP($A76,$A$2:$A$27,_xlfn.XLOOKUP(B$30,$B$1:$M$1,$B$2:$M$27)),IF(_xlpm.result&lt;0,"",_xlpm.result))</f>
        <v>72</v>
      </c>
      <c r="C76" s="1" t="str" cm="1">
        <f t="array" ref="C76">_xlfn.LET(_xlpm.result,10*_xlfn.XLOOKUP($A76,$A$2:$A$27,_xlfn.XLOOKUP(C$30,$B$1:$M$1,$B$2:$M$27)),IF(_xlpm.result&lt;0,"",_xlpm.result))</f>
        <v/>
      </c>
      <c r="D76" s="1" t="str" cm="1">
        <f t="array" ref="D76">_xlfn.LET(_xlpm.result,10*_xlfn.XLOOKUP($A76,$A$2:$A$27,_xlfn.XLOOKUP(D$30,$B$1:$M$1,$B$2:$M$27)),IF(_xlpm.result&lt;0,"",_xlpm.result))</f>
        <v/>
      </c>
      <c r="E76" s="17" t="str" cm="1">
        <f t="array" ref="E76">_xlfn.LET(_xlpm.result,10*_xlfn.XLOOKUP($A76,$A$2:$A$27,_xlfn.XLOOKUP(E$30,$B$1:$M$1,$B$2:$M$27)),IF(_xlpm.result&lt;0,"",_xlpm.result))</f>
        <v/>
      </c>
      <c r="F76" s="1" cm="1">
        <f t="array" ref="F76">_xlfn.LET(_xlpm.result,10*_xlfn.XLOOKUP($A76,$A$2:$A$27,_xlfn.XLOOKUP(F$30,$B$1:$M$1,$B$2:$M$27)),IF(_xlpm.result&lt;0,"",_xlpm.result))</f>
        <v>72</v>
      </c>
      <c r="G76" s="1" cm="1">
        <f t="array" ref="G76">_xlfn.LET(_xlpm.result,10*_xlfn.XLOOKUP($A76,$A$2:$A$27,_xlfn.XLOOKUP(G$30,$B$1:$M$1,$B$2:$M$27)),IF(_xlpm.result&lt;0,"",_xlpm.result))</f>
        <v>19</v>
      </c>
      <c r="H76" s="1" t="str" cm="1">
        <f t="array" ref="H76">_xlfn.LET(_xlpm.result,10*_xlfn.XLOOKUP($A76,$A$2:$A$27,_xlfn.XLOOKUP(H$30,$B$1:$M$1,$B$2:$M$27)),IF(_xlpm.result&lt;0,"",_xlpm.result))</f>
        <v/>
      </c>
      <c r="I76" s="1" t="str" cm="1">
        <f t="array" ref="I76">_xlfn.LET(_xlpm.result,10*_xlfn.XLOOKUP($A76,$A$2:$A$27,_xlfn.XLOOKUP(I$30,$B$1:$M$1,$B$2:$M$27)),IF(_xlpm.result&lt;0,"",_xlpm.result))</f>
        <v/>
      </c>
      <c r="J76" s="1" cm="1">
        <f t="array" ref="J76">_xlfn.LET(_xlpm.result,10*_xlfn.XLOOKUP($A76,$A$2:$A$27,_xlfn.XLOOKUP(J$30,$B$1:$M$1,$B$2:$M$27)),IF(_xlpm.result&lt;0,"",_xlpm.result))</f>
        <v>41</v>
      </c>
      <c r="K76" s="1" t="str" cm="1">
        <f t="array" ref="K76">_xlfn.LET(_xlpm.result,10*_xlfn.XLOOKUP($A76,$A$2:$A$27,_xlfn.XLOOKUP(K$30,$B$1:$M$1,$B$2:$M$27)),IF(_xlpm.result&lt;0,"",_xlpm.result))</f>
        <v/>
      </c>
      <c r="L76" s="12" cm="1">
        <f t="array" ref="L76">_xlfn.LET(_xlpm.result,10*_xlfn.XLOOKUP($A76,$A$2:$A$27,_xlfn.XLOOKUP(L$30,$B$1:$M$1,$B$2:$M$27)),IF(_xlpm.result&lt;0,"",_xlpm.result))</f>
        <v>65</v>
      </c>
      <c r="M76" s="1" t="str" cm="1">
        <f t="array" ref="M76">_xlfn.LET(_xlpm.result,10*_xlfn.XLOOKUP($A76,$A$2:$A$27,_xlfn.XLOOKUP(M$30,$B$1:$M$1,$B$2:$M$27)),IF(_xlpm.result&lt;0,"",_xlpm.result))</f>
        <v/>
      </c>
      <c r="N76" s="10">
        <f t="shared" si="3"/>
        <v>72</v>
      </c>
      <c r="O76">
        <v>12</v>
      </c>
    </row>
    <row r="77" spans="1:15" ht="21" x14ac:dyDescent="0.35">
      <c r="A77" t="s">
        <v>44</v>
      </c>
      <c r="B77" s="1" cm="1">
        <f t="array" ref="B77">_xlfn.LET(_xlpm.result,10*_xlfn.XLOOKUP($A77,$A$2:$A$27,_xlfn.XLOOKUP(B$30,$B$1:$M$1,$B$2:$M$27)),IF(_xlpm.result&lt;0,"",_xlpm.result))</f>
        <v>26</v>
      </c>
      <c r="C77" s="12" cm="1">
        <f t="array" ref="C77">_xlfn.LET(_xlpm.result,10*_xlfn.XLOOKUP($A77,$A$2:$A$27,_xlfn.XLOOKUP(C$30,$B$1:$M$1,$B$2:$M$27)),IF(_xlpm.result&lt;0,"",_xlpm.result))</f>
        <v>57</v>
      </c>
      <c r="D77" s="1" cm="1">
        <f t="array" ref="D77">_xlfn.LET(_xlpm.result,10*_xlfn.XLOOKUP($A77,$A$2:$A$27,_xlfn.XLOOKUP(D$30,$B$1:$M$1,$B$2:$M$27)),IF(_xlpm.result&lt;0,"",_xlpm.result))</f>
        <v>0</v>
      </c>
      <c r="E77" s="17" t="str" cm="1">
        <f t="array" ref="E77">_xlfn.LET(_xlpm.result,10*_xlfn.XLOOKUP($A77,$A$2:$A$27,_xlfn.XLOOKUP(E$30,$B$1:$M$1,$B$2:$M$27)),IF(_xlpm.result&lt;0,"",_xlpm.result))</f>
        <v/>
      </c>
      <c r="F77" s="1" t="str" cm="1">
        <f t="array" ref="F77">_xlfn.LET(_xlpm.result,10*_xlfn.XLOOKUP($A77,$A$2:$A$27,_xlfn.XLOOKUP(F$30,$B$1:$M$1,$B$2:$M$27)),IF(_xlpm.result&lt;0,"",_xlpm.result))</f>
        <v/>
      </c>
      <c r="G77" s="1" cm="1">
        <f t="array" ref="G77">_xlfn.LET(_xlpm.result,10*_xlfn.XLOOKUP($A77,$A$2:$A$27,_xlfn.XLOOKUP(G$30,$B$1:$M$1,$B$2:$M$27)),IF(_xlpm.result&lt;0,"",_xlpm.result))</f>
        <v>24</v>
      </c>
      <c r="H77" s="1" cm="1">
        <f t="array" ref="H77">_xlfn.LET(_xlpm.result,10*_xlfn.XLOOKUP($A77,$A$2:$A$27,_xlfn.XLOOKUP(H$30,$B$1:$M$1,$B$2:$M$27)),IF(_xlpm.result&lt;0,"",_xlpm.result))</f>
        <v>47</v>
      </c>
      <c r="I77" s="1" cm="1">
        <f t="array" ref="I77">_xlfn.LET(_xlpm.result,10*_xlfn.XLOOKUP($A77,$A$2:$A$27,_xlfn.XLOOKUP(I$30,$B$1:$M$1,$B$2:$M$27)),IF(_xlpm.result&lt;0,"",_xlpm.result))</f>
        <v>19</v>
      </c>
      <c r="J77" s="1" cm="1">
        <f t="array" ref="J77">_xlfn.LET(_xlpm.result,10*_xlfn.XLOOKUP($A77,$A$2:$A$27,_xlfn.XLOOKUP(J$30,$B$1:$M$1,$B$2:$M$27)),IF(_xlpm.result&lt;0,"",_xlpm.result))</f>
        <v>75</v>
      </c>
      <c r="K77" s="1" cm="1">
        <f t="array" ref="K77">_xlfn.LET(_xlpm.result,10*_xlfn.XLOOKUP($A77,$A$2:$A$27,_xlfn.XLOOKUP(K$30,$B$1:$M$1,$B$2:$M$27)),IF(_xlpm.result&lt;0,"",_xlpm.result))</f>
        <v>0</v>
      </c>
      <c r="L77" s="1" cm="1">
        <f t="array" ref="L77">_xlfn.LET(_xlpm.result,10*_xlfn.XLOOKUP($A77,$A$2:$A$27,_xlfn.XLOOKUP(L$30,$B$1:$M$1,$B$2:$M$27)),IF(_xlpm.result&lt;0,"",_xlpm.result))</f>
        <v>2.9999999999999898</v>
      </c>
      <c r="M77" s="1" cm="1">
        <f t="array" ref="M77">_xlfn.LET(_xlpm.result,10*_xlfn.XLOOKUP($A77,$A$2:$A$27,_xlfn.XLOOKUP(M$30,$B$1:$M$1,$B$2:$M$27)),IF(_xlpm.result&lt;0,"",_xlpm.result))</f>
        <v>0</v>
      </c>
      <c r="N77" s="10">
        <f t="shared" si="3"/>
        <v>75</v>
      </c>
      <c r="O77">
        <v>11</v>
      </c>
    </row>
    <row r="78" spans="1:15" s="16" customFormat="1" ht="21" x14ac:dyDescent="0.35">
      <c r="A78" s="16" t="s">
        <v>48</v>
      </c>
      <c r="B78" s="17" t="str" cm="1">
        <f t="array" ref="B78">_xlfn.LET(_xlpm.result,10*_xlfn.XLOOKUP($A78,$A$2:$A$27,_xlfn.XLOOKUP(B$30,$B$1:$M$1,$B$2:$M$27)),IF(_xlpm.result&lt;0,"",_xlpm.result))</f>
        <v/>
      </c>
      <c r="C78" s="17" cm="1">
        <f t="array" ref="C78">_xlfn.LET(_xlpm.result,10*_xlfn.XLOOKUP($A78,$A$2:$A$27,_xlfn.XLOOKUP(C$30,$B$1:$M$1,$B$2:$M$27)),IF(_xlpm.result&lt;0,"",_xlpm.result))</f>
        <v>80</v>
      </c>
      <c r="D78" s="17" cm="1">
        <f t="array" ref="D78">_xlfn.LET(_xlpm.result,10*_xlfn.XLOOKUP($A78,$A$2:$A$27,_xlfn.XLOOKUP(D$30,$B$1:$M$1,$B$2:$M$27)),IF(_xlpm.result&lt;0,"",_xlpm.result))</f>
        <v>0</v>
      </c>
      <c r="E78" s="17" cm="1">
        <f t="array" ref="E78">_xlfn.LET(_xlpm.result,10*_xlfn.XLOOKUP($A78,$A$2:$A$27,_xlfn.XLOOKUP(E$30,$B$1:$M$1,$B$2:$M$27)),IF(_xlpm.result&lt;0,"",_xlpm.result))</f>
        <v>19</v>
      </c>
      <c r="F78" s="17" t="str" cm="1">
        <f t="array" ref="F78">_xlfn.LET(_xlpm.result,10*_xlfn.XLOOKUP($A78,$A$2:$A$27,_xlfn.XLOOKUP(F$30,$B$1:$M$1,$B$2:$M$27)),IF(_xlpm.result&lt;0,"",_xlpm.result))</f>
        <v/>
      </c>
      <c r="G78" s="17" t="str" cm="1">
        <f t="array" ref="G78">_xlfn.LET(_xlpm.result,10*_xlfn.XLOOKUP($A78,$A$2:$A$27,_xlfn.XLOOKUP(G$30,$B$1:$M$1,$B$2:$M$27)),IF(_xlpm.result&lt;0,"",_xlpm.result))</f>
        <v/>
      </c>
      <c r="H78" s="17" cm="1">
        <f t="array" ref="H78">_xlfn.LET(_xlpm.result,10*_xlfn.XLOOKUP($A78,$A$2:$A$27,_xlfn.XLOOKUP(H$30,$B$1:$M$1,$B$2:$M$27)),IF(_xlpm.result&lt;0,"",_xlpm.result))</f>
        <v>32</v>
      </c>
      <c r="I78" s="21" cm="1">
        <f t="array" ref="I78">_xlfn.LET(_xlpm.result,10*_xlfn.XLOOKUP($A78,$A$2:$A$27,_xlfn.XLOOKUP(I$30,$B$1:$M$1,$B$2:$M$27)),IF(_xlpm.result&lt;0,"",_xlpm.result))</f>
        <v>80</v>
      </c>
      <c r="J78" s="17" cm="1">
        <f t="array" ref="J78">_xlfn.LET(_xlpm.result,10*_xlfn.XLOOKUP($A78,$A$2:$A$27,_xlfn.XLOOKUP(J$30,$B$1:$M$1,$B$2:$M$27)),IF(_xlpm.result&lt;0,"",_xlpm.result))</f>
        <v>26</v>
      </c>
      <c r="K78" s="17" cm="1">
        <f t="array" ref="K78">_xlfn.LET(_xlpm.result,10*_xlfn.XLOOKUP($A78,$A$2:$A$27,_xlfn.XLOOKUP(K$30,$B$1:$M$1,$B$2:$M$27)),IF(_xlpm.result&lt;0,"",_xlpm.result))</f>
        <v>55</v>
      </c>
      <c r="L78" s="17" cm="1">
        <f t="array" ref="L78">_xlfn.LET(_xlpm.result,10*_xlfn.XLOOKUP($A78,$A$2:$A$27,_xlfn.XLOOKUP(L$30,$B$1:$M$1,$B$2:$M$27)),IF(_xlpm.result&lt;0,"",_xlpm.result))</f>
        <v>51</v>
      </c>
      <c r="M78" s="17" cm="1">
        <f t="array" ref="M78">_xlfn.LET(_xlpm.result,10*_xlfn.XLOOKUP($A78,$A$2:$A$27,_xlfn.XLOOKUP(M$30,$B$1:$M$1,$B$2:$M$27)),IF(_xlpm.result&lt;0,"",_xlpm.result))</f>
        <v>55</v>
      </c>
      <c r="N78" s="19">
        <f t="shared" si="3"/>
        <v>80</v>
      </c>
      <c r="O78" s="16">
        <v>10</v>
      </c>
    </row>
    <row r="79" spans="1:15" s="16" customFormat="1" ht="21" x14ac:dyDescent="0.35">
      <c r="A79" t="s">
        <v>33</v>
      </c>
      <c r="B79" s="1" t="str" cm="1">
        <f t="array" ref="B79">_xlfn.LET(_xlpm.result,10*_xlfn.XLOOKUP($A79,$A$2:$A$27,_xlfn.XLOOKUP(B$30,$B$1:$M$1,$B$2:$M$27)),IF(_xlpm.result&lt;0,"",_xlpm.result))</f>
        <v/>
      </c>
      <c r="C79" s="1" cm="1">
        <f t="array" ref="C79">_xlfn.LET(_xlpm.result,10*_xlfn.XLOOKUP($A79,$A$2:$A$27,_xlfn.XLOOKUP(C$30,$B$1:$M$1,$B$2:$M$27)),IF(_xlpm.result&lt;0,"",_xlpm.result))</f>
        <v>0</v>
      </c>
      <c r="D79" s="1" cm="1">
        <f t="array" ref="D79">_xlfn.LET(_xlpm.result,10*_xlfn.XLOOKUP($A79,$A$2:$A$27,_xlfn.XLOOKUP(D$30,$B$1:$M$1,$B$2:$M$27)),IF(_xlpm.result&lt;0,"",_xlpm.result))</f>
        <v>37</v>
      </c>
      <c r="E79" s="17" t="str" cm="1">
        <f t="array" ref="E79">_xlfn.LET(_xlpm.result,10*_xlfn.XLOOKUP($A79,$A$2:$A$27,_xlfn.XLOOKUP(E$30,$B$1:$M$1,$B$2:$M$27)),IF(_xlpm.result&lt;0,"",_xlpm.result))</f>
        <v/>
      </c>
      <c r="F79" s="1" t="str" cm="1">
        <f t="array" ref="F79">_xlfn.LET(_xlpm.result,10*_xlfn.XLOOKUP($A79,$A$2:$A$27,_xlfn.XLOOKUP(F$30,$B$1:$M$1,$B$2:$M$27)),IF(_xlpm.result&lt;0,"",_xlpm.result))</f>
        <v/>
      </c>
      <c r="G79" s="1" cm="1">
        <f t="array" ref="G79">_xlfn.LET(_xlpm.result,10*_xlfn.XLOOKUP($A79,$A$2:$A$27,_xlfn.XLOOKUP(G$30,$B$1:$M$1,$B$2:$M$27)),IF(_xlpm.result&lt;0,"",_xlpm.result))</f>
        <v>12</v>
      </c>
      <c r="H79" s="12" cm="1">
        <f t="array" ref="H79">_xlfn.LET(_xlpm.result,10*_xlfn.XLOOKUP($A79,$A$2:$A$27,_xlfn.XLOOKUP(H$30,$B$1:$M$1,$B$2:$M$27)),IF(_xlpm.result&lt;0,"",_xlpm.result))</f>
        <v>81</v>
      </c>
      <c r="I79" s="1" t="str" cm="1">
        <f t="array" ref="I79">_xlfn.LET(_xlpm.result,10*_xlfn.XLOOKUP($A79,$A$2:$A$27,_xlfn.XLOOKUP(I$30,$B$1:$M$1,$B$2:$M$27)),IF(_xlpm.result&lt;0,"",_xlpm.result))</f>
        <v/>
      </c>
      <c r="J79" s="1" cm="1">
        <f t="array" ref="J79">_xlfn.LET(_xlpm.result,10*_xlfn.XLOOKUP($A79,$A$2:$A$27,_xlfn.XLOOKUP(J$30,$B$1:$M$1,$B$2:$M$27)),IF(_xlpm.result&lt;0,"",_xlpm.result))</f>
        <v>55</v>
      </c>
      <c r="K79" s="1" t="str" cm="1">
        <f t="array" ref="K79">_xlfn.LET(_xlpm.result,10*_xlfn.XLOOKUP($A79,$A$2:$A$27,_xlfn.XLOOKUP(K$30,$B$1:$M$1,$B$2:$M$27)),IF(_xlpm.result&lt;0,"",_xlpm.result))</f>
        <v/>
      </c>
      <c r="L79" s="1" t="str" cm="1">
        <f t="array" ref="L79">_xlfn.LET(_xlpm.result,10*_xlfn.XLOOKUP($A79,$A$2:$A$27,_xlfn.XLOOKUP(L$30,$B$1:$M$1,$B$2:$M$27)),IF(_xlpm.result&lt;0,"",_xlpm.result))</f>
        <v/>
      </c>
      <c r="M79" s="1" cm="1">
        <f t="array" ref="M79">_xlfn.LET(_xlpm.result,10*_xlfn.XLOOKUP($A79,$A$2:$A$27,_xlfn.XLOOKUP(M$30,$B$1:$M$1,$B$2:$M$27)),IF(_xlpm.result&lt;0,"",_xlpm.result))</f>
        <v>81</v>
      </c>
      <c r="N79" s="10">
        <f t="shared" si="3"/>
        <v>81</v>
      </c>
      <c r="O79">
        <v>9</v>
      </c>
    </row>
    <row r="80" spans="1:15" ht="21" x14ac:dyDescent="0.35">
      <c r="A80" t="s">
        <v>40</v>
      </c>
      <c r="B80" s="12" cm="1">
        <f t="array" ref="B80">_xlfn.LET(_xlpm.result,10*_xlfn.XLOOKUP($A80,$A$2:$A$27,_xlfn.XLOOKUP(B$30,$B$1:$M$1,$B$2:$M$27)),IF(_xlpm.result&lt;0,"",_xlpm.result))</f>
        <v>82</v>
      </c>
      <c r="C80" s="1" cm="1">
        <f t="array" ref="C80">_xlfn.LET(_xlpm.result,10*_xlfn.XLOOKUP($A80,$A$2:$A$27,_xlfn.XLOOKUP(C$30,$B$1:$M$1,$B$2:$M$27)),IF(_xlpm.result&lt;0,"",_xlpm.result))</f>
        <v>56</v>
      </c>
      <c r="D80" s="1" cm="1">
        <f t="array" ref="D80">_xlfn.LET(_xlpm.result,10*_xlfn.XLOOKUP($A80,$A$2:$A$27,_xlfn.XLOOKUP(D$30,$B$1:$M$1,$B$2:$M$27)),IF(_xlpm.result&lt;0,"",_xlpm.result))</f>
        <v>7</v>
      </c>
      <c r="E80" s="17" t="str" cm="1">
        <f t="array" ref="E80">_xlfn.LET(_xlpm.result,10*_xlfn.XLOOKUP($A80,$A$2:$A$27,_xlfn.XLOOKUP(E$30,$B$1:$M$1,$B$2:$M$27)),IF(_xlpm.result&lt;0,"",_xlpm.result))</f>
        <v/>
      </c>
      <c r="F80" s="1" cm="1">
        <f t="array" ref="F80">_xlfn.LET(_xlpm.result,10*_xlfn.XLOOKUP($A80,$A$2:$A$27,_xlfn.XLOOKUP(F$30,$B$1:$M$1,$B$2:$M$27)),IF(_xlpm.result&lt;0,"",_xlpm.result))</f>
        <v>56</v>
      </c>
      <c r="G80" s="1" cm="1">
        <f t="array" ref="G80">_xlfn.LET(_xlpm.result,10*_xlfn.XLOOKUP($A80,$A$2:$A$27,_xlfn.XLOOKUP(G$30,$B$1:$M$1,$B$2:$M$27)),IF(_xlpm.result&lt;0,"",_xlpm.result))</f>
        <v>63</v>
      </c>
      <c r="H80" s="1" cm="1">
        <f t="array" ref="H80">_xlfn.LET(_xlpm.result,10*_xlfn.XLOOKUP($A80,$A$2:$A$27,_xlfn.XLOOKUP(H$30,$B$1:$M$1,$B$2:$M$27)),IF(_xlpm.result&lt;0,"",_xlpm.result))</f>
        <v>20</v>
      </c>
      <c r="I80" s="1" cm="1">
        <f t="array" ref="I80">_xlfn.LET(_xlpm.result,10*_xlfn.XLOOKUP($A80,$A$2:$A$27,_xlfn.XLOOKUP(I$30,$B$1:$M$1,$B$2:$M$27)),IF(_xlpm.result&lt;0,"",_xlpm.result))</f>
        <v>0</v>
      </c>
      <c r="J80" s="1" t="str" cm="1">
        <f t="array" ref="J80">_xlfn.LET(_xlpm.result,10*_xlfn.XLOOKUP($A80,$A$2:$A$27,_xlfn.XLOOKUP(J$30,$B$1:$M$1,$B$2:$M$27)),IF(_xlpm.result&lt;0,"",_xlpm.result))</f>
        <v/>
      </c>
      <c r="K80" s="1" t="str" cm="1">
        <f t="array" ref="K80">_xlfn.LET(_xlpm.result,10*_xlfn.XLOOKUP($A80,$A$2:$A$27,_xlfn.XLOOKUP(K$30,$B$1:$M$1,$B$2:$M$27)),IF(_xlpm.result&lt;0,"",_xlpm.result))</f>
        <v/>
      </c>
      <c r="L80" s="1" cm="1">
        <f t="array" ref="L80">_xlfn.LET(_xlpm.result,10*_xlfn.XLOOKUP($A80,$A$2:$A$27,_xlfn.XLOOKUP(L$30,$B$1:$M$1,$B$2:$M$27)),IF(_xlpm.result&lt;0,"",_xlpm.result))</f>
        <v>56</v>
      </c>
      <c r="M80" s="1" cm="1">
        <f t="array" ref="M80">_xlfn.LET(_xlpm.result,10*_xlfn.XLOOKUP($A80,$A$2:$A$27,_xlfn.XLOOKUP(M$30,$B$1:$M$1,$B$2:$M$27)),IF(_xlpm.result&lt;0,"",_xlpm.result))</f>
        <v>31.999999999999901</v>
      </c>
      <c r="N80" s="10">
        <f t="shared" si="3"/>
        <v>82</v>
      </c>
      <c r="O80">
        <v>8</v>
      </c>
    </row>
    <row r="81" spans="1:16" ht="21" x14ac:dyDescent="0.35">
      <c r="A81" t="s">
        <v>21</v>
      </c>
      <c r="B81" s="1" cm="1">
        <f t="array" ref="B81">_xlfn.LET(_xlpm.result,10*_xlfn.XLOOKUP($A81,$A$2:$A$27,_xlfn.XLOOKUP(B$30,$B$1:$M$1,$B$2:$M$27)),IF(_xlpm.result&lt;0,"",_xlpm.result))</f>
        <v>0</v>
      </c>
      <c r="C81" s="1" cm="1">
        <f t="array" ref="C81">_xlfn.LET(_xlpm.result,10*_xlfn.XLOOKUP($A81,$A$2:$A$27,_xlfn.XLOOKUP(C$30,$B$1:$M$1,$B$2:$M$27)),IF(_xlpm.result&lt;0,"",_xlpm.result))</f>
        <v>30.999999999999901</v>
      </c>
      <c r="D81" s="1" cm="1">
        <f t="array" ref="D81">_xlfn.LET(_xlpm.result,10*_xlfn.XLOOKUP($A81,$A$2:$A$27,_xlfn.XLOOKUP(D$30,$B$1:$M$1,$B$2:$M$27)),IF(_xlpm.result&lt;0,"",_xlpm.result))</f>
        <v>53</v>
      </c>
      <c r="E81" s="17" cm="1">
        <f t="array" ref="E81">_xlfn.LET(_xlpm.result,10*_xlfn.XLOOKUP($A81,$A$2:$A$27,_xlfn.XLOOKUP(E$30,$B$1:$M$1,$B$2:$M$27)),IF(_xlpm.result&lt;0,"",_xlpm.result))</f>
        <v>9.9999999999999893</v>
      </c>
      <c r="F81" s="12" cm="1">
        <f t="array" ref="F81">_xlfn.LET(_xlpm.result,10*_xlfn.XLOOKUP($A81,$A$2:$A$27,_xlfn.XLOOKUP(F$30,$B$1:$M$1,$B$2:$M$27)),IF(_xlpm.result&lt;0,"",_xlpm.result))</f>
        <v>76.999999999999901</v>
      </c>
      <c r="G81" s="1" cm="1">
        <f t="array" ref="G81">_xlfn.LET(_xlpm.result,10*_xlfn.XLOOKUP($A81,$A$2:$A$27,_xlfn.XLOOKUP(G$30,$B$1:$M$1,$B$2:$M$27)),IF(_xlpm.result&lt;0,"",_xlpm.result))</f>
        <v>76.999999999999901</v>
      </c>
      <c r="H81" s="1" cm="1">
        <f t="array" ref="H81">_xlfn.LET(_xlpm.result,10*_xlfn.XLOOKUP($A81,$A$2:$A$27,_xlfn.XLOOKUP(H$30,$B$1:$M$1,$B$2:$M$27)),IF(_xlpm.result&lt;0,"",_xlpm.result))</f>
        <v>84</v>
      </c>
      <c r="I81" s="1" cm="1">
        <f t="array" ref="I81">_xlfn.LET(_xlpm.result,10*_xlfn.XLOOKUP($A81,$A$2:$A$27,_xlfn.XLOOKUP(I$30,$B$1:$M$1,$B$2:$M$27)),IF(_xlpm.result&lt;0,"",_xlpm.result))</f>
        <v>12</v>
      </c>
      <c r="J81" s="1" cm="1">
        <f t="array" ref="J81">_xlfn.LET(_xlpm.result,10*_xlfn.XLOOKUP($A81,$A$2:$A$27,_xlfn.XLOOKUP(J$30,$B$1:$M$1,$B$2:$M$27)),IF(_xlpm.result&lt;0,"",_xlpm.result))</f>
        <v>84</v>
      </c>
      <c r="K81" s="1" cm="1">
        <f t="array" ref="K81">_xlfn.LET(_xlpm.result,10*_xlfn.XLOOKUP($A81,$A$2:$A$27,_xlfn.XLOOKUP(K$30,$B$1:$M$1,$B$2:$M$27)),IF(_xlpm.result&lt;0,"",_xlpm.result))</f>
        <v>21</v>
      </c>
      <c r="L81" s="1" t="str" cm="1">
        <f t="array" ref="L81">_xlfn.LET(_xlpm.result,10*_xlfn.XLOOKUP($A81,$A$2:$A$27,_xlfn.XLOOKUP(L$30,$B$1:$M$1,$B$2:$M$27)),IF(_xlpm.result&lt;0,"",_xlpm.result))</f>
        <v/>
      </c>
      <c r="M81" s="1" cm="1">
        <f t="array" ref="M81">_xlfn.LET(_xlpm.result,10*_xlfn.XLOOKUP($A81,$A$2:$A$27,_xlfn.XLOOKUP(M$30,$B$1:$M$1,$B$2:$M$27)),IF(_xlpm.result&lt;0,"",_xlpm.result))</f>
        <v>12</v>
      </c>
      <c r="N81" s="10">
        <f t="shared" si="3"/>
        <v>84</v>
      </c>
      <c r="O81">
        <v>7</v>
      </c>
    </row>
    <row r="82" spans="1:16" ht="21" x14ac:dyDescent="0.35">
      <c r="A82" t="s">
        <v>47</v>
      </c>
      <c r="B82" s="1" t="str" cm="1">
        <f t="array" ref="B82">_xlfn.LET(_xlpm.result,10*_xlfn.XLOOKUP($A82,$A$2:$A$27,_xlfn.XLOOKUP(B$30,$B$1:$M$1,$B$2:$M$27)),IF(_xlpm.result&lt;0,"",_xlpm.result))</f>
        <v/>
      </c>
      <c r="C82" s="1" cm="1">
        <f t="array" ref="C82">_xlfn.LET(_xlpm.result,10*_xlfn.XLOOKUP($A82,$A$2:$A$27,_xlfn.XLOOKUP(C$30,$B$1:$M$1,$B$2:$M$27)),IF(_xlpm.result&lt;0,"",_xlpm.result))</f>
        <v>0</v>
      </c>
      <c r="D82" s="1" t="str" cm="1">
        <f t="array" ref="D82">_xlfn.LET(_xlpm.result,10*_xlfn.XLOOKUP($A82,$A$2:$A$27,_xlfn.XLOOKUP(D$30,$B$1:$M$1,$B$2:$M$27)),IF(_xlpm.result&lt;0,"",_xlpm.result))</f>
        <v/>
      </c>
      <c r="E82" s="17" cm="1">
        <f t="array" ref="E82">_xlfn.LET(_xlpm.result,10*_xlfn.XLOOKUP($A82,$A$2:$A$27,_xlfn.XLOOKUP(E$30,$B$1:$M$1,$B$2:$M$27)),IF(_xlpm.result&lt;0,"",_xlpm.result))</f>
        <v>26</v>
      </c>
      <c r="F82" s="1" t="str" cm="1">
        <f t="array" ref="F82">_xlfn.LET(_xlpm.result,10*_xlfn.XLOOKUP($A82,$A$2:$A$27,_xlfn.XLOOKUP(F$30,$B$1:$M$1,$B$2:$M$27)),IF(_xlpm.result&lt;0,"",_xlpm.result))</f>
        <v/>
      </c>
      <c r="G82" s="12" cm="1">
        <f t="array" ref="G82">_xlfn.LET(_xlpm.result,10*_xlfn.XLOOKUP($A82,$A$2:$A$27,_xlfn.XLOOKUP(G$30,$B$1:$M$1,$B$2:$M$27)),IF(_xlpm.result&lt;0,"",_xlpm.result))</f>
        <v>95</v>
      </c>
      <c r="H82" s="1" cm="1">
        <f t="array" ref="H82">_xlfn.LET(_xlpm.result,10*_xlfn.XLOOKUP($A82,$A$2:$A$27,_xlfn.XLOOKUP(H$30,$B$1:$M$1,$B$2:$M$27)),IF(_xlpm.result&lt;0,"",_xlpm.result))</f>
        <v>2</v>
      </c>
      <c r="I82" s="1" cm="1">
        <f t="array" ref="I82">_xlfn.LET(_xlpm.result,10*_xlfn.XLOOKUP($A82,$A$2:$A$27,_xlfn.XLOOKUP(I$30,$B$1:$M$1,$B$2:$M$27)),IF(_xlpm.result&lt;0,"",_xlpm.result))</f>
        <v>20</v>
      </c>
      <c r="J82" s="1" t="str" cm="1">
        <f t="array" ref="J82">_xlfn.LET(_xlpm.result,10*_xlfn.XLOOKUP($A82,$A$2:$A$27,_xlfn.XLOOKUP(J$30,$B$1:$M$1,$B$2:$M$27)),IF(_xlpm.result&lt;0,"",_xlpm.result))</f>
        <v/>
      </c>
      <c r="K82" s="1" t="str" cm="1">
        <f t="array" ref="K82">_xlfn.LET(_xlpm.result,10*_xlfn.XLOOKUP($A82,$A$2:$A$27,_xlfn.XLOOKUP(K$30,$B$1:$M$1,$B$2:$M$27)),IF(_xlpm.result&lt;0,"",_xlpm.result))</f>
        <v/>
      </c>
      <c r="L82" s="1" cm="1">
        <f t="array" ref="L82">_xlfn.LET(_xlpm.result,10*_xlfn.XLOOKUP($A82,$A$2:$A$27,_xlfn.XLOOKUP(L$30,$B$1:$M$1,$B$2:$M$27)),IF(_xlpm.result&lt;0,"",_xlpm.result))</f>
        <v>49</v>
      </c>
      <c r="M82" s="1" t="str" cm="1">
        <f t="array" ref="M82">_xlfn.LET(_xlpm.result,10*_xlfn.XLOOKUP($A82,$A$2:$A$27,_xlfn.XLOOKUP(M$30,$B$1:$M$1,$B$2:$M$27)),IF(_xlpm.result&lt;0,"",_xlpm.result))</f>
        <v/>
      </c>
      <c r="N82" s="10">
        <f t="shared" si="3"/>
        <v>95</v>
      </c>
      <c r="O82">
        <v>6</v>
      </c>
    </row>
    <row r="83" spans="1:16" ht="21" x14ac:dyDescent="0.35">
      <c r="A83" s="16" t="s">
        <v>22</v>
      </c>
      <c r="B83" s="17" cm="1">
        <f t="array" ref="B83">_xlfn.LET(_xlpm.result,10*_xlfn.XLOOKUP($A83,$A$2:$A$27,_xlfn.XLOOKUP(B$30,$B$1:$M$1,$B$2:$M$27)),IF(_xlpm.result&lt;0,"",_xlpm.result))</f>
        <v>0</v>
      </c>
      <c r="C83" s="17" cm="1">
        <f t="array" ref="C83">_xlfn.LET(_xlpm.result,10*_xlfn.XLOOKUP($A83,$A$2:$A$27,_xlfn.XLOOKUP(C$30,$B$1:$M$1,$B$2:$M$27)),IF(_xlpm.result&lt;0,"",_xlpm.result))</f>
        <v>70</v>
      </c>
      <c r="D83" s="17" t="str" cm="1">
        <f t="array" ref="D83">_xlfn.LET(_xlpm.result,10*_xlfn.XLOOKUP($A83,$A$2:$A$27,_xlfn.XLOOKUP(D$30,$B$1:$M$1,$B$2:$M$27)),IF(_xlpm.result&lt;0,"",_xlpm.result))</f>
        <v/>
      </c>
      <c r="E83" s="21" cm="1">
        <f t="array" ref="E83">_xlfn.LET(_xlpm.result,10*_xlfn.XLOOKUP($A83,$A$2:$A$27,_xlfn.XLOOKUP(E$30,$B$1:$M$1,$B$2:$M$27)),IF(_xlpm.result&lt;0,"",_xlpm.result))</f>
        <v>66</v>
      </c>
      <c r="F83" s="17" cm="1">
        <f t="array" ref="F83">_xlfn.LET(_xlpm.result,10*_xlfn.XLOOKUP($A83,$A$2:$A$27,_xlfn.XLOOKUP(F$30,$B$1:$M$1,$B$2:$M$27)),IF(_xlpm.result&lt;0,"",_xlpm.result))</f>
        <v>15</v>
      </c>
      <c r="G83" s="17" cm="1">
        <f t="array" ref="G83">_xlfn.LET(_xlpm.result,10*_xlfn.XLOOKUP($A83,$A$2:$A$27,_xlfn.XLOOKUP(G$30,$B$1:$M$1,$B$2:$M$27)),IF(_xlpm.result&lt;0,"",_xlpm.result))</f>
        <v>14</v>
      </c>
      <c r="H83" s="17" cm="1">
        <f t="array" ref="H83">_xlfn.LET(_xlpm.result,10*_xlfn.XLOOKUP($A83,$A$2:$A$27,_xlfn.XLOOKUP(H$30,$B$1:$M$1,$B$2:$M$27)),IF(_xlpm.result&lt;0,"",_xlpm.result))</f>
        <v>25</v>
      </c>
      <c r="I83" s="17" cm="1">
        <f t="array" ref="I83">_xlfn.LET(_xlpm.result,10*_xlfn.XLOOKUP($A83,$A$2:$A$27,_xlfn.XLOOKUP(I$30,$B$1:$M$1,$B$2:$M$27)),IF(_xlpm.result&lt;0,"",_xlpm.result))</f>
        <v>97</v>
      </c>
      <c r="J83" s="17" cm="1">
        <f t="array" ref="J83">_xlfn.LET(_xlpm.result,10*_xlfn.XLOOKUP($A83,$A$2:$A$27,_xlfn.XLOOKUP(J$30,$B$1:$M$1,$B$2:$M$27)),IF(_xlpm.result&lt;0,"",_xlpm.result))</f>
        <v>34</v>
      </c>
      <c r="K83" s="17" cm="1">
        <f t="array" ref="K83">_xlfn.LET(_xlpm.result,10*_xlfn.XLOOKUP($A83,$A$2:$A$27,_xlfn.XLOOKUP(K$30,$B$1:$M$1,$B$2:$M$27)),IF(_xlpm.result&lt;0,"",_xlpm.result))</f>
        <v>90</v>
      </c>
      <c r="L83" s="17" t="str" cm="1">
        <f t="array" ref="L83">_xlfn.LET(_xlpm.result,10*_xlfn.XLOOKUP($A83,$A$2:$A$27,_xlfn.XLOOKUP(L$30,$B$1:$M$1,$B$2:$M$27)),IF(_xlpm.result&lt;0,"",_xlpm.result))</f>
        <v/>
      </c>
      <c r="M83" s="17" cm="1">
        <f t="array" ref="M83">_xlfn.LET(_xlpm.result,10*_xlfn.XLOOKUP($A83,$A$2:$A$27,_xlfn.XLOOKUP(M$30,$B$1:$M$1,$B$2:$M$27)),IF(_xlpm.result&lt;0,"",_xlpm.result))</f>
        <v>90</v>
      </c>
      <c r="N83" s="19">
        <f t="shared" si="3"/>
        <v>97</v>
      </c>
      <c r="O83">
        <v>5</v>
      </c>
    </row>
    <row r="84" spans="1:16" s="16" customFormat="1" ht="21" x14ac:dyDescent="0.35">
      <c r="A84" t="s">
        <v>36</v>
      </c>
      <c r="B84" s="1" t="str" cm="1">
        <f t="array" ref="B84">_xlfn.LET(_xlpm.result,10*_xlfn.XLOOKUP($A84,$A$2:$A$27,_xlfn.XLOOKUP(B$30,$B$1:$M$1,$B$2:$M$27)),IF(_xlpm.result&lt;0,"",_xlpm.result))</f>
        <v/>
      </c>
      <c r="C84" s="1" cm="1">
        <f t="array" ref="C84">_xlfn.LET(_xlpm.result,10*_xlfn.XLOOKUP($A84,$A$2:$A$27,_xlfn.XLOOKUP(C$30,$B$1:$M$1,$B$2:$M$27)),IF(_xlpm.result&lt;0,"",_xlpm.result))</f>
        <v>7</v>
      </c>
      <c r="D84" s="12" cm="1">
        <f t="array" ref="D84">_xlfn.LET(_xlpm.result,10*_xlfn.XLOOKUP($A84,$A$2:$A$27,_xlfn.XLOOKUP(D$30,$B$1:$M$1,$B$2:$M$27)),IF(_xlpm.result&lt;0,"",_xlpm.result))</f>
        <v>100</v>
      </c>
      <c r="E84" s="17" cm="1">
        <f t="array" ref="E84">_xlfn.LET(_xlpm.result,10*_xlfn.XLOOKUP($A84,$A$2:$A$27,_xlfn.XLOOKUP(E$30,$B$1:$M$1,$B$2:$M$27)),IF(_xlpm.result&lt;0,"",_xlpm.result))</f>
        <v>9</v>
      </c>
      <c r="F84" s="1" cm="1">
        <f t="array" ref="F84">_xlfn.LET(_xlpm.result,10*_xlfn.XLOOKUP($A84,$A$2:$A$27,_xlfn.XLOOKUP(F$30,$B$1:$M$1,$B$2:$M$27)),IF(_xlpm.result&lt;0,"",_xlpm.result))</f>
        <v>19</v>
      </c>
      <c r="G84" s="1" cm="1">
        <f t="array" ref="G84">_xlfn.LET(_xlpm.result,10*_xlfn.XLOOKUP($A84,$A$2:$A$27,_xlfn.XLOOKUP(G$30,$B$1:$M$1,$B$2:$M$27)),IF(_xlpm.result&lt;0,"",_xlpm.result))</f>
        <v>0</v>
      </c>
      <c r="H84" s="1" cm="1">
        <f t="array" ref="H84">_xlfn.LET(_xlpm.result,10*_xlfn.XLOOKUP($A84,$A$2:$A$27,_xlfn.XLOOKUP(H$30,$B$1:$M$1,$B$2:$M$27)),IF(_xlpm.result&lt;0,"",_xlpm.result))</f>
        <v>56</v>
      </c>
      <c r="I84" s="1" t="str" cm="1">
        <f t="array" ref="I84">_xlfn.LET(_xlpm.result,10*_xlfn.XLOOKUP($A84,$A$2:$A$27,_xlfn.XLOOKUP(I$30,$B$1:$M$1,$B$2:$M$27)),IF(_xlpm.result&lt;0,"",_xlpm.result))</f>
        <v/>
      </c>
      <c r="J84" s="1" t="str" cm="1">
        <f t="array" ref="J84">_xlfn.LET(_xlpm.result,10*_xlfn.XLOOKUP($A84,$A$2:$A$27,_xlfn.XLOOKUP(J$30,$B$1:$M$1,$B$2:$M$27)),IF(_xlpm.result&lt;0,"",_xlpm.result))</f>
        <v/>
      </c>
      <c r="K84" s="1" cm="1">
        <f t="array" ref="K84">_xlfn.LET(_xlpm.result,10*_xlfn.XLOOKUP($A84,$A$2:$A$27,_xlfn.XLOOKUP(K$30,$B$1:$M$1,$B$2:$M$27)),IF(_xlpm.result&lt;0,"",_xlpm.result))</f>
        <v>5</v>
      </c>
      <c r="L84" s="1" t="str" cm="1">
        <f t="array" ref="L84">_xlfn.LET(_xlpm.result,10*_xlfn.XLOOKUP($A84,$A$2:$A$27,_xlfn.XLOOKUP(L$30,$B$1:$M$1,$B$2:$M$27)),IF(_xlpm.result&lt;0,"",_xlpm.result))</f>
        <v/>
      </c>
      <c r="M84" s="1" t="str" cm="1">
        <f t="array" ref="M84">_xlfn.LET(_xlpm.result,10*_xlfn.XLOOKUP($A84,$A$2:$A$27,_xlfn.XLOOKUP(M$30,$B$1:$M$1,$B$2:$M$27)),IF(_xlpm.result&lt;0,"",_xlpm.result))</f>
        <v/>
      </c>
      <c r="N84" s="10">
        <f t="shared" si="3"/>
        <v>100</v>
      </c>
      <c r="O84">
        <v>4</v>
      </c>
    </row>
    <row r="85" spans="1:16" ht="21" x14ac:dyDescent="0.35">
      <c r="A85" t="s">
        <v>46</v>
      </c>
      <c r="B85" s="1" cm="1">
        <f t="array" ref="B85">_xlfn.LET(_xlpm.result,10*_xlfn.XLOOKUP($A85,$A$2:$A$27,_xlfn.XLOOKUP(B$30,$B$1:$M$1,$B$2:$M$27)),IF(_xlpm.result&lt;0,"",_xlpm.result))</f>
        <v>29</v>
      </c>
      <c r="C85" s="1" cm="1">
        <f t="array" ref="C85">_xlfn.LET(_xlpm.result,10*_xlfn.XLOOKUP($A85,$A$2:$A$27,_xlfn.XLOOKUP(C$30,$B$1:$M$1,$B$2:$M$27)),IF(_xlpm.result&lt;0,"",_xlpm.result))</f>
        <v>1.9999999999999902</v>
      </c>
      <c r="D85" s="1" cm="1">
        <f t="array" ref="D85">_xlfn.LET(_xlpm.result,10*_xlfn.XLOOKUP($A85,$A$2:$A$27,_xlfn.XLOOKUP(D$30,$B$1:$M$1,$B$2:$M$27)),IF(_xlpm.result&lt;0,"",_xlpm.result))</f>
        <v>42</v>
      </c>
      <c r="E85" s="17" t="str" cm="1">
        <f t="array" ref="E85">_xlfn.LET(_xlpm.result,10*_xlfn.XLOOKUP($A85,$A$2:$A$27,_xlfn.XLOOKUP(E$30,$B$1:$M$1,$B$2:$M$27)),IF(_xlpm.result&lt;0,"",_xlpm.result))</f>
        <v/>
      </c>
      <c r="F85" s="1" cm="1">
        <f t="array" ref="F85">_xlfn.LET(_xlpm.result,10*_xlfn.XLOOKUP($A85,$A$2:$A$27,_xlfn.XLOOKUP(F$30,$B$1:$M$1,$B$2:$M$27)),IF(_xlpm.result&lt;0,"",_xlpm.result))</f>
        <v>35</v>
      </c>
      <c r="G85" s="1" cm="1">
        <f t="array" ref="G85">_xlfn.LET(_xlpm.result,10*_xlfn.XLOOKUP($A85,$A$2:$A$27,_xlfn.XLOOKUP(G$30,$B$1:$M$1,$B$2:$M$27)),IF(_xlpm.result&lt;0,"",_xlpm.result))</f>
        <v>58</v>
      </c>
      <c r="H85" s="1" cm="1">
        <f t="array" ref="H85">_xlfn.LET(_xlpm.result,10*_xlfn.XLOOKUP($A85,$A$2:$A$27,_xlfn.XLOOKUP(H$30,$B$1:$M$1,$B$2:$M$27)),IF(_xlpm.result&lt;0,"",_xlpm.result))</f>
        <v>78</v>
      </c>
      <c r="I85" s="1" cm="1">
        <f t="array" ref="I85">_xlfn.LET(_xlpm.result,10*_xlfn.XLOOKUP($A85,$A$2:$A$27,_xlfn.XLOOKUP(I$30,$B$1:$M$1,$B$2:$M$27)),IF(_xlpm.result&lt;0,"",_xlpm.result))</f>
        <v>0</v>
      </c>
      <c r="J85" s="12" cm="1">
        <f t="array" ref="J85">_xlfn.LET(_xlpm.result,10*_xlfn.XLOOKUP($A85,$A$2:$A$27,_xlfn.XLOOKUP(J$30,$B$1:$M$1,$B$2:$M$27)),IF(_xlpm.result&lt;0,"",_xlpm.result))</f>
        <v>104</v>
      </c>
      <c r="K85" s="1" t="str" cm="1">
        <f t="array" ref="K85">_xlfn.LET(_xlpm.result,10*_xlfn.XLOOKUP($A85,$A$2:$A$27,_xlfn.XLOOKUP(K$30,$B$1:$M$1,$B$2:$M$27)),IF(_xlpm.result&lt;0,"",_xlpm.result))</f>
        <v/>
      </c>
      <c r="L85" s="1" cm="1">
        <f t="array" ref="L85">_xlfn.LET(_xlpm.result,10*_xlfn.XLOOKUP($A85,$A$2:$A$27,_xlfn.XLOOKUP(L$30,$B$1:$M$1,$B$2:$M$27)),IF(_xlpm.result&lt;0,"",_xlpm.result))</f>
        <v>32</v>
      </c>
      <c r="M85" s="1" cm="1">
        <f t="array" ref="M85">_xlfn.LET(_xlpm.result,10*_xlfn.XLOOKUP($A85,$A$2:$A$27,_xlfn.XLOOKUP(M$30,$B$1:$M$1,$B$2:$M$27)),IF(_xlpm.result&lt;0,"",_xlpm.result))</f>
        <v>8.9999999999999893</v>
      </c>
      <c r="N85" s="10">
        <f t="shared" si="3"/>
        <v>104</v>
      </c>
      <c r="O85">
        <v>3</v>
      </c>
    </row>
    <row r="86" spans="1:16" ht="21" x14ac:dyDescent="0.35">
      <c r="A86" t="s">
        <v>34</v>
      </c>
      <c r="B86" s="1" cm="1">
        <f t="array" ref="B86">_xlfn.LET(_xlpm.result,10*_xlfn.XLOOKUP($A86,$A$2:$A$27,_xlfn.XLOOKUP(B$30,$B$1:$M$1,$B$2:$M$27)),IF(_xlpm.result&lt;0,"",_xlpm.result))</f>
        <v>107</v>
      </c>
      <c r="C86" s="1" cm="1">
        <f t="array" ref="C86">_xlfn.LET(_xlpm.result,10*_xlfn.XLOOKUP($A86,$A$2:$A$27,_xlfn.XLOOKUP(C$30,$B$1:$M$1,$B$2:$M$27)),IF(_xlpm.result&lt;0,"",_xlpm.result))</f>
        <v>32</v>
      </c>
      <c r="D86" s="1" cm="1">
        <f t="array" ref="D86">_xlfn.LET(_xlpm.result,10*_xlfn.XLOOKUP($A86,$A$2:$A$27,_xlfn.XLOOKUP(D$30,$B$1:$M$1,$B$2:$M$27)),IF(_xlpm.result&lt;0,"",_xlpm.result))</f>
        <v>35</v>
      </c>
      <c r="E86" s="17" cm="1">
        <f t="array" ref="E86">_xlfn.LET(_xlpm.result,10*_xlfn.XLOOKUP($A86,$A$2:$A$27,_xlfn.XLOOKUP(E$30,$B$1:$M$1,$B$2:$M$27)),IF(_xlpm.result&lt;0,"",_xlpm.result))</f>
        <v>0</v>
      </c>
      <c r="F86" s="1" cm="1">
        <f t="array" ref="F86">_xlfn.LET(_xlpm.result,10*_xlfn.XLOOKUP($A86,$A$2:$A$27,_xlfn.XLOOKUP(F$30,$B$1:$M$1,$B$2:$M$27)),IF(_xlpm.result&lt;0,"",_xlpm.result))</f>
        <v>47</v>
      </c>
      <c r="G86" s="1" cm="1">
        <f t="array" ref="G86">_xlfn.LET(_xlpm.result,10*_xlfn.XLOOKUP($A86,$A$2:$A$27,_xlfn.XLOOKUP(G$30,$B$1:$M$1,$B$2:$M$27)),IF(_xlpm.result&lt;0,"",_xlpm.result))</f>
        <v>36</v>
      </c>
      <c r="H86" s="1" cm="1">
        <f t="array" ref="H86">_xlfn.LET(_xlpm.result,10*_xlfn.XLOOKUP($A86,$A$2:$A$27,_xlfn.XLOOKUP(H$30,$B$1:$M$1,$B$2:$M$27)),IF(_xlpm.result&lt;0,"",_xlpm.result))</f>
        <v>56</v>
      </c>
      <c r="I86" s="1" cm="1">
        <f t="array" ref="I86">_xlfn.LET(_xlpm.result,10*_xlfn.XLOOKUP($A86,$A$2:$A$27,_xlfn.XLOOKUP(I$30,$B$1:$M$1,$B$2:$M$27)),IF(_xlpm.result&lt;0,"",_xlpm.result))</f>
        <v>49</v>
      </c>
      <c r="J86" s="1" cm="1">
        <f t="array" ref="J86">_xlfn.LET(_xlpm.result,10*_xlfn.XLOOKUP($A86,$A$2:$A$27,_xlfn.XLOOKUP(J$30,$B$1:$M$1,$B$2:$M$27)),IF(_xlpm.result&lt;0,"",_xlpm.result))</f>
        <v>51</v>
      </c>
      <c r="K86" s="1" cm="1">
        <f t="array" ref="K86">_xlfn.LET(_xlpm.result,10*_xlfn.XLOOKUP($A86,$A$2:$A$27,_xlfn.XLOOKUP(K$30,$B$1:$M$1,$B$2:$M$27)),IF(_xlpm.result&lt;0,"",_xlpm.result))</f>
        <v>151</v>
      </c>
      <c r="L86" s="1" cm="1">
        <f t="array" ref="L86">_xlfn.LET(_xlpm.result,10*_xlfn.XLOOKUP($A86,$A$2:$A$27,_xlfn.XLOOKUP(L$30,$B$1:$M$1,$B$2:$M$27)),IF(_xlpm.result&lt;0,"",_xlpm.result))</f>
        <v>47</v>
      </c>
      <c r="M86" s="12" cm="1">
        <f t="array" ref="M86">_xlfn.LET(_xlpm.result,10*_xlfn.XLOOKUP($A86,$A$2:$A$27,_xlfn.XLOOKUP(M$30,$B$1:$M$1,$B$2:$M$27)),IF(_xlpm.result&lt;0,"",_xlpm.result))</f>
        <v>107</v>
      </c>
      <c r="N86" s="10">
        <f t="shared" si="3"/>
        <v>151</v>
      </c>
      <c r="O86">
        <v>2</v>
      </c>
    </row>
    <row r="87" spans="1:16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0"/>
    </row>
    <row r="88" spans="1:16" x14ac:dyDescent="0.25">
      <c r="A88" t="s">
        <v>60</v>
      </c>
      <c r="B88">
        <v>51</v>
      </c>
      <c r="C88">
        <v>80</v>
      </c>
      <c r="D88">
        <v>100</v>
      </c>
      <c r="E88">
        <v>66</v>
      </c>
      <c r="F88">
        <v>77</v>
      </c>
      <c r="G88">
        <v>54</v>
      </c>
      <c r="H88">
        <v>81</v>
      </c>
      <c r="I88">
        <v>49</v>
      </c>
      <c r="J88">
        <v>41</v>
      </c>
      <c r="K88">
        <v>31</v>
      </c>
      <c r="L88" s="3">
        <v>50</v>
      </c>
      <c r="M88">
        <v>33</v>
      </c>
      <c r="N88" s="10">
        <f>SUM(B88:M88)</f>
        <v>713</v>
      </c>
      <c r="O88">
        <f>MIN(B88:M88)</f>
        <v>31</v>
      </c>
      <c r="P88" s="23">
        <f>AVERAGE(B88:M88)</f>
        <v>59.416666666666664</v>
      </c>
    </row>
    <row r="89" spans="1:16" x14ac:dyDescent="0.25">
      <c r="A89" t="s">
        <v>61</v>
      </c>
      <c r="N89" s="10">
        <f>SUM(B89:M89)</f>
        <v>0</v>
      </c>
      <c r="O89">
        <f>MIN(B89:M89)</f>
        <v>0</v>
      </c>
      <c r="P89" s="23" t="e">
        <f>AVERAGE(B89:M89)</f>
        <v>#DIV/0!</v>
      </c>
    </row>
    <row r="91" spans="1:16" x14ac:dyDescent="0.25">
      <c r="A91" t="s">
        <v>62</v>
      </c>
      <c r="B91">
        <f t="shared" ref="B91:P91" si="4">B89-B88</f>
        <v>-51</v>
      </c>
      <c r="C91">
        <f t="shared" si="4"/>
        <v>-80</v>
      </c>
      <c r="D91">
        <f t="shared" si="4"/>
        <v>-100</v>
      </c>
      <c r="E91">
        <f t="shared" si="4"/>
        <v>-66</v>
      </c>
      <c r="F91">
        <f t="shared" si="4"/>
        <v>-77</v>
      </c>
      <c r="G91">
        <f t="shared" si="4"/>
        <v>-54</v>
      </c>
      <c r="H91">
        <f t="shared" si="4"/>
        <v>-81</v>
      </c>
      <c r="I91">
        <f t="shared" si="4"/>
        <v>-49</v>
      </c>
      <c r="J91">
        <f t="shared" si="4"/>
        <v>-41</v>
      </c>
      <c r="K91">
        <f t="shared" si="4"/>
        <v>-31</v>
      </c>
      <c r="L91">
        <f t="shared" si="4"/>
        <v>-50</v>
      </c>
      <c r="M91">
        <f t="shared" si="4"/>
        <v>-33</v>
      </c>
      <c r="N91">
        <f t="shared" si="4"/>
        <v>-713</v>
      </c>
      <c r="O91">
        <f t="shared" si="4"/>
        <v>-31</v>
      </c>
      <c r="P91" s="22" t="e">
        <f t="shared" si="4"/>
        <v>#DIV/0!</v>
      </c>
    </row>
  </sheetData>
  <autoFilter ref="A60:N60" xr:uid="{54BE77A0-7D21-425B-A240-22D447E1FEA2}">
    <sortState xmlns:xlrd2="http://schemas.microsoft.com/office/spreadsheetml/2017/richdata2" ref="A61:N86">
      <sortCondition ref="N60"/>
    </sortState>
  </autoFilter>
  <conditionalFormatting sqref="B2:M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M3"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M4"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M5"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M6"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M7"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M8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M9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M10"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M11"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M12"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M13"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M14"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M15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M16"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M17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M18"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M19"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M20"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M21"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M2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M23"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M24"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M25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M26"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M27"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M57 B59:M59">
    <cfRule type="colorScale" priority="25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9:M59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1:M86"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7:M87">
    <cfRule type="colorScale" priority="24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88:M88"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9:M89"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B61B-57DC-4C90-B0D6-848F219E348E}">
  <dimension ref="A1:P88"/>
  <sheetViews>
    <sheetView topLeftCell="A49" zoomScale="85" zoomScaleNormal="85" workbookViewId="0">
      <selection activeCell="A72" sqref="A72"/>
    </sheetView>
  </sheetViews>
  <sheetFormatPr defaultRowHeight="15" x14ac:dyDescent="0.25"/>
  <cols>
    <col min="1" max="1" width="24.28515625" customWidth="1"/>
    <col min="2" max="3" width="9.42578125" bestFit="1" customWidth="1"/>
    <col min="4" max="10" width="10.42578125" bestFit="1" customWidth="1"/>
    <col min="11" max="11" width="10.7109375" bestFit="1" customWidth="1"/>
    <col min="12" max="12" width="10.42578125" bestFit="1" customWidth="1"/>
    <col min="13" max="13" width="10.5703125" bestFit="1" customWidth="1"/>
  </cols>
  <sheetData>
    <row r="1" spans="1:12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x14ac:dyDescent="0.25">
      <c r="A2" t="s">
        <v>19</v>
      </c>
      <c r="C2">
        <v>-2.9</v>
      </c>
      <c r="D2">
        <v>-2.4</v>
      </c>
      <c r="E2">
        <v>-1.0999999999999901</v>
      </c>
      <c r="F2">
        <v>0</v>
      </c>
      <c r="G2">
        <v>-3.0999999999999899</v>
      </c>
      <c r="H2">
        <v>-5.4</v>
      </c>
      <c r="I2">
        <v>-3.0999999999999899</v>
      </c>
      <c r="J2">
        <v>0.5</v>
      </c>
      <c r="K2">
        <v>4.7</v>
      </c>
      <c r="L2">
        <v>-5.4</v>
      </c>
    </row>
    <row r="3" spans="1:12" x14ac:dyDescent="0.25">
      <c r="A3" t="s">
        <v>20</v>
      </c>
      <c r="B3">
        <v>3.0999999999999899</v>
      </c>
      <c r="C3">
        <v>-1.8</v>
      </c>
      <c r="D3">
        <v>-5.9</v>
      </c>
      <c r="E3">
        <v>2.0999999999999899</v>
      </c>
      <c r="F3">
        <v>5</v>
      </c>
      <c r="G3">
        <v>5.0999999999999996</v>
      </c>
      <c r="H3">
        <v>-2.9</v>
      </c>
      <c r="I3">
        <v>-3.5999999999999899</v>
      </c>
      <c r="J3">
        <v>-0.5</v>
      </c>
      <c r="K3">
        <v>-5.9</v>
      </c>
      <c r="L3">
        <v>5</v>
      </c>
    </row>
    <row r="4" spans="1:12" x14ac:dyDescent="0.25">
      <c r="A4" t="s">
        <v>21</v>
      </c>
      <c r="B4">
        <v>3.5</v>
      </c>
      <c r="C4">
        <v>7.1</v>
      </c>
      <c r="D4">
        <v>3.5</v>
      </c>
      <c r="E4">
        <v>8</v>
      </c>
      <c r="F4">
        <v>9.1</v>
      </c>
      <c r="G4">
        <v>8.1999999999999993</v>
      </c>
      <c r="H4">
        <v>1.4</v>
      </c>
      <c r="I4">
        <v>8.1999999999999993</v>
      </c>
      <c r="J4">
        <v>2.19999999999999</v>
      </c>
      <c r="K4">
        <v>-2.2000000000000002</v>
      </c>
      <c r="L4">
        <v>1.4</v>
      </c>
    </row>
    <row r="5" spans="1:12" x14ac:dyDescent="0.25">
      <c r="A5" t="s">
        <v>22</v>
      </c>
      <c r="B5">
        <v>6.8</v>
      </c>
      <c r="C5">
        <v>-4.9000000000000004</v>
      </c>
      <c r="D5">
        <v>7.8</v>
      </c>
      <c r="E5">
        <v>1.1000000000000001</v>
      </c>
      <c r="F5">
        <v>1.1000000000000001</v>
      </c>
      <c r="G5">
        <v>2.1</v>
      </c>
      <c r="H5">
        <v>8.9</v>
      </c>
      <c r="I5">
        <v>2.9</v>
      </c>
      <c r="J5">
        <v>8.6999999999999993</v>
      </c>
      <c r="K5">
        <v>-1</v>
      </c>
      <c r="L5">
        <v>9.8000000000000007</v>
      </c>
    </row>
    <row r="6" spans="1:12" x14ac:dyDescent="0.25">
      <c r="A6" t="s">
        <v>23</v>
      </c>
      <c r="B6">
        <v>-6.8</v>
      </c>
      <c r="C6">
        <v>-8.3000000000000007</v>
      </c>
      <c r="D6">
        <v>2.9</v>
      </c>
      <c r="E6">
        <v>-2.0999999999999899</v>
      </c>
      <c r="F6">
        <v>-3.69999999999999</v>
      </c>
      <c r="G6">
        <v>-8</v>
      </c>
      <c r="I6">
        <v>2.9</v>
      </c>
      <c r="J6">
        <v>-5.6999999999999904</v>
      </c>
      <c r="K6">
        <v>-5</v>
      </c>
      <c r="L6">
        <v>-5.6999999999999904</v>
      </c>
    </row>
    <row r="7" spans="1:12" x14ac:dyDescent="0.25">
      <c r="A7" t="s">
        <v>24</v>
      </c>
      <c r="B7">
        <v>-3.5</v>
      </c>
      <c r="C7">
        <v>4.7</v>
      </c>
      <c r="D7">
        <v>-2.5</v>
      </c>
      <c r="E7">
        <v>0</v>
      </c>
      <c r="F7">
        <v>-2.1</v>
      </c>
      <c r="G7">
        <v>-5.2</v>
      </c>
      <c r="H7">
        <v>-5.7</v>
      </c>
      <c r="I7">
        <v>4.5</v>
      </c>
      <c r="J7">
        <v>-5.7</v>
      </c>
      <c r="K7">
        <v>-1.0999999999999901</v>
      </c>
      <c r="L7">
        <v>-6.6</v>
      </c>
    </row>
    <row r="8" spans="1:12" x14ac:dyDescent="0.25">
      <c r="A8" t="s">
        <v>25</v>
      </c>
      <c r="B8">
        <v>0.89999999999999902</v>
      </c>
      <c r="C8">
        <v>-4.7</v>
      </c>
      <c r="E8">
        <v>-6.8</v>
      </c>
      <c r="F8">
        <v>-6</v>
      </c>
      <c r="G8">
        <v>-8.1999999999999993</v>
      </c>
      <c r="H8">
        <v>-8.9</v>
      </c>
      <c r="I8">
        <v>-8.1999999999999993</v>
      </c>
      <c r="J8">
        <v>-1.1000000000000001</v>
      </c>
      <c r="K8">
        <v>-4.7</v>
      </c>
      <c r="L8">
        <v>-0.2</v>
      </c>
    </row>
    <row r="9" spans="1:12" x14ac:dyDescent="0.25">
      <c r="A9" t="s">
        <v>26</v>
      </c>
      <c r="B9">
        <v>-5.8</v>
      </c>
      <c r="D9">
        <v>1.0999999999999901</v>
      </c>
      <c r="E9">
        <v>-8</v>
      </c>
      <c r="F9">
        <v>-0.1</v>
      </c>
      <c r="G9">
        <v>-5.6</v>
      </c>
      <c r="H9">
        <v>3.2</v>
      </c>
      <c r="I9">
        <v>-4.5</v>
      </c>
      <c r="J9">
        <v>-8.6999999999999993</v>
      </c>
      <c r="K9">
        <v>-6.6</v>
      </c>
      <c r="L9">
        <v>0.2</v>
      </c>
    </row>
    <row r="10" spans="1:12" x14ac:dyDescent="0.25">
      <c r="A10" t="s">
        <v>27</v>
      </c>
      <c r="B10">
        <v>-0.4</v>
      </c>
      <c r="C10">
        <v>2.9</v>
      </c>
      <c r="E10">
        <v>7.3</v>
      </c>
      <c r="F10">
        <v>-2.2999999999999998</v>
      </c>
      <c r="G10">
        <v>-6.2</v>
      </c>
      <c r="H10">
        <v>-3.7</v>
      </c>
      <c r="I10">
        <v>2.9</v>
      </c>
      <c r="J10">
        <v>0.7</v>
      </c>
      <c r="K10">
        <v>-0.7</v>
      </c>
      <c r="L10">
        <v>0.39999999999999902</v>
      </c>
    </row>
    <row r="11" spans="1:12" x14ac:dyDescent="0.25">
      <c r="A11" t="s">
        <v>33</v>
      </c>
      <c r="C11">
        <v>4.3999999999999897</v>
      </c>
      <c r="D11">
        <v>-3.0999999999999899</v>
      </c>
      <c r="E11">
        <v>-2.2000000000000002</v>
      </c>
      <c r="F11">
        <v>0</v>
      </c>
      <c r="G11">
        <v>7.7</v>
      </c>
      <c r="H11">
        <v>-5.4</v>
      </c>
      <c r="I11">
        <v>5.6</v>
      </c>
      <c r="J11">
        <v>-3.3</v>
      </c>
      <c r="K11">
        <v>-5.4</v>
      </c>
      <c r="L11">
        <v>7.7</v>
      </c>
    </row>
    <row r="12" spans="1:12" x14ac:dyDescent="0.25">
      <c r="A12" t="s">
        <v>34</v>
      </c>
      <c r="B12">
        <v>5.5</v>
      </c>
      <c r="C12">
        <v>4.9000000000000004</v>
      </c>
      <c r="E12">
        <v>5.8</v>
      </c>
      <c r="F12">
        <v>3.7</v>
      </c>
      <c r="G12">
        <v>6.2</v>
      </c>
      <c r="H12">
        <v>6</v>
      </c>
      <c r="I12">
        <v>6.9</v>
      </c>
      <c r="J12">
        <v>16.8</v>
      </c>
      <c r="K12">
        <v>5.8</v>
      </c>
      <c r="L12">
        <v>13.5</v>
      </c>
    </row>
    <row r="13" spans="1:12" x14ac:dyDescent="0.25">
      <c r="A13" t="s">
        <v>35</v>
      </c>
      <c r="C13">
        <v>-4.3999999999999897</v>
      </c>
      <c r="D13">
        <v>-7.6999999999999904</v>
      </c>
      <c r="E13">
        <v>-7.3</v>
      </c>
      <c r="F13">
        <v>0.1</v>
      </c>
      <c r="G13">
        <v>-6.6</v>
      </c>
      <c r="H13">
        <v>-7.6999999999999904</v>
      </c>
      <c r="I13">
        <v>-9.6</v>
      </c>
      <c r="J13">
        <v>-7.5</v>
      </c>
      <c r="K13">
        <v>-6.8999999999999897</v>
      </c>
      <c r="L13">
        <v>-13.5</v>
      </c>
    </row>
    <row r="14" spans="1:12" x14ac:dyDescent="0.25">
      <c r="A14" t="s">
        <v>36</v>
      </c>
      <c r="B14">
        <v>2.2000000000000002</v>
      </c>
      <c r="C14">
        <v>9.9</v>
      </c>
      <c r="D14">
        <v>9.9999999999999895E-2</v>
      </c>
      <c r="E14">
        <v>2.2000000000000002</v>
      </c>
      <c r="G14">
        <v>6.6</v>
      </c>
      <c r="H14">
        <v>-3</v>
      </c>
      <c r="I14">
        <v>-6.9</v>
      </c>
      <c r="J14">
        <v>-0.7</v>
      </c>
      <c r="K14">
        <v>-0.89999999999999902</v>
      </c>
      <c r="L14">
        <v>-1.1000000000000001</v>
      </c>
    </row>
    <row r="15" spans="1:12" x14ac:dyDescent="0.25">
      <c r="A15" t="s">
        <v>38</v>
      </c>
      <c r="B15">
        <v>-3.0999999999999899</v>
      </c>
      <c r="C15">
        <v>-7.1</v>
      </c>
      <c r="D15">
        <v>-7.8</v>
      </c>
      <c r="E15">
        <v>-7.1999999999999904</v>
      </c>
      <c r="G15">
        <v>1.9</v>
      </c>
      <c r="H15">
        <v>2</v>
      </c>
      <c r="I15">
        <v>-5.7</v>
      </c>
      <c r="J15">
        <v>1.1000000000000001</v>
      </c>
      <c r="K15">
        <v>-6.6999999999999904</v>
      </c>
      <c r="L15">
        <v>-4.8999999999999897</v>
      </c>
    </row>
    <row r="16" spans="1:12" x14ac:dyDescent="0.25">
      <c r="A16" t="s">
        <v>39</v>
      </c>
      <c r="B16">
        <v>-2.2000000000000002</v>
      </c>
      <c r="C16">
        <v>-6.6</v>
      </c>
      <c r="D16">
        <v>-3.5</v>
      </c>
      <c r="E16">
        <v>0</v>
      </c>
      <c r="F16">
        <v>-5.7</v>
      </c>
      <c r="G16">
        <v>-2.4</v>
      </c>
      <c r="H16">
        <v>-3.5999999999999899</v>
      </c>
      <c r="I16">
        <v>-2.9</v>
      </c>
      <c r="J16">
        <v>-2.5</v>
      </c>
      <c r="K16">
        <v>-6.6</v>
      </c>
      <c r="L16">
        <v>-5.7</v>
      </c>
    </row>
    <row r="17" spans="1:16" x14ac:dyDescent="0.25">
      <c r="A17" t="s">
        <v>41</v>
      </c>
      <c r="B17">
        <v>-8.6</v>
      </c>
      <c r="C17">
        <v>-10.9</v>
      </c>
      <c r="D17">
        <v>-2.9</v>
      </c>
      <c r="F17">
        <v>-5</v>
      </c>
      <c r="G17">
        <v>-1.9</v>
      </c>
      <c r="H17">
        <v>-8.6</v>
      </c>
      <c r="I17">
        <v>-2.9</v>
      </c>
      <c r="J17">
        <v>9.9999999999999603E-2</v>
      </c>
      <c r="K17">
        <v>2.2000000000000002</v>
      </c>
      <c r="L17">
        <v>-5</v>
      </c>
    </row>
    <row r="18" spans="1:16" x14ac:dyDescent="0.25">
      <c r="A18" t="s">
        <v>42</v>
      </c>
      <c r="B18">
        <v>-2.7</v>
      </c>
      <c r="C18">
        <v>1.4</v>
      </c>
      <c r="D18">
        <v>2.5</v>
      </c>
      <c r="E18">
        <v>-3.2</v>
      </c>
      <c r="F18">
        <v>-4.0999999999999996</v>
      </c>
      <c r="G18">
        <v>1.2</v>
      </c>
      <c r="I18">
        <v>-1.0999999999999901</v>
      </c>
      <c r="J18">
        <v>2.5</v>
      </c>
      <c r="K18">
        <v>6.8999999999999897</v>
      </c>
      <c r="L18">
        <v>-0.39999999999999902</v>
      </c>
    </row>
    <row r="19" spans="1:16" x14ac:dyDescent="0.25">
      <c r="A19" t="s">
        <v>43</v>
      </c>
      <c r="B19">
        <v>-0.89999999999999902</v>
      </c>
      <c r="D19">
        <v>-1.0999999999999901</v>
      </c>
      <c r="E19">
        <v>-6.8999999999999897</v>
      </c>
      <c r="F19">
        <v>-9.1</v>
      </c>
      <c r="G19">
        <v>-5.0999999999999996</v>
      </c>
      <c r="H19">
        <v>-2</v>
      </c>
      <c r="I19">
        <v>-5.6</v>
      </c>
      <c r="J19">
        <v>-9.9999999999999603E-2</v>
      </c>
      <c r="K19">
        <v>-6.8999999999999897</v>
      </c>
      <c r="L19">
        <v>-9.8000000000000007</v>
      </c>
    </row>
    <row r="20" spans="1:16" x14ac:dyDescent="0.25">
      <c r="A20" t="s">
        <v>44</v>
      </c>
      <c r="B20">
        <v>2.7</v>
      </c>
      <c r="D20">
        <v>-0.5</v>
      </c>
      <c r="E20">
        <v>-1.4</v>
      </c>
      <c r="F20">
        <v>2.2999999999999998</v>
      </c>
      <c r="G20">
        <v>5.2</v>
      </c>
      <c r="H20">
        <v>3</v>
      </c>
      <c r="I20">
        <v>9.6</v>
      </c>
      <c r="J20">
        <v>1.6</v>
      </c>
      <c r="K20">
        <v>1</v>
      </c>
      <c r="L20">
        <v>1.6</v>
      </c>
    </row>
    <row r="21" spans="1:16" x14ac:dyDescent="0.25">
      <c r="A21" t="s">
        <v>45</v>
      </c>
      <c r="B21">
        <v>-3.6</v>
      </c>
      <c r="C21">
        <v>-3.3</v>
      </c>
      <c r="D21">
        <v>-9.9999999999999895E-2</v>
      </c>
      <c r="E21">
        <v>6.8</v>
      </c>
      <c r="F21">
        <v>2.1</v>
      </c>
      <c r="G21">
        <v>-2.1</v>
      </c>
      <c r="H21">
        <v>-1.4</v>
      </c>
      <c r="I21">
        <v>5.7</v>
      </c>
      <c r="J21">
        <v>-4.5</v>
      </c>
      <c r="K21">
        <v>6.6</v>
      </c>
      <c r="L21">
        <v>-1.4</v>
      </c>
    </row>
    <row r="22" spans="1:16" x14ac:dyDescent="0.25">
      <c r="A22" t="s">
        <v>46</v>
      </c>
      <c r="B22">
        <v>-2</v>
      </c>
      <c r="C22">
        <v>-1.4</v>
      </c>
      <c r="D22">
        <v>-4.3</v>
      </c>
      <c r="E22">
        <v>1.0999999999999901</v>
      </c>
      <c r="F22">
        <v>3.69999999999999</v>
      </c>
      <c r="G22">
        <v>5.6</v>
      </c>
      <c r="I22">
        <v>8.8000000000000007</v>
      </c>
      <c r="J22">
        <v>-4.3</v>
      </c>
      <c r="K22">
        <v>1.0999999999999901</v>
      </c>
      <c r="L22">
        <v>-1.3</v>
      </c>
      <c r="N22" t="s">
        <v>59</v>
      </c>
    </row>
    <row r="23" spans="1:16" x14ac:dyDescent="0.25">
      <c r="A23" t="s">
        <v>47</v>
      </c>
      <c r="C23">
        <v>-1.2</v>
      </c>
      <c r="D23">
        <v>2.4</v>
      </c>
      <c r="E23">
        <v>-3</v>
      </c>
      <c r="F23">
        <v>10.1</v>
      </c>
      <c r="G23">
        <v>2.4</v>
      </c>
      <c r="H23">
        <v>2.9</v>
      </c>
      <c r="I23">
        <v>-3</v>
      </c>
      <c r="J23">
        <v>-3</v>
      </c>
      <c r="K23">
        <v>5</v>
      </c>
      <c r="L23">
        <v>1.3</v>
      </c>
    </row>
    <row r="24" spans="1:16" x14ac:dyDescent="0.25">
      <c r="A24" t="s">
        <v>48</v>
      </c>
      <c r="B24">
        <v>8.6</v>
      </c>
      <c r="D24">
        <v>1.7999999999999901</v>
      </c>
      <c r="E24">
        <v>-1.1000000000000001</v>
      </c>
      <c r="F24">
        <v>-2.2999999999999998</v>
      </c>
      <c r="G24">
        <v>3.0999999999999899</v>
      </c>
      <c r="H24">
        <v>8.6</v>
      </c>
      <c r="I24">
        <v>3.5999999999999899</v>
      </c>
      <c r="J24">
        <v>5.6999999999999904</v>
      </c>
      <c r="K24">
        <v>6.6999999999999904</v>
      </c>
      <c r="L24">
        <v>5.6999999999999904</v>
      </c>
    </row>
    <row r="25" spans="1:16" x14ac:dyDescent="0.25">
      <c r="A25" t="s">
        <v>49</v>
      </c>
      <c r="B25">
        <v>-13.1</v>
      </c>
      <c r="C25">
        <v>-9.9</v>
      </c>
      <c r="E25">
        <v>-10.8</v>
      </c>
      <c r="F25">
        <v>-10.1</v>
      </c>
      <c r="G25">
        <v>-7.7</v>
      </c>
      <c r="H25">
        <v>-3.2</v>
      </c>
      <c r="I25">
        <v>-8.8000000000000007</v>
      </c>
      <c r="J25">
        <v>-16.8</v>
      </c>
      <c r="K25">
        <v>-2.2000000000000002</v>
      </c>
      <c r="L25">
        <v>-7.7</v>
      </c>
    </row>
    <row r="26" spans="1:16" x14ac:dyDescent="0.25">
      <c r="A26" t="s">
        <v>50</v>
      </c>
      <c r="B26">
        <v>-5.5</v>
      </c>
      <c r="C26">
        <v>1.2</v>
      </c>
      <c r="D26">
        <v>-3</v>
      </c>
      <c r="E26">
        <v>7.1999999999999904</v>
      </c>
      <c r="G26">
        <v>0.29999999999999899</v>
      </c>
      <c r="H26">
        <v>3.5999999999999899</v>
      </c>
      <c r="I26">
        <v>1.0999999999999901</v>
      </c>
      <c r="J26">
        <v>-1.6</v>
      </c>
      <c r="K26">
        <v>0.7</v>
      </c>
      <c r="L26">
        <v>-1.6</v>
      </c>
    </row>
    <row r="28" spans="1:16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x14ac:dyDescent="0.25">
      <c r="A29" t="s">
        <v>0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  <c r="J29" t="s">
        <v>16</v>
      </c>
      <c r="K29" t="s">
        <v>17</v>
      </c>
      <c r="L29" t="s">
        <v>18</v>
      </c>
      <c r="M29" t="s">
        <v>53</v>
      </c>
      <c r="N29" t="s">
        <v>54</v>
      </c>
    </row>
    <row r="30" spans="1:16" x14ac:dyDescent="0.25">
      <c r="A30" t="s">
        <v>19</v>
      </c>
      <c r="B30" s="1" cm="1">
        <f t="array" ref="B30">IFERROR(_xlfn.LET(_xlpm.result,RANK(_xlfn.XLOOKUP($A30,$A$2:$A$26,_xlfn.XLOOKUP(B$29,$B$1:$L$1,$B$2:$L$26)),$B$2:$L$26),IF(_xlpm.result&gt;150,"",_xlpm.result)),"")</f>
        <v>107</v>
      </c>
      <c r="C30" s="1" t="str" cm="1">
        <f t="array" ref="C30">IFERROR(_xlfn.LET(_xlpm.result,RANK(_xlfn.XLOOKUP($A30,$A$2:$A$26,_xlfn.XLOOKUP(C$29,$B$1:$L$1,$B$2:$L$26)),$B$2:$L$26),IF(_xlpm.result&gt;150,"",_xlpm.result)),"")</f>
        <v/>
      </c>
      <c r="D30" s="1" t="str" cm="1">
        <f t="array" ref="D30">IFERROR(_xlfn.LET(_xlpm.result,RANK(_xlfn.XLOOKUP($A30,$A$2:$A$26,_xlfn.XLOOKUP(D$29,$B$1:$L$1,$B$2:$L$26)),$B$2:$L$26),IF(_xlpm.result&gt;150,"",_xlpm.result)),"")</f>
        <v/>
      </c>
      <c r="E30" s="1" cm="1">
        <f t="array" ref="E30">IFERROR(_xlfn.LET(_xlpm.result,RANK(_xlfn.XLOOKUP($A30,$A$2:$A$26,_xlfn.XLOOKUP(E$29,$B$1:$L$1,$B$2:$L$26)),$B$2:$L$26),IF(_xlpm.result&gt;150,"",_xlpm.result)),"")</f>
        <v>124</v>
      </c>
      <c r="F30" s="1" cm="1">
        <f t="array" ref="F30">IFERROR(_xlfn.LET(_xlpm.result,RANK(_xlfn.XLOOKUP($A30,$A$2:$A$26,_xlfn.XLOOKUP(F$29,$B$1:$L$1,$B$2:$L$26)),$B$2:$L$26),IF(_xlpm.result&gt;150,"",_xlpm.result)),"")</f>
        <v>107</v>
      </c>
      <c r="G30" s="1" t="str" cm="1">
        <f t="array" ref="G30">IFERROR(_xlfn.LET(_xlpm.result,RANK(_xlfn.XLOOKUP($A30,$A$2:$A$26,_xlfn.XLOOKUP(G$29,$B$1:$L$1,$B$2:$L$26)),$B$2:$L$26),IF(_xlpm.result&gt;150,"",_xlpm.result)),"")</f>
        <v/>
      </c>
      <c r="H30" s="1" t="str" cm="1">
        <f t="array" ref="H30">IFERROR(_xlfn.LET(_xlpm.result,RANK(_xlfn.XLOOKUP($A30,$A$2:$A$26,_xlfn.XLOOKUP(H$29,$B$1:$L$1,$B$2:$L$26)),$B$2:$L$26),IF(_xlpm.result&gt;150,"",_xlpm.result)),"")</f>
        <v/>
      </c>
      <c r="I30" s="1" t="str" cm="1">
        <f t="array" ref="I30">IFERROR(_xlfn.LET(_xlpm.result,RANK(_xlfn.XLOOKUP($A30,$A$2:$A$26,_xlfn.XLOOKUP(I$29,$B$1:$L$1,$B$2:$L$26)),$B$2:$L$26),IF(_xlpm.result&gt;150,"",_xlpm.result)),"")</f>
        <v/>
      </c>
      <c r="J30" s="1" cm="1">
        <f t="array" ref="J30">IFERROR(_xlfn.LET(_xlpm.result,RANK(_xlfn.XLOOKUP($A30,$A$2:$A$26,_xlfn.XLOOKUP(J$29,$B$1:$L$1,$B$2:$L$26)),$B$2:$L$26),IF(_xlpm.result&gt;150,"",_xlpm.result)),"")</f>
        <v>100</v>
      </c>
      <c r="K30" s="1" cm="1">
        <f t="array" ref="K30">IFERROR(_xlfn.LET(_xlpm.result,RANK(_xlfn.XLOOKUP($A30,$A$2:$A$26,_xlfn.XLOOKUP(K$29,$B$1:$L$1,$B$2:$L$26)),$B$2:$L$26),IF(_xlpm.result&gt;150,"",_xlpm.result)),"")</f>
        <v>45</v>
      </c>
      <c r="L30" s="1" t="str" cm="1">
        <f t="array" ref="L30">IFERROR(_xlfn.LET(_xlpm.result,RANK(_xlfn.XLOOKUP($A30,$A$2:$A$26,_xlfn.XLOOKUP(L$29,$B$1:$L$1,$B$2:$L$26)),$B$2:$L$26),IF(_xlpm.result&gt;150,"",_xlpm.result)),"")</f>
        <v/>
      </c>
      <c r="M30">
        <f t="shared" ref="M30:M54" si="0">COUNT(B30:L30)</f>
        <v>5</v>
      </c>
      <c r="N30" s="10">
        <f t="shared" ref="N30:N54" si="1">MIN(B30:L30)</f>
        <v>45</v>
      </c>
    </row>
    <row r="31" spans="1:16" x14ac:dyDescent="0.25">
      <c r="A31" t="s">
        <v>20</v>
      </c>
      <c r="B31" s="1" cm="1">
        <f t="array" ref="B31">IFERROR(_xlfn.LET(_xlpm.result,RANK(_xlfn.XLOOKUP($A31,$A$2:$A$26,_xlfn.XLOOKUP(B$29,$B$1:$L$1,$B$2:$L$26)),$B$2:$L$26),IF(_xlpm.result&gt;150,"",_xlpm.result)),"")</f>
        <v>56</v>
      </c>
      <c r="C31" s="1" cm="1">
        <f t="array" ref="C31">IFERROR(_xlfn.LET(_xlpm.result,RANK(_xlfn.XLOOKUP($A31,$A$2:$A$26,_xlfn.XLOOKUP(C$29,$B$1:$L$1,$B$2:$L$26)),$B$2:$L$26),IF(_xlpm.result&gt;150,"",_xlpm.result)),"")</f>
        <v>139</v>
      </c>
      <c r="D31" s="1" t="str" cm="1">
        <f t="array" ref="D31">IFERROR(_xlfn.LET(_xlpm.result,RANK(_xlfn.XLOOKUP($A31,$A$2:$A$26,_xlfn.XLOOKUP(D$29,$B$1:$L$1,$B$2:$L$26)),$B$2:$L$26),IF(_xlpm.result&gt;150,"",_xlpm.result)),"")</f>
        <v/>
      </c>
      <c r="E31" s="1" cm="1">
        <f t="array" ref="E31">IFERROR(_xlfn.LET(_xlpm.result,RANK(_xlfn.XLOOKUP($A31,$A$2:$A$26,_xlfn.XLOOKUP(E$29,$B$1:$L$1,$B$2:$L$26)),$B$2:$L$26),IF(_xlpm.result&gt;150,"",_xlpm.result)),"")</f>
        <v>77</v>
      </c>
      <c r="F31" s="1" cm="1">
        <f t="array" ref="F31">IFERROR(_xlfn.LET(_xlpm.result,RANK(_xlfn.XLOOKUP($A31,$A$2:$A$26,_xlfn.XLOOKUP(F$29,$B$1:$L$1,$B$2:$L$26)),$B$2:$L$26),IF(_xlpm.result&gt;150,"",_xlpm.result)),"")</f>
        <v>41</v>
      </c>
      <c r="G31" s="1" cm="1">
        <f t="array" ref="G31">IFERROR(_xlfn.LET(_xlpm.result,RANK(_xlfn.XLOOKUP($A31,$A$2:$A$26,_xlfn.XLOOKUP(G$29,$B$1:$L$1,$B$2:$L$26)),$B$2:$L$26),IF(_xlpm.result&gt;150,"",_xlpm.result)),"")</f>
        <v>40</v>
      </c>
      <c r="H31" s="1" t="str" cm="1">
        <f t="array" ref="H31">IFERROR(_xlfn.LET(_xlpm.result,RANK(_xlfn.XLOOKUP($A31,$A$2:$A$26,_xlfn.XLOOKUP(H$29,$B$1:$L$1,$B$2:$L$26)),$B$2:$L$26),IF(_xlpm.result&gt;150,"",_xlpm.result)),"")</f>
        <v/>
      </c>
      <c r="I31" s="1" t="str" cm="1">
        <f t="array" ref="I31">IFERROR(_xlfn.LET(_xlpm.result,RANK(_xlfn.XLOOKUP($A31,$A$2:$A$26,_xlfn.XLOOKUP(I$29,$B$1:$L$1,$B$2:$L$26)),$B$2:$L$26),IF(_xlpm.result&gt;150,"",_xlpm.result)),"")</f>
        <v/>
      </c>
      <c r="J31" s="1" cm="1">
        <f t="array" ref="J31">IFERROR(_xlfn.LET(_xlpm.result,RANK(_xlfn.XLOOKUP($A31,$A$2:$A$26,_xlfn.XLOOKUP(J$29,$B$1:$L$1,$B$2:$L$26)),$B$2:$L$26),IF(_xlpm.result&gt;150,"",_xlpm.result)),"")</f>
        <v>117</v>
      </c>
      <c r="K31" s="1" t="str" cm="1">
        <f t="array" ref="K31">IFERROR(_xlfn.LET(_xlpm.result,RANK(_xlfn.XLOOKUP($A31,$A$2:$A$26,_xlfn.XLOOKUP(K$29,$B$1:$L$1,$B$2:$L$26)),$B$2:$L$26),IF(_xlpm.result&gt;150,"",_xlpm.result)),"")</f>
        <v/>
      </c>
      <c r="L31" s="1" cm="1">
        <f t="array" ref="L31">IFERROR(_xlfn.LET(_xlpm.result,RANK(_xlfn.XLOOKUP($A31,$A$2:$A$26,_xlfn.XLOOKUP(L$29,$B$1:$L$1,$B$2:$L$26)),$B$2:$L$26),IF(_xlpm.result&gt;150,"",_xlpm.result)),"")</f>
        <v>41</v>
      </c>
      <c r="M31">
        <f t="shared" si="0"/>
        <v>7</v>
      </c>
      <c r="N31" s="10">
        <f t="shared" si="1"/>
        <v>40</v>
      </c>
    </row>
    <row r="32" spans="1:16" x14ac:dyDescent="0.25">
      <c r="A32" t="s">
        <v>21</v>
      </c>
      <c r="B32" s="1" cm="1">
        <f t="array" ref="B32">IFERROR(_xlfn.LET(_xlpm.result,RANK(_xlfn.XLOOKUP($A32,$A$2:$A$26,_xlfn.XLOOKUP(B$29,$B$1:$L$1,$B$2:$L$26)),$B$2:$L$26),IF(_xlpm.result&gt;150,"",_xlpm.result)),"")</f>
        <v>53</v>
      </c>
      <c r="C32" s="1" cm="1">
        <f t="array" ref="C32">IFERROR(_xlfn.LET(_xlpm.result,RANK(_xlfn.XLOOKUP($A32,$A$2:$A$26,_xlfn.XLOOKUP(C$29,$B$1:$L$1,$B$2:$L$26)),$B$2:$L$26),IF(_xlpm.result&gt;150,"",_xlpm.result)),"")</f>
        <v>21</v>
      </c>
      <c r="D32" s="1" cm="1">
        <f t="array" ref="D32">IFERROR(_xlfn.LET(_xlpm.result,RANK(_xlfn.XLOOKUP($A32,$A$2:$A$26,_xlfn.XLOOKUP(D$29,$B$1:$L$1,$B$2:$L$26)),$B$2:$L$26),IF(_xlpm.result&gt;150,"",_xlpm.result)),"")</f>
        <v>53</v>
      </c>
      <c r="E32" s="1" cm="1">
        <f t="array" ref="E32">IFERROR(_xlfn.LET(_xlpm.result,RANK(_xlfn.XLOOKUP($A32,$A$2:$A$26,_xlfn.XLOOKUP(E$29,$B$1:$L$1,$B$2:$L$26)),$B$2:$L$26),IF(_xlpm.result&gt;150,"",_xlpm.result)),"")</f>
        <v>15</v>
      </c>
      <c r="F32" s="1" cm="1">
        <f t="array" ref="F32">IFERROR(_xlfn.LET(_xlpm.result,RANK(_xlfn.XLOOKUP($A32,$A$2:$A$26,_xlfn.XLOOKUP(F$29,$B$1:$L$1,$B$2:$L$26)),$B$2:$L$26),IF(_xlpm.result&gt;150,"",_xlpm.result)),"")</f>
        <v>7</v>
      </c>
      <c r="G32" s="1" cm="1">
        <f t="array" ref="G32">IFERROR(_xlfn.LET(_xlpm.result,RANK(_xlfn.XLOOKUP($A32,$A$2:$A$26,_xlfn.XLOOKUP(G$29,$B$1:$L$1,$B$2:$L$26)),$B$2:$L$26),IF(_xlpm.result&gt;150,"",_xlpm.result)),"")</f>
        <v>13</v>
      </c>
      <c r="H32" s="1" cm="1">
        <f t="array" ref="H32">IFERROR(_xlfn.LET(_xlpm.result,RANK(_xlfn.XLOOKUP($A32,$A$2:$A$26,_xlfn.XLOOKUP(H$29,$B$1:$L$1,$B$2:$L$26)),$B$2:$L$26),IF(_xlpm.result&gt;150,"",_xlpm.result)),"")</f>
        <v>83</v>
      </c>
      <c r="I32" s="1" cm="1">
        <f t="array" ref="I32">IFERROR(_xlfn.LET(_xlpm.result,RANK(_xlfn.XLOOKUP($A32,$A$2:$A$26,_xlfn.XLOOKUP(I$29,$B$1:$L$1,$B$2:$L$26)),$B$2:$L$26),IF(_xlpm.result&gt;150,"",_xlpm.result)),"")</f>
        <v>13</v>
      </c>
      <c r="J32" s="1" cm="1">
        <f t="array" ref="J32">IFERROR(_xlfn.LET(_xlpm.result,RANK(_xlfn.XLOOKUP($A32,$A$2:$A$26,_xlfn.XLOOKUP(J$29,$B$1:$L$1,$B$2:$L$26)),$B$2:$L$26),IF(_xlpm.result&gt;150,"",_xlpm.result)),"")</f>
        <v>74</v>
      </c>
      <c r="K32" s="1" cm="1">
        <f t="array" ref="K32">IFERROR(_xlfn.LET(_xlpm.result,RANK(_xlfn.XLOOKUP($A32,$A$2:$A$26,_xlfn.XLOOKUP(K$29,$B$1:$L$1,$B$2:$L$26)),$B$2:$L$26),IF(_xlpm.result&gt;150,"",_xlpm.result)),"")</f>
        <v>146</v>
      </c>
      <c r="L32" s="1" cm="1">
        <f t="array" ref="L32">IFERROR(_xlfn.LET(_xlpm.result,RANK(_xlfn.XLOOKUP($A32,$A$2:$A$26,_xlfn.XLOOKUP(L$29,$B$1:$L$1,$B$2:$L$26)),$B$2:$L$26),IF(_xlpm.result&gt;150,"",_xlpm.result)),"")</f>
        <v>83</v>
      </c>
      <c r="M32">
        <f t="shared" si="0"/>
        <v>11</v>
      </c>
      <c r="N32" s="10">
        <f t="shared" si="1"/>
        <v>7</v>
      </c>
    </row>
    <row r="33" spans="1:15" x14ac:dyDescent="0.25">
      <c r="A33" t="s">
        <v>22</v>
      </c>
      <c r="B33" s="1" cm="1">
        <f t="array" ref="B33">IFERROR(_xlfn.LET(_xlpm.result,RANK(_xlfn.XLOOKUP($A33,$A$2:$A$26,_xlfn.XLOOKUP(B$29,$B$1:$L$1,$B$2:$L$26)),$B$2:$L$26),IF(_xlpm.result&gt;150,"",_xlpm.result)),"")</f>
        <v>24</v>
      </c>
      <c r="C33" s="1" t="str" cm="1">
        <f t="array" ref="C33">IFERROR(_xlfn.LET(_xlpm.result,RANK(_xlfn.XLOOKUP($A33,$A$2:$A$26,_xlfn.XLOOKUP(C$29,$B$1:$L$1,$B$2:$L$26)),$B$2:$L$26),IF(_xlpm.result&gt;150,"",_xlpm.result)),"")</f>
        <v/>
      </c>
      <c r="D33" s="1" cm="1">
        <f t="array" ref="D33">IFERROR(_xlfn.LET(_xlpm.result,RANK(_xlfn.XLOOKUP($A33,$A$2:$A$26,_xlfn.XLOOKUP(D$29,$B$1:$L$1,$B$2:$L$26)),$B$2:$L$26),IF(_xlpm.result&gt;150,"",_xlpm.result)),"")</f>
        <v>16</v>
      </c>
      <c r="E33" s="1" cm="1">
        <f t="array" ref="E33">IFERROR(_xlfn.LET(_xlpm.result,RANK(_xlfn.XLOOKUP($A33,$A$2:$A$26,_xlfn.XLOOKUP(E$29,$B$1:$L$1,$B$2:$L$26)),$B$2:$L$26),IF(_xlpm.result&gt;150,"",_xlpm.result)),"")</f>
        <v>89</v>
      </c>
      <c r="F33" s="1" cm="1">
        <f t="array" ref="F33">IFERROR(_xlfn.LET(_xlpm.result,RANK(_xlfn.XLOOKUP($A33,$A$2:$A$26,_xlfn.XLOOKUP(F$29,$B$1:$L$1,$B$2:$L$26)),$B$2:$L$26),IF(_xlpm.result&gt;150,"",_xlpm.result)),"")</f>
        <v>89</v>
      </c>
      <c r="G33" s="1" cm="1">
        <f t="array" ref="G33">IFERROR(_xlfn.LET(_xlpm.result,RANK(_xlfn.XLOOKUP($A33,$A$2:$A$26,_xlfn.XLOOKUP(G$29,$B$1:$L$1,$B$2:$L$26)),$B$2:$L$26),IF(_xlpm.result&gt;150,"",_xlpm.result)),"")</f>
        <v>75</v>
      </c>
      <c r="H33" s="1" cm="1">
        <f t="array" ref="H33">IFERROR(_xlfn.LET(_xlpm.result,RANK(_xlfn.XLOOKUP($A33,$A$2:$A$26,_xlfn.XLOOKUP(H$29,$B$1:$L$1,$B$2:$L$26)),$B$2:$L$26),IF(_xlpm.result&gt;150,"",_xlpm.result)),"")</f>
        <v>8</v>
      </c>
      <c r="I33" s="1" cm="1">
        <f t="array" ref="I33">IFERROR(_xlfn.LET(_xlpm.result,RANK(_xlfn.XLOOKUP($A33,$A$2:$A$26,_xlfn.XLOOKUP(I$29,$B$1:$L$1,$B$2:$L$26)),$B$2:$L$26),IF(_xlpm.result&gt;150,"",_xlpm.result)),"")</f>
        <v>59</v>
      </c>
      <c r="J33" s="1" cm="1">
        <f t="array" ref="J33">IFERROR(_xlfn.LET(_xlpm.result,RANK(_xlfn.XLOOKUP($A33,$A$2:$A$26,_xlfn.XLOOKUP(J$29,$B$1:$L$1,$B$2:$L$26)),$B$2:$L$26),IF(_xlpm.result&gt;150,"",_xlpm.result)),"")</f>
        <v>10</v>
      </c>
      <c r="K33" s="1" cm="1">
        <f t="array" ref="K33">IFERROR(_xlfn.LET(_xlpm.result,RANK(_xlfn.XLOOKUP($A33,$A$2:$A$26,_xlfn.XLOOKUP(K$29,$B$1:$L$1,$B$2:$L$26)),$B$2:$L$26),IF(_xlpm.result&gt;150,"",_xlpm.result)),"")</f>
        <v>123</v>
      </c>
      <c r="L33" s="1" cm="1">
        <f t="array" ref="L33">IFERROR(_xlfn.LET(_xlpm.result,RANK(_xlfn.XLOOKUP($A33,$A$2:$A$26,_xlfn.XLOOKUP(L$29,$B$1:$L$1,$B$2:$L$26)),$B$2:$L$26),IF(_xlpm.result&gt;150,"",_xlpm.result)),"")</f>
        <v>5</v>
      </c>
      <c r="M33">
        <f t="shared" si="0"/>
        <v>10</v>
      </c>
      <c r="N33" s="10">
        <f t="shared" si="1"/>
        <v>5</v>
      </c>
    </row>
    <row r="34" spans="1:15" x14ac:dyDescent="0.25">
      <c r="A34" t="s">
        <v>23</v>
      </c>
      <c r="B34" s="1" t="str" cm="1">
        <f t="array" ref="B34">IFERROR(_xlfn.LET(_xlpm.result,RANK(_xlfn.XLOOKUP($A34,$A$2:$A$26,_xlfn.XLOOKUP(B$29,$B$1:$L$1,$B$2:$L$26)),$B$2:$L$26),IF(_xlpm.result&gt;150,"",_xlpm.result)),"")</f>
        <v/>
      </c>
      <c r="C34" s="1" t="str" cm="1">
        <f t="array" ref="C34">IFERROR(_xlfn.LET(_xlpm.result,RANK(_xlfn.XLOOKUP($A34,$A$2:$A$26,_xlfn.XLOOKUP(C$29,$B$1:$L$1,$B$2:$L$26)),$B$2:$L$26),IF(_xlpm.result&gt;150,"",_xlpm.result)),"")</f>
        <v/>
      </c>
      <c r="D34" s="1" cm="1">
        <f t="array" ref="D34">IFERROR(_xlfn.LET(_xlpm.result,RANK(_xlfn.XLOOKUP($A34,$A$2:$A$26,_xlfn.XLOOKUP(D$29,$B$1:$L$1,$B$2:$L$26)),$B$2:$L$26),IF(_xlpm.result&gt;150,"",_xlpm.result)),"")</f>
        <v>59</v>
      </c>
      <c r="E34" s="1" cm="1">
        <f t="array" ref="E34">IFERROR(_xlfn.LET(_xlpm.result,RANK(_xlfn.XLOOKUP($A34,$A$2:$A$26,_xlfn.XLOOKUP(E$29,$B$1:$L$1,$B$2:$L$26)),$B$2:$L$26),IF(_xlpm.result&gt;150,"",_xlpm.result)),"")</f>
        <v>143</v>
      </c>
      <c r="F34" s="1" t="str" cm="1">
        <f t="array" ref="F34">IFERROR(_xlfn.LET(_xlpm.result,RANK(_xlfn.XLOOKUP($A34,$A$2:$A$26,_xlfn.XLOOKUP(F$29,$B$1:$L$1,$B$2:$L$26)),$B$2:$L$26),IF(_xlpm.result&gt;150,"",_xlpm.result)),"")</f>
        <v/>
      </c>
      <c r="G34" s="1" t="str" cm="1">
        <f t="array" ref="G34">IFERROR(_xlfn.LET(_xlpm.result,RANK(_xlfn.XLOOKUP($A34,$A$2:$A$26,_xlfn.XLOOKUP(G$29,$B$1:$L$1,$B$2:$L$26)),$B$2:$L$26),IF(_xlpm.result&gt;150,"",_xlpm.result)),"")</f>
        <v/>
      </c>
      <c r="H34" s="1" cm="1">
        <f t="array" ref="H34">IFERROR(_xlfn.LET(_xlpm.result,RANK(_xlfn.XLOOKUP($A34,$A$2:$A$26,_xlfn.XLOOKUP(H$29,$B$1:$L$1,$B$2:$L$26)),$B$2:$L$26),IF(_xlpm.result&gt;150,"",_xlpm.result)),"")</f>
        <v>107</v>
      </c>
      <c r="I34" s="1" cm="1">
        <f t="array" ref="I34">IFERROR(_xlfn.LET(_xlpm.result,RANK(_xlfn.XLOOKUP($A34,$A$2:$A$26,_xlfn.XLOOKUP(I$29,$B$1:$L$1,$B$2:$L$26)),$B$2:$L$26),IF(_xlpm.result&gt;150,"",_xlpm.result)),"")</f>
        <v>59</v>
      </c>
      <c r="J34" s="1" t="str" cm="1">
        <f t="array" ref="J34">IFERROR(_xlfn.LET(_xlpm.result,RANK(_xlfn.XLOOKUP($A34,$A$2:$A$26,_xlfn.XLOOKUP(J$29,$B$1:$L$1,$B$2:$L$26)),$B$2:$L$26),IF(_xlpm.result&gt;150,"",_xlpm.result)),"")</f>
        <v/>
      </c>
      <c r="K34" s="1" t="str" cm="1">
        <f t="array" ref="K34">IFERROR(_xlfn.LET(_xlpm.result,RANK(_xlfn.XLOOKUP($A34,$A$2:$A$26,_xlfn.XLOOKUP(K$29,$B$1:$L$1,$B$2:$L$26)),$B$2:$L$26),IF(_xlpm.result&gt;150,"",_xlpm.result)),"")</f>
        <v/>
      </c>
      <c r="L34" s="1" t="str" cm="1">
        <f t="array" ref="L34">IFERROR(_xlfn.LET(_xlpm.result,RANK(_xlfn.XLOOKUP($A34,$A$2:$A$26,_xlfn.XLOOKUP(L$29,$B$1:$L$1,$B$2:$L$26)),$B$2:$L$26),IF(_xlpm.result&gt;150,"",_xlpm.result)),"")</f>
        <v/>
      </c>
      <c r="M34">
        <f t="shared" si="0"/>
        <v>4</v>
      </c>
      <c r="N34" s="10">
        <f t="shared" si="1"/>
        <v>59</v>
      </c>
    </row>
    <row r="35" spans="1:15" x14ac:dyDescent="0.25">
      <c r="A35" t="s">
        <v>24</v>
      </c>
      <c r="B35" s="1" t="str" cm="1">
        <f t="array" ref="B35">IFERROR(_xlfn.LET(_xlpm.result,RANK(_xlfn.XLOOKUP($A35,$A$2:$A$26,_xlfn.XLOOKUP(B$29,$B$1:$L$1,$B$2:$L$26)),$B$2:$L$26),IF(_xlpm.result&gt;150,"",_xlpm.result)),"")</f>
        <v/>
      </c>
      <c r="C35" s="1" cm="1">
        <f t="array" ref="C35">IFERROR(_xlfn.LET(_xlpm.result,RANK(_xlfn.XLOOKUP($A35,$A$2:$A$26,_xlfn.XLOOKUP(C$29,$B$1:$L$1,$B$2:$L$26)),$B$2:$L$26),IF(_xlpm.result&gt;150,"",_xlpm.result)),"")</f>
        <v>45</v>
      </c>
      <c r="D35" s="1" t="str" cm="1">
        <f t="array" ref="D35">IFERROR(_xlfn.LET(_xlpm.result,RANK(_xlfn.XLOOKUP($A35,$A$2:$A$26,_xlfn.XLOOKUP(D$29,$B$1:$L$1,$B$2:$L$26)),$B$2:$L$26),IF(_xlpm.result&gt;150,"",_xlpm.result)),"")</f>
        <v/>
      </c>
      <c r="E35" s="1" cm="1">
        <f t="array" ref="E35">IFERROR(_xlfn.LET(_xlpm.result,RANK(_xlfn.XLOOKUP($A35,$A$2:$A$26,_xlfn.XLOOKUP(E$29,$B$1:$L$1,$B$2:$L$26)),$B$2:$L$26),IF(_xlpm.result&gt;150,"",_xlpm.result)),"")</f>
        <v>107</v>
      </c>
      <c r="F35" s="1" cm="1">
        <f t="array" ref="F35">IFERROR(_xlfn.LET(_xlpm.result,RANK(_xlfn.XLOOKUP($A35,$A$2:$A$26,_xlfn.XLOOKUP(F$29,$B$1:$L$1,$B$2:$L$26)),$B$2:$L$26),IF(_xlpm.result&gt;150,"",_xlpm.result)),"")</f>
        <v>144</v>
      </c>
      <c r="G35" s="1" t="str" cm="1">
        <f t="array" ref="G35">IFERROR(_xlfn.LET(_xlpm.result,RANK(_xlfn.XLOOKUP($A35,$A$2:$A$26,_xlfn.XLOOKUP(G$29,$B$1:$L$1,$B$2:$L$26)),$B$2:$L$26),IF(_xlpm.result&gt;150,"",_xlpm.result)),"")</f>
        <v/>
      </c>
      <c r="H35" s="1" t="str" cm="1">
        <f t="array" ref="H35">IFERROR(_xlfn.LET(_xlpm.result,RANK(_xlfn.XLOOKUP($A35,$A$2:$A$26,_xlfn.XLOOKUP(H$29,$B$1:$L$1,$B$2:$L$26)),$B$2:$L$26),IF(_xlpm.result&gt;150,"",_xlpm.result)),"")</f>
        <v/>
      </c>
      <c r="I35" s="1" cm="1">
        <f t="array" ref="I35">IFERROR(_xlfn.LET(_xlpm.result,RANK(_xlfn.XLOOKUP($A35,$A$2:$A$26,_xlfn.XLOOKUP(I$29,$B$1:$L$1,$B$2:$L$26)),$B$2:$L$26),IF(_xlpm.result&gt;150,"",_xlpm.result)),"")</f>
        <v>47</v>
      </c>
      <c r="J35" s="1" t="str" cm="1">
        <f t="array" ref="J35">IFERROR(_xlfn.LET(_xlpm.result,RANK(_xlfn.XLOOKUP($A35,$A$2:$A$26,_xlfn.XLOOKUP(J$29,$B$1:$L$1,$B$2:$L$26)),$B$2:$L$26),IF(_xlpm.result&gt;150,"",_xlpm.result)),"")</f>
        <v/>
      </c>
      <c r="K35" s="1" cm="1">
        <f t="array" ref="K35">IFERROR(_xlfn.LET(_xlpm.result,RANK(_xlfn.XLOOKUP($A35,$A$2:$A$26,_xlfn.XLOOKUP(K$29,$B$1:$L$1,$B$2:$L$26)),$B$2:$L$26),IF(_xlpm.result&gt;150,"",_xlpm.result)),"")</f>
        <v>124</v>
      </c>
      <c r="L35" s="1" t="str" cm="1">
        <f t="array" ref="L35">IFERROR(_xlfn.LET(_xlpm.result,RANK(_xlfn.XLOOKUP($A35,$A$2:$A$26,_xlfn.XLOOKUP(L$29,$B$1:$L$1,$B$2:$L$26)),$B$2:$L$26),IF(_xlpm.result&gt;150,"",_xlpm.result)),"")</f>
        <v/>
      </c>
      <c r="M35">
        <f t="shared" si="0"/>
        <v>5</v>
      </c>
      <c r="N35" s="10">
        <f t="shared" si="1"/>
        <v>45</v>
      </c>
    </row>
    <row r="36" spans="1:15" x14ac:dyDescent="0.25">
      <c r="A36" t="s">
        <v>25</v>
      </c>
      <c r="B36" s="1" cm="1">
        <f t="array" ref="B36">IFERROR(_xlfn.LET(_xlpm.result,RANK(_xlfn.XLOOKUP($A36,$A$2:$A$26,_xlfn.XLOOKUP(B$29,$B$1:$L$1,$B$2:$L$26)),$B$2:$L$26),IF(_xlpm.result&gt;150,"",_xlpm.result)),"")</f>
        <v>97</v>
      </c>
      <c r="C36" s="1" t="str" cm="1">
        <f t="array" ref="C36">IFERROR(_xlfn.LET(_xlpm.result,RANK(_xlfn.XLOOKUP($A36,$A$2:$A$26,_xlfn.XLOOKUP(C$29,$B$1:$L$1,$B$2:$L$26)),$B$2:$L$26),IF(_xlpm.result&gt;150,"",_xlpm.result)),"")</f>
        <v/>
      </c>
      <c r="D36" s="1" cm="1">
        <f t="array" ref="D36">IFERROR(_xlfn.LET(_xlpm.result,RANK(_xlfn.XLOOKUP($A36,$A$2:$A$26,_xlfn.XLOOKUP(D$29,$B$1:$L$1,$B$2:$L$26)),$B$2:$L$26),IF(_xlpm.result&gt;150,"",_xlpm.result)),"")</f>
        <v>107</v>
      </c>
      <c r="E36" s="1" t="str" cm="1">
        <f t="array" ref="E36">IFERROR(_xlfn.LET(_xlpm.result,RANK(_xlfn.XLOOKUP($A36,$A$2:$A$26,_xlfn.XLOOKUP(E$29,$B$1:$L$1,$B$2:$L$26)),$B$2:$L$26),IF(_xlpm.result&gt;150,"",_xlpm.result)),"")</f>
        <v/>
      </c>
      <c r="F36" s="1" t="str" cm="1">
        <f t="array" ref="F36">IFERROR(_xlfn.LET(_xlpm.result,RANK(_xlfn.XLOOKUP($A36,$A$2:$A$26,_xlfn.XLOOKUP(F$29,$B$1:$L$1,$B$2:$L$26)),$B$2:$L$26),IF(_xlpm.result&gt;150,"",_xlpm.result)),"")</f>
        <v/>
      </c>
      <c r="G36" s="1" t="str" cm="1">
        <f t="array" ref="G36">IFERROR(_xlfn.LET(_xlpm.result,RANK(_xlfn.XLOOKUP($A36,$A$2:$A$26,_xlfn.XLOOKUP(G$29,$B$1:$L$1,$B$2:$L$26)),$B$2:$L$26),IF(_xlpm.result&gt;150,"",_xlpm.result)),"")</f>
        <v/>
      </c>
      <c r="H36" s="1" t="str" cm="1">
        <f t="array" ref="H36">IFERROR(_xlfn.LET(_xlpm.result,RANK(_xlfn.XLOOKUP($A36,$A$2:$A$26,_xlfn.XLOOKUP(H$29,$B$1:$L$1,$B$2:$L$26)),$B$2:$L$26),IF(_xlpm.result&gt;150,"",_xlpm.result)),"")</f>
        <v/>
      </c>
      <c r="I36" s="1" t="str" cm="1">
        <f t="array" ref="I36">IFERROR(_xlfn.LET(_xlpm.result,RANK(_xlfn.XLOOKUP($A36,$A$2:$A$26,_xlfn.XLOOKUP(I$29,$B$1:$L$1,$B$2:$L$26)),$B$2:$L$26),IF(_xlpm.result&gt;150,"",_xlpm.result)),"")</f>
        <v/>
      </c>
      <c r="J36" s="1" cm="1">
        <f t="array" ref="J36">IFERROR(_xlfn.LET(_xlpm.result,RANK(_xlfn.XLOOKUP($A36,$A$2:$A$26,_xlfn.XLOOKUP(J$29,$B$1:$L$1,$B$2:$L$26)),$B$2:$L$26),IF(_xlpm.result&gt;150,"",_xlpm.result)),"")</f>
        <v>128</v>
      </c>
      <c r="K36" s="1" t="str" cm="1">
        <f t="array" ref="K36">IFERROR(_xlfn.LET(_xlpm.result,RANK(_xlfn.XLOOKUP($A36,$A$2:$A$26,_xlfn.XLOOKUP(K$29,$B$1:$L$1,$B$2:$L$26)),$B$2:$L$26),IF(_xlpm.result&gt;150,"",_xlpm.result)),"")</f>
        <v/>
      </c>
      <c r="L36" s="1" cm="1">
        <f t="array" ref="L36">IFERROR(_xlfn.LET(_xlpm.result,RANK(_xlfn.XLOOKUP($A36,$A$2:$A$26,_xlfn.XLOOKUP(L$29,$B$1:$L$1,$B$2:$L$26)),$B$2:$L$26),IF(_xlpm.result&gt;150,"",_xlpm.result)),"")</f>
        <v>114</v>
      </c>
      <c r="M36">
        <f t="shared" si="0"/>
        <v>4</v>
      </c>
      <c r="N36" s="10">
        <f t="shared" si="1"/>
        <v>97</v>
      </c>
    </row>
    <row r="37" spans="1:15" x14ac:dyDescent="0.25">
      <c r="A37" t="s">
        <v>26</v>
      </c>
      <c r="B37" s="1" t="str" cm="1">
        <f t="array" ref="B37">IFERROR(_xlfn.LET(_xlpm.result,RANK(_xlfn.XLOOKUP($A37,$A$2:$A$26,_xlfn.XLOOKUP(B$29,$B$1:$L$1,$B$2:$L$26)),$B$2:$L$26),IF(_xlpm.result&gt;150,"",_xlpm.result)),"")</f>
        <v/>
      </c>
      <c r="C37" s="1" cm="1">
        <f t="array" ref="C37">IFERROR(_xlfn.LET(_xlpm.result,RANK(_xlfn.XLOOKUP($A37,$A$2:$A$26,_xlfn.XLOOKUP(C$29,$B$1:$L$1,$B$2:$L$26)),$B$2:$L$26),IF(_xlpm.result&gt;150,"",_xlpm.result)),"")</f>
        <v>107</v>
      </c>
      <c r="D37" s="1" cm="1">
        <f t="array" ref="D37">IFERROR(_xlfn.LET(_xlpm.result,RANK(_xlfn.XLOOKUP($A37,$A$2:$A$26,_xlfn.XLOOKUP(D$29,$B$1:$L$1,$B$2:$L$26)),$B$2:$L$26),IF(_xlpm.result&gt;150,"",_xlpm.result)),"")</f>
        <v>92</v>
      </c>
      <c r="E37" s="1" t="str" cm="1">
        <f t="array" ref="E37">IFERROR(_xlfn.LET(_xlpm.result,RANK(_xlfn.XLOOKUP($A37,$A$2:$A$26,_xlfn.XLOOKUP(E$29,$B$1:$L$1,$B$2:$L$26)),$B$2:$L$26),IF(_xlpm.result&gt;150,"",_xlpm.result)),"")</f>
        <v/>
      </c>
      <c r="F37" s="1" cm="1">
        <f t="array" ref="F37">IFERROR(_xlfn.LET(_xlpm.result,RANK(_xlfn.XLOOKUP($A37,$A$2:$A$26,_xlfn.XLOOKUP(F$29,$B$1:$L$1,$B$2:$L$26)),$B$2:$L$26),IF(_xlpm.result&gt;150,"",_xlpm.result)),"")</f>
        <v>113</v>
      </c>
      <c r="G37" s="1" t="str" cm="1">
        <f t="array" ref="G37">IFERROR(_xlfn.LET(_xlpm.result,RANK(_xlfn.XLOOKUP($A37,$A$2:$A$26,_xlfn.XLOOKUP(G$29,$B$1:$L$1,$B$2:$L$26)),$B$2:$L$26),IF(_xlpm.result&gt;150,"",_xlpm.result)),"")</f>
        <v/>
      </c>
      <c r="H37" s="1" cm="1">
        <f t="array" ref="H37">IFERROR(_xlfn.LET(_xlpm.result,RANK(_xlfn.XLOOKUP($A37,$A$2:$A$26,_xlfn.XLOOKUP(H$29,$B$1:$L$1,$B$2:$L$26)),$B$2:$L$26),IF(_xlpm.result&gt;150,"",_xlpm.result)),"")</f>
        <v>55</v>
      </c>
      <c r="I37" s="1" t="str" cm="1">
        <f t="array" ref="I37">IFERROR(_xlfn.LET(_xlpm.result,RANK(_xlfn.XLOOKUP($A37,$A$2:$A$26,_xlfn.XLOOKUP(I$29,$B$1:$L$1,$B$2:$L$26)),$B$2:$L$26),IF(_xlpm.result&gt;150,"",_xlpm.result)),"")</f>
        <v/>
      </c>
      <c r="J37" s="1" t="str" cm="1">
        <f t="array" ref="J37">IFERROR(_xlfn.LET(_xlpm.result,RANK(_xlfn.XLOOKUP($A37,$A$2:$A$26,_xlfn.XLOOKUP(J$29,$B$1:$L$1,$B$2:$L$26)),$B$2:$L$26),IF(_xlpm.result&gt;150,"",_xlpm.result)),"")</f>
        <v/>
      </c>
      <c r="K37" s="1" t="str" cm="1">
        <f t="array" ref="K37">IFERROR(_xlfn.LET(_xlpm.result,RANK(_xlfn.XLOOKUP($A37,$A$2:$A$26,_xlfn.XLOOKUP(K$29,$B$1:$L$1,$B$2:$L$26)),$B$2:$L$26),IF(_xlpm.result&gt;150,"",_xlpm.result)),"")</f>
        <v/>
      </c>
      <c r="L37" s="1" cm="1">
        <f t="array" ref="L37">IFERROR(_xlfn.LET(_xlpm.result,RANK(_xlfn.XLOOKUP($A37,$A$2:$A$26,_xlfn.XLOOKUP(L$29,$B$1:$L$1,$B$2:$L$26)),$B$2:$L$26),IF(_xlpm.result&gt;150,"",_xlpm.result)),"")</f>
        <v>103</v>
      </c>
      <c r="M37">
        <f t="shared" si="0"/>
        <v>5</v>
      </c>
      <c r="N37" s="10">
        <f t="shared" si="1"/>
        <v>55</v>
      </c>
    </row>
    <row r="38" spans="1:15" s="16" customFormat="1" x14ac:dyDescent="0.25">
      <c r="A38" t="s">
        <v>27</v>
      </c>
      <c r="B38" s="1" cm="1">
        <f t="array" ref="B38">IFERROR(_xlfn.LET(_xlpm.result,RANK(_xlfn.XLOOKUP($A38,$A$2:$A$26,_xlfn.XLOOKUP(B$29,$B$1:$L$1,$B$2:$L$26)),$B$2:$L$26),IF(_xlpm.result&gt;150,"",_xlpm.result)),"")</f>
        <v>116</v>
      </c>
      <c r="C38" s="1" cm="1">
        <f t="array" ref="C38">IFERROR(_xlfn.LET(_xlpm.result,RANK(_xlfn.XLOOKUP($A38,$A$2:$A$26,_xlfn.XLOOKUP(C$29,$B$1:$L$1,$B$2:$L$26)),$B$2:$L$26),IF(_xlpm.result&gt;150,"",_xlpm.result)),"")</f>
        <v>59</v>
      </c>
      <c r="D38" s="1" cm="1">
        <f t="array" ref="D38">IFERROR(_xlfn.LET(_xlpm.result,RANK(_xlfn.XLOOKUP($A38,$A$2:$A$26,_xlfn.XLOOKUP(D$29,$B$1:$L$1,$B$2:$L$26)),$B$2:$L$26),IF(_xlpm.result&gt;150,"",_xlpm.result)),"")</f>
        <v>107</v>
      </c>
      <c r="E38" s="1" cm="1">
        <f t="array" ref="E38">IFERROR(_xlfn.LET(_xlpm.result,RANK(_xlfn.XLOOKUP($A38,$A$2:$A$26,_xlfn.XLOOKUP(E$29,$B$1:$L$1,$B$2:$L$26)),$B$2:$L$26),IF(_xlpm.result&gt;150,"",_xlpm.result)),"")</f>
        <v>19</v>
      </c>
      <c r="F38" s="1" cm="1">
        <f t="array" ref="F38">IFERROR(_xlfn.LET(_xlpm.result,RANK(_xlfn.XLOOKUP($A38,$A$2:$A$26,_xlfn.XLOOKUP(F$29,$B$1:$L$1,$B$2:$L$26)),$B$2:$L$26),IF(_xlpm.result&gt;150,"",_xlpm.result)),"")</f>
        <v>150</v>
      </c>
      <c r="G38" s="1" t="str" cm="1">
        <f t="array" ref="G38">IFERROR(_xlfn.LET(_xlpm.result,RANK(_xlfn.XLOOKUP($A38,$A$2:$A$26,_xlfn.XLOOKUP(G$29,$B$1:$L$1,$B$2:$L$26)),$B$2:$L$26),IF(_xlpm.result&gt;150,"",_xlpm.result)),"")</f>
        <v/>
      </c>
      <c r="H38" s="1" t="str" cm="1">
        <f t="array" ref="H38">IFERROR(_xlfn.LET(_xlpm.result,RANK(_xlfn.XLOOKUP($A38,$A$2:$A$26,_xlfn.XLOOKUP(H$29,$B$1:$L$1,$B$2:$L$26)),$B$2:$L$26),IF(_xlpm.result&gt;150,"",_xlpm.result)),"")</f>
        <v/>
      </c>
      <c r="I38" s="1" cm="1">
        <f t="array" ref="I38">IFERROR(_xlfn.LET(_xlpm.result,RANK(_xlfn.XLOOKUP($A38,$A$2:$A$26,_xlfn.XLOOKUP(I$29,$B$1:$L$1,$B$2:$L$26)),$B$2:$L$26),IF(_xlpm.result&gt;150,"",_xlpm.result)),"")</f>
        <v>59</v>
      </c>
      <c r="J38" s="1" cm="1">
        <f t="array" ref="J38">IFERROR(_xlfn.LET(_xlpm.result,RANK(_xlfn.XLOOKUP($A38,$A$2:$A$26,_xlfn.XLOOKUP(J$29,$B$1:$L$1,$B$2:$L$26)),$B$2:$L$26),IF(_xlpm.result&gt;150,"",_xlpm.result)),"")</f>
        <v>98</v>
      </c>
      <c r="K38" s="1" cm="1">
        <f t="array" ref="K38">IFERROR(_xlfn.LET(_xlpm.result,RANK(_xlfn.XLOOKUP($A38,$A$2:$A$26,_xlfn.XLOOKUP(K$29,$B$1:$L$1,$B$2:$L$26)),$B$2:$L$26),IF(_xlpm.result&gt;150,"",_xlpm.result)),"")</f>
        <v>119</v>
      </c>
      <c r="L38" s="1" cm="1">
        <f t="array" ref="L38">IFERROR(_xlfn.LET(_xlpm.result,RANK(_xlfn.XLOOKUP($A38,$A$2:$A$26,_xlfn.XLOOKUP(L$29,$B$1:$L$1,$B$2:$L$26)),$B$2:$L$26),IF(_xlpm.result&gt;150,"",_xlpm.result)),"")</f>
        <v>101</v>
      </c>
      <c r="M38">
        <f t="shared" si="0"/>
        <v>9</v>
      </c>
      <c r="N38" s="10">
        <f t="shared" si="1"/>
        <v>19</v>
      </c>
      <c r="O38">
        <v>14</v>
      </c>
    </row>
    <row r="39" spans="1:15" x14ac:dyDescent="0.25">
      <c r="A39" t="s">
        <v>33</v>
      </c>
      <c r="B39" s="1" cm="1">
        <f t="array" ref="B39">IFERROR(_xlfn.LET(_xlpm.result,RANK(_xlfn.XLOOKUP($A39,$A$2:$A$26,_xlfn.XLOOKUP(B$29,$B$1:$L$1,$B$2:$L$26)),$B$2:$L$26),IF(_xlpm.result&gt;150,"",_xlpm.result)),"")</f>
        <v>107</v>
      </c>
      <c r="C39" s="1" cm="1">
        <f t="array" ref="C39">IFERROR(_xlfn.LET(_xlpm.result,RANK(_xlfn.XLOOKUP($A39,$A$2:$A$26,_xlfn.XLOOKUP(C$29,$B$1:$L$1,$B$2:$L$26)),$B$2:$L$26),IF(_xlpm.result&gt;150,"",_xlpm.result)),"")</f>
        <v>48</v>
      </c>
      <c r="D39" s="1" t="str" cm="1">
        <f t="array" ref="D39">IFERROR(_xlfn.LET(_xlpm.result,RANK(_xlfn.XLOOKUP($A39,$A$2:$A$26,_xlfn.XLOOKUP(D$29,$B$1:$L$1,$B$2:$L$26)),$B$2:$L$26),IF(_xlpm.result&gt;150,"",_xlpm.result)),"")</f>
        <v/>
      </c>
      <c r="E39" s="1" cm="1">
        <f t="array" ref="E39">IFERROR(_xlfn.LET(_xlpm.result,RANK(_xlfn.XLOOKUP($A39,$A$2:$A$26,_xlfn.XLOOKUP(E$29,$B$1:$L$1,$B$2:$L$26)),$B$2:$L$26),IF(_xlpm.result&gt;150,"",_xlpm.result)),"")</f>
        <v>146</v>
      </c>
      <c r="F39" s="1" cm="1">
        <f t="array" ref="F39">IFERROR(_xlfn.LET(_xlpm.result,RANK(_xlfn.XLOOKUP($A39,$A$2:$A$26,_xlfn.XLOOKUP(F$29,$B$1:$L$1,$B$2:$L$26)),$B$2:$L$26),IF(_xlpm.result&gt;150,"",_xlpm.result)),"")</f>
        <v>107</v>
      </c>
      <c r="G39" s="1" cm="1">
        <f t="array" ref="G39">IFERROR(_xlfn.LET(_xlpm.result,RANK(_xlfn.XLOOKUP($A39,$A$2:$A$26,_xlfn.XLOOKUP(G$29,$B$1:$L$1,$B$2:$L$26)),$B$2:$L$26),IF(_xlpm.result&gt;150,"",_xlpm.result)),"")</f>
        <v>17</v>
      </c>
      <c r="H39" s="1" t="str" cm="1">
        <f t="array" ref="H39">IFERROR(_xlfn.LET(_xlpm.result,RANK(_xlfn.XLOOKUP($A39,$A$2:$A$26,_xlfn.XLOOKUP(H$29,$B$1:$L$1,$B$2:$L$26)),$B$2:$L$26),IF(_xlpm.result&gt;150,"",_xlpm.result)),"")</f>
        <v/>
      </c>
      <c r="I39" s="1" cm="1">
        <f t="array" ref="I39">IFERROR(_xlfn.LET(_xlpm.result,RANK(_xlfn.XLOOKUP($A39,$A$2:$A$26,_xlfn.XLOOKUP(I$29,$B$1:$L$1,$B$2:$L$26)),$B$2:$L$26),IF(_xlpm.result&gt;150,"",_xlpm.result)),"")</f>
        <v>36</v>
      </c>
      <c r="J39" s="1" t="str" cm="1">
        <f t="array" ref="J39">IFERROR(_xlfn.LET(_xlpm.result,RANK(_xlfn.XLOOKUP($A39,$A$2:$A$26,_xlfn.XLOOKUP(J$29,$B$1:$L$1,$B$2:$L$26)),$B$2:$L$26),IF(_xlpm.result&gt;150,"",_xlpm.result)),"")</f>
        <v/>
      </c>
      <c r="K39" s="1" t="str" cm="1">
        <f t="array" ref="K39">IFERROR(_xlfn.LET(_xlpm.result,RANK(_xlfn.XLOOKUP($A39,$A$2:$A$26,_xlfn.XLOOKUP(K$29,$B$1:$L$1,$B$2:$L$26)),$B$2:$L$26),IF(_xlpm.result&gt;150,"",_xlpm.result)),"")</f>
        <v/>
      </c>
      <c r="L39" s="1" cm="1">
        <f t="array" ref="L39">IFERROR(_xlfn.LET(_xlpm.result,RANK(_xlfn.XLOOKUP($A39,$A$2:$A$26,_xlfn.XLOOKUP(L$29,$B$1:$L$1,$B$2:$L$26)),$B$2:$L$26),IF(_xlpm.result&gt;150,"",_xlpm.result)),"")</f>
        <v>17</v>
      </c>
      <c r="M39">
        <f t="shared" si="0"/>
        <v>7</v>
      </c>
      <c r="N39" s="10">
        <f t="shared" si="1"/>
        <v>17</v>
      </c>
      <c r="O39">
        <v>13</v>
      </c>
    </row>
    <row r="40" spans="1:15" s="16" customFormat="1" x14ac:dyDescent="0.25">
      <c r="A40" t="s">
        <v>34</v>
      </c>
      <c r="B40" s="1" cm="1">
        <f t="array" ref="B40">IFERROR(_xlfn.LET(_xlpm.result,RANK(_xlfn.XLOOKUP($A40,$A$2:$A$26,_xlfn.XLOOKUP(B$29,$B$1:$L$1,$B$2:$L$26)),$B$2:$L$26),IF(_xlpm.result&gt;150,"",_xlpm.result)),"")</f>
        <v>38</v>
      </c>
      <c r="C40" s="1" cm="1">
        <f t="array" ref="C40">IFERROR(_xlfn.LET(_xlpm.result,RANK(_xlfn.XLOOKUP($A40,$A$2:$A$26,_xlfn.XLOOKUP(C$29,$B$1:$L$1,$B$2:$L$26)),$B$2:$L$26),IF(_xlpm.result&gt;150,"",_xlpm.result)),"")</f>
        <v>44</v>
      </c>
      <c r="D40" s="1" cm="1">
        <f t="array" ref="D40">IFERROR(_xlfn.LET(_xlpm.result,RANK(_xlfn.XLOOKUP($A40,$A$2:$A$26,_xlfn.XLOOKUP(D$29,$B$1:$L$1,$B$2:$L$26)),$B$2:$L$26),IF(_xlpm.result&gt;150,"",_xlpm.result)),"")</f>
        <v>107</v>
      </c>
      <c r="E40" s="1" cm="1">
        <f t="array" ref="E40">IFERROR(_xlfn.LET(_xlpm.result,RANK(_xlfn.XLOOKUP($A40,$A$2:$A$26,_xlfn.XLOOKUP(E$29,$B$1:$L$1,$B$2:$L$26)),$B$2:$L$26),IF(_xlpm.result&gt;150,"",_xlpm.result)),"")</f>
        <v>31</v>
      </c>
      <c r="F40" s="1" cm="1">
        <f t="array" ref="F40">IFERROR(_xlfn.LET(_xlpm.result,RANK(_xlfn.XLOOKUP($A40,$A$2:$A$26,_xlfn.XLOOKUP(F$29,$B$1:$L$1,$B$2:$L$26)),$B$2:$L$26),IF(_xlpm.result&gt;150,"",_xlpm.result)),"")</f>
        <v>49</v>
      </c>
      <c r="G40" s="1" cm="1">
        <f t="array" ref="G40">IFERROR(_xlfn.LET(_xlpm.result,RANK(_xlfn.XLOOKUP($A40,$A$2:$A$26,_xlfn.XLOOKUP(G$29,$B$1:$L$1,$B$2:$L$26)),$B$2:$L$26),IF(_xlpm.result&gt;150,"",_xlpm.result)),"")</f>
        <v>29</v>
      </c>
      <c r="H40" s="1" cm="1">
        <f t="array" ref="H40">IFERROR(_xlfn.LET(_xlpm.result,RANK(_xlfn.XLOOKUP($A40,$A$2:$A$26,_xlfn.XLOOKUP(H$29,$B$1:$L$1,$B$2:$L$26)),$B$2:$L$26),IF(_xlpm.result&gt;150,"",_xlpm.result)),"")</f>
        <v>30</v>
      </c>
      <c r="I40" s="1" cm="1">
        <f t="array" ref="I40">IFERROR(_xlfn.LET(_xlpm.result,RANK(_xlfn.XLOOKUP($A40,$A$2:$A$26,_xlfn.XLOOKUP(I$29,$B$1:$L$1,$B$2:$L$26)),$B$2:$L$26),IF(_xlpm.result&gt;150,"",_xlpm.result)),"")</f>
        <v>22</v>
      </c>
      <c r="J40" s="1" cm="1">
        <f t="array" ref="J40">IFERROR(_xlfn.LET(_xlpm.result,RANK(_xlfn.XLOOKUP($A40,$A$2:$A$26,_xlfn.XLOOKUP(J$29,$B$1:$L$1,$B$2:$L$26)),$B$2:$L$26),IF(_xlpm.result&gt;150,"",_xlpm.result)),"")</f>
        <v>1</v>
      </c>
      <c r="K40" s="1" cm="1">
        <f t="array" ref="K40">IFERROR(_xlfn.LET(_xlpm.result,RANK(_xlfn.XLOOKUP($A40,$A$2:$A$26,_xlfn.XLOOKUP(K$29,$B$1:$L$1,$B$2:$L$26)),$B$2:$L$26),IF(_xlpm.result&gt;150,"",_xlpm.result)),"")</f>
        <v>31</v>
      </c>
      <c r="L40" s="1" cm="1">
        <f t="array" ref="L40">IFERROR(_xlfn.LET(_xlpm.result,RANK(_xlfn.XLOOKUP($A40,$A$2:$A$26,_xlfn.XLOOKUP(L$29,$B$1:$L$1,$B$2:$L$26)),$B$2:$L$26),IF(_xlpm.result&gt;150,"",_xlpm.result)),"")</f>
        <v>2</v>
      </c>
      <c r="M40">
        <f t="shared" si="0"/>
        <v>11</v>
      </c>
      <c r="N40" s="10">
        <f t="shared" si="1"/>
        <v>1</v>
      </c>
      <c r="O40">
        <v>12</v>
      </c>
    </row>
    <row r="41" spans="1:15" x14ac:dyDescent="0.25">
      <c r="A41" t="s">
        <v>35</v>
      </c>
      <c r="B41" s="1" cm="1">
        <f t="array" ref="B41">IFERROR(_xlfn.LET(_xlpm.result,RANK(_xlfn.XLOOKUP($A41,$A$2:$A$26,_xlfn.XLOOKUP(B$29,$B$1:$L$1,$B$2:$L$26)),$B$2:$L$26),IF(_xlpm.result&gt;150,"",_xlpm.result)),"")</f>
        <v>107</v>
      </c>
      <c r="C41" s="1" t="str" cm="1">
        <f t="array" ref="C41">IFERROR(_xlfn.LET(_xlpm.result,RANK(_xlfn.XLOOKUP($A41,$A$2:$A$26,_xlfn.XLOOKUP(C$29,$B$1:$L$1,$B$2:$L$26)),$B$2:$L$26),IF(_xlpm.result&gt;150,"",_xlpm.result)),"")</f>
        <v/>
      </c>
      <c r="D41" s="1" t="str" cm="1">
        <f t="array" ref="D41">IFERROR(_xlfn.LET(_xlpm.result,RANK(_xlfn.XLOOKUP($A41,$A$2:$A$26,_xlfn.XLOOKUP(D$29,$B$1:$L$1,$B$2:$L$26)),$B$2:$L$26),IF(_xlpm.result&gt;150,"",_xlpm.result)),"")</f>
        <v/>
      </c>
      <c r="E41" s="1" t="str" cm="1">
        <f t="array" ref="E41">IFERROR(_xlfn.LET(_xlpm.result,RANK(_xlfn.XLOOKUP($A41,$A$2:$A$26,_xlfn.XLOOKUP(E$29,$B$1:$L$1,$B$2:$L$26)),$B$2:$L$26),IF(_xlpm.result&gt;150,"",_xlpm.result)),"")</f>
        <v/>
      </c>
      <c r="F41" s="1" cm="1">
        <f t="array" ref="F41">IFERROR(_xlfn.LET(_xlpm.result,RANK(_xlfn.XLOOKUP($A41,$A$2:$A$26,_xlfn.XLOOKUP(F$29,$B$1:$L$1,$B$2:$L$26)),$B$2:$L$26),IF(_xlpm.result&gt;150,"",_xlpm.result)),"")</f>
        <v>104</v>
      </c>
      <c r="G41" s="1" t="str" cm="1">
        <f t="array" ref="G41">IFERROR(_xlfn.LET(_xlpm.result,RANK(_xlfn.XLOOKUP($A41,$A$2:$A$26,_xlfn.XLOOKUP(G$29,$B$1:$L$1,$B$2:$L$26)),$B$2:$L$26),IF(_xlpm.result&gt;150,"",_xlpm.result)),"")</f>
        <v/>
      </c>
      <c r="H41" s="1" t="str" cm="1">
        <f t="array" ref="H41">IFERROR(_xlfn.LET(_xlpm.result,RANK(_xlfn.XLOOKUP($A41,$A$2:$A$26,_xlfn.XLOOKUP(H$29,$B$1:$L$1,$B$2:$L$26)),$B$2:$L$26),IF(_xlpm.result&gt;150,"",_xlpm.result)),"")</f>
        <v/>
      </c>
      <c r="I41" s="1" t="str" cm="1">
        <f t="array" ref="I41">IFERROR(_xlfn.LET(_xlpm.result,RANK(_xlfn.XLOOKUP($A41,$A$2:$A$26,_xlfn.XLOOKUP(I$29,$B$1:$L$1,$B$2:$L$26)),$B$2:$L$26),IF(_xlpm.result&gt;150,"",_xlpm.result)),"")</f>
        <v/>
      </c>
      <c r="J41" s="1" t="str" cm="1">
        <f t="array" ref="J41">IFERROR(_xlfn.LET(_xlpm.result,RANK(_xlfn.XLOOKUP($A41,$A$2:$A$26,_xlfn.XLOOKUP(J$29,$B$1:$L$1,$B$2:$L$26)),$B$2:$L$26),IF(_xlpm.result&gt;150,"",_xlpm.result)),"")</f>
        <v/>
      </c>
      <c r="K41" s="1" t="str" cm="1">
        <f t="array" ref="K41">IFERROR(_xlfn.LET(_xlpm.result,RANK(_xlfn.XLOOKUP($A41,$A$2:$A$26,_xlfn.XLOOKUP(K$29,$B$1:$L$1,$B$2:$L$26)),$B$2:$L$26),IF(_xlpm.result&gt;150,"",_xlpm.result)),"")</f>
        <v/>
      </c>
      <c r="L41" s="1" t="str" cm="1">
        <f t="array" ref="L41">IFERROR(_xlfn.LET(_xlpm.result,RANK(_xlfn.XLOOKUP($A41,$A$2:$A$26,_xlfn.XLOOKUP(L$29,$B$1:$L$1,$B$2:$L$26)),$B$2:$L$26),IF(_xlpm.result&gt;150,"",_xlpm.result)),"")</f>
        <v/>
      </c>
      <c r="M41" s="2">
        <f t="shared" si="0"/>
        <v>2</v>
      </c>
      <c r="N41" s="10">
        <f t="shared" si="1"/>
        <v>104</v>
      </c>
      <c r="O41">
        <v>11</v>
      </c>
    </row>
    <row r="42" spans="1:15" s="16" customFormat="1" x14ac:dyDescent="0.25">
      <c r="A42" t="s">
        <v>36</v>
      </c>
      <c r="B42" s="1" cm="1">
        <f t="array" ref="B42">IFERROR(_xlfn.LET(_xlpm.result,RANK(_xlfn.XLOOKUP($A42,$A$2:$A$26,_xlfn.XLOOKUP(B$29,$B$1:$L$1,$B$2:$L$26)),$B$2:$L$26),IF(_xlpm.result&gt;150,"",_xlpm.result)),"")</f>
        <v>71</v>
      </c>
      <c r="C42" s="1" cm="1">
        <f t="array" ref="C42">IFERROR(_xlfn.LET(_xlpm.result,RANK(_xlfn.XLOOKUP($A42,$A$2:$A$26,_xlfn.XLOOKUP(C$29,$B$1:$L$1,$B$2:$L$26)),$B$2:$L$26),IF(_xlpm.result&gt;150,"",_xlpm.result)),"")</f>
        <v>4</v>
      </c>
      <c r="D42" s="1" cm="1">
        <f t="array" ref="D42">IFERROR(_xlfn.LET(_xlpm.result,RANK(_xlfn.XLOOKUP($A42,$A$2:$A$26,_xlfn.XLOOKUP(D$29,$B$1:$L$1,$B$2:$L$26)),$B$2:$L$26),IF(_xlpm.result&gt;150,"",_xlpm.result)),"")</f>
        <v>105</v>
      </c>
      <c r="E42" s="1" cm="1">
        <f t="array" ref="E42">IFERROR(_xlfn.LET(_xlpm.result,RANK(_xlfn.XLOOKUP($A42,$A$2:$A$26,_xlfn.XLOOKUP(E$29,$B$1:$L$1,$B$2:$L$26)),$B$2:$L$26),IF(_xlpm.result&gt;150,"",_xlpm.result)),"")</f>
        <v>71</v>
      </c>
      <c r="F42" s="1" cm="1">
        <f t="array" ref="F42">IFERROR(_xlfn.LET(_xlpm.result,RANK(_xlfn.XLOOKUP($A42,$A$2:$A$26,_xlfn.XLOOKUP(F$29,$B$1:$L$1,$B$2:$L$26)),$B$2:$L$26),IF(_xlpm.result&gt;150,"",_xlpm.result)),"")</f>
        <v>107</v>
      </c>
      <c r="G42" s="1" cm="1">
        <f t="array" ref="G42">IFERROR(_xlfn.LET(_xlpm.result,RANK(_xlfn.XLOOKUP($A42,$A$2:$A$26,_xlfn.XLOOKUP(G$29,$B$1:$L$1,$B$2:$L$26)),$B$2:$L$26),IF(_xlpm.result&gt;150,"",_xlpm.result)),"")</f>
        <v>27</v>
      </c>
      <c r="H42" s="1" t="str" cm="1">
        <f t="array" ref="H42">IFERROR(_xlfn.LET(_xlpm.result,RANK(_xlfn.XLOOKUP($A42,$A$2:$A$26,_xlfn.XLOOKUP(H$29,$B$1:$L$1,$B$2:$L$26)),$B$2:$L$26),IF(_xlpm.result&gt;150,"",_xlpm.result)),"")</f>
        <v/>
      </c>
      <c r="I42" s="1" t="str" cm="1">
        <f t="array" ref="I42">IFERROR(_xlfn.LET(_xlpm.result,RANK(_xlfn.XLOOKUP($A42,$A$2:$A$26,_xlfn.XLOOKUP(I$29,$B$1:$L$1,$B$2:$L$26)),$B$2:$L$26),IF(_xlpm.result&gt;150,"",_xlpm.result)),"")</f>
        <v/>
      </c>
      <c r="J42" s="1" cm="1">
        <f t="array" ref="J42">IFERROR(_xlfn.LET(_xlpm.result,RANK(_xlfn.XLOOKUP($A42,$A$2:$A$26,_xlfn.XLOOKUP(J$29,$B$1:$L$1,$B$2:$L$26)),$B$2:$L$26),IF(_xlpm.result&gt;150,"",_xlpm.result)),"")</f>
        <v>119</v>
      </c>
      <c r="K42" s="1" cm="1">
        <f t="array" ref="K42">IFERROR(_xlfn.LET(_xlpm.result,RANK(_xlfn.XLOOKUP($A42,$A$2:$A$26,_xlfn.XLOOKUP(K$29,$B$1:$L$1,$B$2:$L$26)),$B$2:$L$26),IF(_xlpm.result&gt;150,"",_xlpm.result)),"")</f>
        <v>121</v>
      </c>
      <c r="L42" s="1" cm="1">
        <f t="array" ref="L42">IFERROR(_xlfn.LET(_xlpm.result,RANK(_xlfn.XLOOKUP($A42,$A$2:$A$26,_xlfn.XLOOKUP(L$29,$B$1:$L$1,$B$2:$L$26)),$B$2:$L$26),IF(_xlpm.result&gt;150,"",_xlpm.result)),"")</f>
        <v>128</v>
      </c>
      <c r="M42">
        <f t="shared" si="0"/>
        <v>9</v>
      </c>
      <c r="N42" s="10">
        <f t="shared" si="1"/>
        <v>4</v>
      </c>
      <c r="O42">
        <v>10</v>
      </c>
    </row>
    <row r="43" spans="1:15" x14ac:dyDescent="0.25">
      <c r="A43" t="s">
        <v>38</v>
      </c>
      <c r="B43" s="1" t="str" cm="1">
        <f t="array" ref="B43">IFERROR(_xlfn.LET(_xlpm.result,RANK(_xlfn.XLOOKUP($A43,$A$2:$A$26,_xlfn.XLOOKUP(B$29,$B$1:$L$1,$B$2:$L$26)),$B$2:$L$26),IF(_xlpm.result&gt;150,"",_xlpm.result)),"")</f>
        <v/>
      </c>
      <c r="C43" s="1" t="str" cm="1">
        <f t="array" ref="C43">IFERROR(_xlfn.LET(_xlpm.result,RANK(_xlfn.XLOOKUP($A43,$A$2:$A$26,_xlfn.XLOOKUP(C$29,$B$1:$L$1,$B$2:$L$26)),$B$2:$L$26),IF(_xlpm.result&gt;150,"",_xlpm.result)),"")</f>
        <v/>
      </c>
      <c r="D43" s="1" t="str" cm="1">
        <f t="array" ref="D43">IFERROR(_xlfn.LET(_xlpm.result,RANK(_xlfn.XLOOKUP($A43,$A$2:$A$26,_xlfn.XLOOKUP(D$29,$B$1:$L$1,$B$2:$L$26)),$B$2:$L$26),IF(_xlpm.result&gt;150,"",_xlpm.result)),"")</f>
        <v/>
      </c>
      <c r="E43" s="1" t="str" cm="1">
        <f t="array" ref="E43">IFERROR(_xlfn.LET(_xlpm.result,RANK(_xlfn.XLOOKUP($A43,$A$2:$A$26,_xlfn.XLOOKUP(E$29,$B$1:$L$1,$B$2:$L$26)),$B$2:$L$26),IF(_xlpm.result&gt;150,"",_xlpm.result)),"")</f>
        <v/>
      </c>
      <c r="F43" s="1" cm="1">
        <f t="array" ref="F43">IFERROR(_xlfn.LET(_xlpm.result,RANK(_xlfn.XLOOKUP($A43,$A$2:$A$26,_xlfn.XLOOKUP(F$29,$B$1:$L$1,$B$2:$L$26)),$B$2:$L$26),IF(_xlpm.result&gt;150,"",_xlpm.result)),"")</f>
        <v>107</v>
      </c>
      <c r="G43" s="1" cm="1">
        <f t="array" ref="G43">IFERROR(_xlfn.LET(_xlpm.result,RANK(_xlfn.XLOOKUP($A43,$A$2:$A$26,_xlfn.XLOOKUP(G$29,$B$1:$L$1,$B$2:$L$26)),$B$2:$L$26),IF(_xlpm.result&gt;150,"",_xlpm.result)),"")</f>
        <v>79</v>
      </c>
      <c r="H43" s="1" cm="1">
        <f t="array" ref="H43">IFERROR(_xlfn.LET(_xlpm.result,RANK(_xlfn.XLOOKUP($A43,$A$2:$A$26,_xlfn.XLOOKUP(H$29,$B$1:$L$1,$B$2:$L$26)),$B$2:$L$26),IF(_xlpm.result&gt;150,"",_xlpm.result)),"")</f>
        <v>78</v>
      </c>
      <c r="I43" s="1" t="str" cm="1">
        <f t="array" ref="I43">IFERROR(_xlfn.LET(_xlpm.result,RANK(_xlfn.XLOOKUP($A43,$A$2:$A$26,_xlfn.XLOOKUP(I$29,$B$1:$L$1,$B$2:$L$26)),$B$2:$L$26),IF(_xlpm.result&gt;150,"",_xlpm.result)),"")</f>
        <v/>
      </c>
      <c r="J43" s="1" cm="1">
        <f t="array" ref="J43">IFERROR(_xlfn.LET(_xlpm.result,RANK(_xlfn.XLOOKUP($A43,$A$2:$A$26,_xlfn.XLOOKUP(J$29,$B$1:$L$1,$B$2:$L$26)),$B$2:$L$26),IF(_xlpm.result&gt;150,"",_xlpm.result)),"")</f>
        <v>89</v>
      </c>
      <c r="K43" s="1" t="str" cm="1">
        <f t="array" ref="K43">IFERROR(_xlfn.LET(_xlpm.result,RANK(_xlfn.XLOOKUP($A43,$A$2:$A$26,_xlfn.XLOOKUP(K$29,$B$1:$L$1,$B$2:$L$26)),$B$2:$L$26),IF(_xlpm.result&gt;150,"",_xlpm.result)),"")</f>
        <v/>
      </c>
      <c r="L43" s="1" t="str" cm="1">
        <f t="array" ref="L43">IFERROR(_xlfn.LET(_xlpm.result,RANK(_xlfn.XLOOKUP($A43,$A$2:$A$26,_xlfn.XLOOKUP(L$29,$B$1:$L$1,$B$2:$L$26)),$B$2:$L$26),IF(_xlpm.result&gt;150,"",_xlpm.result)),"")</f>
        <v/>
      </c>
      <c r="M43">
        <f t="shared" si="0"/>
        <v>4</v>
      </c>
      <c r="N43" s="10">
        <f t="shared" si="1"/>
        <v>78</v>
      </c>
      <c r="O43">
        <v>9</v>
      </c>
    </row>
    <row r="44" spans="1:15" x14ac:dyDescent="0.25">
      <c r="A44" t="s">
        <v>39</v>
      </c>
      <c r="B44" s="1" cm="1">
        <f t="array" ref="B44">IFERROR(_xlfn.LET(_xlpm.result,RANK(_xlfn.XLOOKUP($A44,$A$2:$A$26,_xlfn.XLOOKUP(B$29,$B$1:$L$1,$B$2:$L$26)),$B$2:$L$26),IF(_xlpm.result&gt;150,"",_xlpm.result)),"")</f>
        <v>146</v>
      </c>
      <c r="C44" s="1" t="str" cm="1">
        <f t="array" ref="C44">IFERROR(_xlfn.LET(_xlpm.result,RANK(_xlfn.XLOOKUP($A44,$A$2:$A$26,_xlfn.XLOOKUP(C$29,$B$1:$L$1,$B$2:$L$26)),$B$2:$L$26),IF(_xlpm.result&gt;150,"",_xlpm.result)),"")</f>
        <v/>
      </c>
      <c r="D44" s="1" t="str" cm="1">
        <f t="array" ref="D44">IFERROR(_xlfn.LET(_xlpm.result,RANK(_xlfn.XLOOKUP($A44,$A$2:$A$26,_xlfn.XLOOKUP(D$29,$B$1:$L$1,$B$2:$L$26)),$B$2:$L$26),IF(_xlpm.result&gt;150,"",_xlpm.result)),"")</f>
        <v/>
      </c>
      <c r="E44" s="1" cm="1">
        <f t="array" ref="E44">IFERROR(_xlfn.LET(_xlpm.result,RANK(_xlfn.XLOOKUP($A44,$A$2:$A$26,_xlfn.XLOOKUP(E$29,$B$1:$L$1,$B$2:$L$26)),$B$2:$L$26),IF(_xlpm.result&gt;150,"",_xlpm.result)),"")</f>
        <v>107</v>
      </c>
      <c r="F44" s="1" t="str" cm="1">
        <f t="array" ref="F44">IFERROR(_xlfn.LET(_xlpm.result,RANK(_xlfn.XLOOKUP($A44,$A$2:$A$26,_xlfn.XLOOKUP(F$29,$B$1:$L$1,$B$2:$L$26)),$B$2:$L$26),IF(_xlpm.result&gt;150,"",_xlpm.result)),"")</f>
        <v/>
      </c>
      <c r="G44" s="1" t="str" cm="1">
        <f t="array" ref="G44">IFERROR(_xlfn.LET(_xlpm.result,RANK(_xlfn.XLOOKUP($A44,$A$2:$A$26,_xlfn.XLOOKUP(G$29,$B$1:$L$1,$B$2:$L$26)),$B$2:$L$26),IF(_xlpm.result&gt;150,"",_xlpm.result)),"")</f>
        <v/>
      </c>
      <c r="H44" s="1" t="str" cm="1">
        <f t="array" ref="H44">IFERROR(_xlfn.LET(_xlpm.result,RANK(_xlfn.XLOOKUP($A44,$A$2:$A$26,_xlfn.XLOOKUP(H$29,$B$1:$L$1,$B$2:$L$26)),$B$2:$L$26),IF(_xlpm.result&gt;150,"",_xlpm.result)),"")</f>
        <v/>
      </c>
      <c r="I44" s="1" t="str" cm="1">
        <f t="array" ref="I44">IFERROR(_xlfn.LET(_xlpm.result,RANK(_xlfn.XLOOKUP($A44,$A$2:$A$26,_xlfn.XLOOKUP(I$29,$B$1:$L$1,$B$2:$L$26)),$B$2:$L$26),IF(_xlpm.result&gt;150,"",_xlpm.result)),"")</f>
        <v/>
      </c>
      <c r="J44" s="1" t="str" cm="1">
        <f t="array" ref="J44">IFERROR(_xlfn.LET(_xlpm.result,RANK(_xlfn.XLOOKUP($A44,$A$2:$A$26,_xlfn.XLOOKUP(J$29,$B$1:$L$1,$B$2:$L$26)),$B$2:$L$26),IF(_xlpm.result&gt;150,"",_xlpm.result)),"")</f>
        <v/>
      </c>
      <c r="K44" s="1" t="str" cm="1">
        <f t="array" ref="K44">IFERROR(_xlfn.LET(_xlpm.result,RANK(_xlfn.XLOOKUP($A44,$A$2:$A$26,_xlfn.XLOOKUP(K$29,$B$1:$L$1,$B$2:$L$26)),$B$2:$L$26),IF(_xlpm.result&gt;150,"",_xlpm.result)),"")</f>
        <v/>
      </c>
      <c r="L44" s="1" t="str" cm="1">
        <f t="array" ref="L44">IFERROR(_xlfn.LET(_xlpm.result,RANK(_xlfn.XLOOKUP($A44,$A$2:$A$26,_xlfn.XLOOKUP(L$29,$B$1:$L$1,$B$2:$L$26)),$B$2:$L$26),IF(_xlpm.result&gt;150,"",_xlpm.result)),"")</f>
        <v/>
      </c>
      <c r="M44">
        <f t="shared" si="0"/>
        <v>2</v>
      </c>
      <c r="N44" s="10">
        <f t="shared" si="1"/>
        <v>107</v>
      </c>
      <c r="O44">
        <v>8</v>
      </c>
    </row>
    <row r="45" spans="1:15" x14ac:dyDescent="0.25">
      <c r="A45" t="s">
        <v>41</v>
      </c>
      <c r="B45" s="1" t="str" cm="1">
        <f t="array" ref="B45">IFERROR(_xlfn.LET(_xlpm.result,RANK(_xlfn.XLOOKUP($A45,$A$2:$A$26,_xlfn.XLOOKUP(B$29,$B$1:$L$1,$B$2:$L$26)),$B$2:$L$26),IF(_xlpm.result&gt;150,"",_xlpm.result)),"")</f>
        <v/>
      </c>
      <c r="C45" s="1" t="str" cm="1">
        <f t="array" ref="C45">IFERROR(_xlfn.LET(_xlpm.result,RANK(_xlfn.XLOOKUP($A45,$A$2:$A$26,_xlfn.XLOOKUP(C$29,$B$1:$L$1,$B$2:$L$26)),$B$2:$L$26),IF(_xlpm.result&gt;150,"",_xlpm.result)),"")</f>
        <v/>
      </c>
      <c r="D45" s="1" t="str" cm="1">
        <f t="array" ref="D45">IFERROR(_xlfn.LET(_xlpm.result,RANK(_xlfn.XLOOKUP($A45,$A$2:$A$26,_xlfn.XLOOKUP(D$29,$B$1:$L$1,$B$2:$L$26)),$B$2:$L$26),IF(_xlpm.result&gt;150,"",_xlpm.result)),"")</f>
        <v/>
      </c>
      <c r="E45" s="1" cm="1">
        <f t="array" ref="E45">IFERROR(_xlfn.LET(_xlpm.result,RANK(_xlfn.XLOOKUP($A45,$A$2:$A$26,_xlfn.XLOOKUP(E$29,$B$1:$L$1,$B$2:$L$26)),$B$2:$L$26),IF(_xlpm.result&gt;150,"",_xlpm.result)),"")</f>
        <v>107</v>
      </c>
      <c r="F45" s="1" t="str" cm="1">
        <f t="array" ref="F45">IFERROR(_xlfn.LET(_xlpm.result,RANK(_xlfn.XLOOKUP($A45,$A$2:$A$26,_xlfn.XLOOKUP(F$29,$B$1:$L$1,$B$2:$L$26)),$B$2:$L$26),IF(_xlpm.result&gt;150,"",_xlpm.result)),"")</f>
        <v/>
      </c>
      <c r="G45" s="1" cm="1">
        <f t="array" ref="G45">IFERROR(_xlfn.LET(_xlpm.result,RANK(_xlfn.XLOOKUP($A45,$A$2:$A$26,_xlfn.XLOOKUP(G$29,$B$1:$L$1,$B$2:$L$26)),$B$2:$L$26),IF(_xlpm.result&gt;150,"",_xlpm.result)),"")</f>
        <v>140</v>
      </c>
      <c r="H45" s="1" t="str" cm="1">
        <f t="array" ref="H45">IFERROR(_xlfn.LET(_xlpm.result,RANK(_xlfn.XLOOKUP($A45,$A$2:$A$26,_xlfn.XLOOKUP(H$29,$B$1:$L$1,$B$2:$L$26)),$B$2:$L$26),IF(_xlpm.result&gt;150,"",_xlpm.result)),"")</f>
        <v/>
      </c>
      <c r="I45" s="1" t="str" cm="1">
        <f t="array" ref="I45">IFERROR(_xlfn.LET(_xlpm.result,RANK(_xlfn.XLOOKUP($A45,$A$2:$A$26,_xlfn.XLOOKUP(I$29,$B$1:$L$1,$B$2:$L$26)),$B$2:$L$26),IF(_xlpm.result&gt;150,"",_xlpm.result)),"")</f>
        <v/>
      </c>
      <c r="J45" s="1" cm="1">
        <f t="array" ref="J45">IFERROR(_xlfn.LET(_xlpm.result,RANK(_xlfn.XLOOKUP($A45,$A$2:$A$26,_xlfn.XLOOKUP(J$29,$B$1:$L$1,$B$2:$L$26)),$B$2:$L$26),IF(_xlpm.result&gt;150,"",_xlpm.result)),"")</f>
        <v>106</v>
      </c>
      <c r="K45" s="1" cm="1">
        <f t="array" ref="K45">IFERROR(_xlfn.LET(_xlpm.result,RANK(_xlfn.XLOOKUP($A45,$A$2:$A$26,_xlfn.XLOOKUP(K$29,$B$1:$L$1,$B$2:$L$26)),$B$2:$L$26),IF(_xlpm.result&gt;150,"",_xlpm.result)),"")</f>
        <v>71</v>
      </c>
      <c r="L45" s="1" t="str" cm="1">
        <f t="array" ref="L45">IFERROR(_xlfn.LET(_xlpm.result,RANK(_xlfn.XLOOKUP($A45,$A$2:$A$26,_xlfn.XLOOKUP(L$29,$B$1:$L$1,$B$2:$L$26)),$B$2:$L$26),IF(_xlpm.result&gt;150,"",_xlpm.result)),"")</f>
        <v/>
      </c>
      <c r="M45">
        <f t="shared" si="0"/>
        <v>4</v>
      </c>
      <c r="N45" s="10">
        <f t="shared" si="1"/>
        <v>71</v>
      </c>
      <c r="O45">
        <v>7</v>
      </c>
    </row>
    <row r="46" spans="1:15" x14ac:dyDescent="0.25">
      <c r="A46" t="s">
        <v>42</v>
      </c>
      <c r="B46" s="1" t="str" cm="1">
        <f t="array" ref="B46">IFERROR(_xlfn.LET(_xlpm.result,RANK(_xlfn.XLOOKUP($A46,$A$2:$A$26,_xlfn.XLOOKUP(B$29,$B$1:$L$1,$B$2:$L$26)),$B$2:$L$26),IF(_xlpm.result&gt;150,"",_xlpm.result)),"")</f>
        <v/>
      </c>
      <c r="C46" s="1" cm="1">
        <f t="array" ref="C46">IFERROR(_xlfn.LET(_xlpm.result,RANK(_xlfn.XLOOKUP($A46,$A$2:$A$26,_xlfn.XLOOKUP(C$29,$B$1:$L$1,$B$2:$L$26)),$B$2:$L$26),IF(_xlpm.result&gt;150,"",_xlpm.result)),"")</f>
        <v>83</v>
      </c>
      <c r="D46" s="1" cm="1">
        <f t="array" ref="D46">IFERROR(_xlfn.LET(_xlpm.result,RANK(_xlfn.XLOOKUP($A46,$A$2:$A$26,_xlfn.XLOOKUP(D$29,$B$1:$L$1,$B$2:$L$26)),$B$2:$L$26),IF(_xlpm.result&gt;150,"",_xlpm.result)),"")</f>
        <v>66</v>
      </c>
      <c r="E46" s="1" t="str" cm="1">
        <f t="array" ref="E46">IFERROR(_xlfn.LET(_xlpm.result,RANK(_xlfn.XLOOKUP($A46,$A$2:$A$26,_xlfn.XLOOKUP(E$29,$B$1:$L$1,$B$2:$L$26)),$B$2:$L$26),IF(_xlpm.result&gt;150,"",_xlpm.result)),"")</f>
        <v/>
      </c>
      <c r="F46" s="1" t="str" cm="1">
        <f t="array" ref="F46">IFERROR(_xlfn.LET(_xlpm.result,RANK(_xlfn.XLOOKUP($A46,$A$2:$A$26,_xlfn.XLOOKUP(F$29,$B$1:$L$1,$B$2:$L$26)),$B$2:$L$26),IF(_xlpm.result&gt;150,"",_xlpm.result)),"")</f>
        <v/>
      </c>
      <c r="G46" s="1" cm="1">
        <f t="array" ref="G46">IFERROR(_xlfn.LET(_xlpm.result,RANK(_xlfn.XLOOKUP($A46,$A$2:$A$26,_xlfn.XLOOKUP(G$29,$B$1:$L$1,$B$2:$L$26)),$B$2:$L$26),IF(_xlpm.result&gt;150,"",_xlpm.result)),"")</f>
        <v>87</v>
      </c>
      <c r="H46" s="1" cm="1">
        <f t="array" ref="H46">IFERROR(_xlfn.LET(_xlpm.result,RANK(_xlfn.XLOOKUP($A46,$A$2:$A$26,_xlfn.XLOOKUP(H$29,$B$1:$L$1,$B$2:$L$26)),$B$2:$L$26),IF(_xlpm.result&gt;150,"",_xlpm.result)),"")</f>
        <v>107</v>
      </c>
      <c r="I46" s="1" cm="1">
        <f t="array" ref="I46">IFERROR(_xlfn.LET(_xlpm.result,RANK(_xlfn.XLOOKUP($A46,$A$2:$A$26,_xlfn.XLOOKUP(I$29,$B$1:$L$1,$B$2:$L$26)),$B$2:$L$26),IF(_xlpm.result&gt;150,"",_xlpm.result)),"")</f>
        <v>124</v>
      </c>
      <c r="J46" s="1" cm="1">
        <f t="array" ref="J46">IFERROR(_xlfn.LET(_xlpm.result,RANK(_xlfn.XLOOKUP($A46,$A$2:$A$26,_xlfn.XLOOKUP(J$29,$B$1:$L$1,$B$2:$L$26)),$B$2:$L$26),IF(_xlpm.result&gt;150,"",_xlpm.result)),"")</f>
        <v>66</v>
      </c>
      <c r="K46" s="1" cm="1">
        <f t="array" ref="K46">IFERROR(_xlfn.LET(_xlpm.result,RANK(_xlfn.XLOOKUP($A46,$A$2:$A$26,_xlfn.XLOOKUP(K$29,$B$1:$L$1,$B$2:$L$26)),$B$2:$L$26),IF(_xlpm.result&gt;150,"",_xlpm.result)),"")</f>
        <v>23</v>
      </c>
      <c r="L46" s="1" cm="1">
        <f t="array" ref="L46">IFERROR(_xlfn.LET(_xlpm.result,RANK(_xlfn.XLOOKUP($A46,$A$2:$A$26,_xlfn.XLOOKUP(L$29,$B$1:$L$1,$B$2:$L$26)),$B$2:$L$26),IF(_xlpm.result&gt;150,"",_xlpm.result)),"")</f>
        <v>115</v>
      </c>
      <c r="M46">
        <f t="shared" si="0"/>
        <v>8</v>
      </c>
      <c r="N46" s="10">
        <f t="shared" si="1"/>
        <v>23</v>
      </c>
      <c r="O46">
        <v>6</v>
      </c>
    </row>
    <row r="47" spans="1:15" x14ac:dyDescent="0.25">
      <c r="A47" t="s">
        <v>43</v>
      </c>
      <c r="B47" s="1" cm="1">
        <f t="array" ref="B47">IFERROR(_xlfn.LET(_xlpm.result,RANK(_xlfn.XLOOKUP($A47,$A$2:$A$26,_xlfn.XLOOKUP(B$29,$B$1:$L$1,$B$2:$L$26)),$B$2:$L$26),IF(_xlpm.result&gt;150,"",_xlpm.result)),"")</f>
        <v>121</v>
      </c>
      <c r="C47" s="1" cm="1">
        <f t="array" ref="C47">IFERROR(_xlfn.LET(_xlpm.result,RANK(_xlfn.XLOOKUP($A47,$A$2:$A$26,_xlfn.XLOOKUP(C$29,$B$1:$L$1,$B$2:$L$26)),$B$2:$L$26),IF(_xlpm.result&gt;150,"",_xlpm.result)),"")</f>
        <v>107</v>
      </c>
      <c r="D47" s="1" cm="1">
        <f t="array" ref="D47">IFERROR(_xlfn.LET(_xlpm.result,RANK(_xlfn.XLOOKUP($A47,$A$2:$A$26,_xlfn.XLOOKUP(D$29,$B$1:$L$1,$B$2:$L$26)),$B$2:$L$26),IF(_xlpm.result&gt;150,"",_xlpm.result)),"")</f>
        <v>124</v>
      </c>
      <c r="E47" s="1" t="str" cm="1">
        <f t="array" ref="E47">IFERROR(_xlfn.LET(_xlpm.result,RANK(_xlfn.XLOOKUP($A47,$A$2:$A$26,_xlfn.XLOOKUP(E$29,$B$1:$L$1,$B$2:$L$26)),$B$2:$L$26),IF(_xlpm.result&gt;150,"",_xlpm.result)),"")</f>
        <v/>
      </c>
      <c r="F47" s="1" t="str" cm="1">
        <f t="array" ref="F47">IFERROR(_xlfn.LET(_xlpm.result,RANK(_xlfn.XLOOKUP($A47,$A$2:$A$26,_xlfn.XLOOKUP(F$29,$B$1:$L$1,$B$2:$L$26)),$B$2:$L$26),IF(_xlpm.result&gt;150,"",_xlpm.result)),"")</f>
        <v/>
      </c>
      <c r="G47" s="1" t="str" cm="1">
        <f t="array" ref="G47">IFERROR(_xlfn.LET(_xlpm.result,RANK(_xlfn.XLOOKUP($A47,$A$2:$A$26,_xlfn.XLOOKUP(G$29,$B$1:$L$1,$B$2:$L$26)),$B$2:$L$26),IF(_xlpm.result&gt;150,"",_xlpm.result)),"")</f>
        <v/>
      </c>
      <c r="H47" s="1" cm="1">
        <f t="array" ref="H47">IFERROR(_xlfn.LET(_xlpm.result,RANK(_xlfn.XLOOKUP($A47,$A$2:$A$26,_xlfn.XLOOKUP(H$29,$B$1:$L$1,$B$2:$L$26)),$B$2:$L$26),IF(_xlpm.result&gt;150,"",_xlpm.result)),"")</f>
        <v>141</v>
      </c>
      <c r="I47" s="1" t="str" cm="1">
        <f t="array" ref="I47">IFERROR(_xlfn.LET(_xlpm.result,RANK(_xlfn.XLOOKUP($A47,$A$2:$A$26,_xlfn.XLOOKUP(I$29,$B$1:$L$1,$B$2:$L$26)),$B$2:$L$26),IF(_xlpm.result&gt;150,"",_xlpm.result)),"")</f>
        <v/>
      </c>
      <c r="J47" s="1" cm="1">
        <f t="array" ref="J47">IFERROR(_xlfn.LET(_xlpm.result,RANK(_xlfn.XLOOKUP($A47,$A$2:$A$26,_xlfn.XLOOKUP(J$29,$B$1:$L$1,$B$2:$L$26)),$B$2:$L$26),IF(_xlpm.result&gt;150,"",_xlpm.result)),"")</f>
        <v>111</v>
      </c>
      <c r="K47" s="1" t="str" cm="1">
        <f t="array" ref="K47">IFERROR(_xlfn.LET(_xlpm.result,RANK(_xlfn.XLOOKUP($A47,$A$2:$A$26,_xlfn.XLOOKUP(K$29,$B$1:$L$1,$B$2:$L$26)),$B$2:$L$26),IF(_xlpm.result&gt;150,"",_xlpm.result)),"")</f>
        <v/>
      </c>
      <c r="L47" s="1" t="str" cm="1">
        <f t="array" ref="L47">IFERROR(_xlfn.LET(_xlpm.result,RANK(_xlfn.XLOOKUP($A47,$A$2:$A$26,_xlfn.XLOOKUP(L$29,$B$1:$L$1,$B$2:$L$26)),$B$2:$L$26),IF(_xlpm.result&gt;150,"",_xlpm.result)),"")</f>
        <v/>
      </c>
      <c r="M47">
        <f t="shared" si="0"/>
        <v>5</v>
      </c>
      <c r="N47" s="10">
        <f t="shared" si="1"/>
        <v>107</v>
      </c>
      <c r="O47">
        <v>5</v>
      </c>
    </row>
    <row r="48" spans="1:15" x14ac:dyDescent="0.25">
      <c r="A48" t="s">
        <v>44</v>
      </c>
      <c r="B48" s="1" cm="1">
        <f t="array" ref="B48">IFERROR(_xlfn.LET(_xlpm.result,RANK(_xlfn.XLOOKUP($A48,$A$2:$A$26,_xlfn.XLOOKUP(B$29,$B$1:$L$1,$B$2:$L$26)),$B$2:$L$26),IF(_xlpm.result&gt;150,"",_xlpm.result)),"")</f>
        <v>65</v>
      </c>
      <c r="C48" s="1" cm="1">
        <f t="array" ref="C48">IFERROR(_xlfn.LET(_xlpm.result,RANK(_xlfn.XLOOKUP($A48,$A$2:$A$26,_xlfn.XLOOKUP(C$29,$B$1:$L$1,$B$2:$L$26)),$B$2:$L$26),IF(_xlpm.result&gt;150,"",_xlpm.result)),"")</f>
        <v>107</v>
      </c>
      <c r="D48" s="1" cm="1">
        <f t="array" ref="D48">IFERROR(_xlfn.LET(_xlpm.result,RANK(_xlfn.XLOOKUP($A48,$A$2:$A$26,_xlfn.XLOOKUP(D$29,$B$1:$L$1,$B$2:$L$26)),$B$2:$L$26),IF(_xlpm.result&gt;150,"",_xlpm.result)),"")</f>
        <v>117</v>
      </c>
      <c r="E48" s="1" cm="1">
        <f t="array" ref="E48">IFERROR(_xlfn.LET(_xlpm.result,RANK(_xlfn.XLOOKUP($A48,$A$2:$A$26,_xlfn.XLOOKUP(E$29,$B$1:$L$1,$B$2:$L$26)),$B$2:$L$26),IF(_xlpm.result&gt;150,"",_xlpm.result)),"")</f>
        <v>133</v>
      </c>
      <c r="F48" s="1" cm="1">
        <f t="array" ref="F48">IFERROR(_xlfn.LET(_xlpm.result,RANK(_xlfn.XLOOKUP($A48,$A$2:$A$26,_xlfn.XLOOKUP(F$29,$B$1:$L$1,$B$2:$L$26)),$B$2:$L$26),IF(_xlpm.result&gt;150,"",_xlpm.result)),"")</f>
        <v>70</v>
      </c>
      <c r="G48" s="1" cm="1">
        <f t="array" ref="G48">IFERROR(_xlfn.LET(_xlpm.result,RANK(_xlfn.XLOOKUP($A48,$A$2:$A$26,_xlfn.XLOOKUP(G$29,$B$1:$L$1,$B$2:$L$26)),$B$2:$L$26),IF(_xlpm.result&gt;150,"",_xlpm.result)),"")</f>
        <v>39</v>
      </c>
      <c r="H48" s="1" cm="1">
        <f t="array" ref="H48">IFERROR(_xlfn.LET(_xlpm.result,RANK(_xlfn.XLOOKUP($A48,$A$2:$A$26,_xlfn.XLOOKUP(H$29,$B$1:$L$1,$B$2:$L$26)),$B$2:$L$26),IF(_xlpm.result&gt;150,"",_xlpm.result)),"")</f>
        <v>58</v>
      </c>
      <c r="I48" s="1" cm="1">
        <f t="array" ref="I48">IFERROR(_xlfn.LET(_xlpm.result,RANK(_xlfn.XLOOKUP($A48,$A$2:$A$26,_xlfn.XLOOKUP(I$29,$B$1:$L$1,$B$2:$L$26)),$B$2:$L$26),IF(_xlpm.result&gt;150,"",_xlpm.result)),"")</f>
        <v>6</v>
      </c>
      <c r="J48" s="1" cm="1">
        <f t="array" ref="J48">IFERROR(_xlfn.LET(_xlpm.result,RANK(_xlfn.XLOOKUP($A48,$A$2:$A$26,_xlfn.XLOOKUP(J$29,$B$1:$L$1,$B$2:$L$26)),$B$2:$L$26),IF(_xlpm.result&gt;150,"",_xlpm.result)),"")</f>
        <v>81</v>
      </c>
      <c r="K48" s="1" cm="1">
        <f t="array" ref="K48">IFERROR(_xlfn.LET(_xlpm.result,RANK(_xlfn.XLOOKUP($A48,$A$2:$A$26,_xlfn.XLOOKUP(K$29,$B$1:$L$1,$B$2:$L$26)),$B$2:$L$26),IF(_xlpm.result&gt;150,"",_xlpm.result)),"")</f>
        <v>96</v>
      </c>
      <c r="L48" s="1" cm="1">
        <f t="array" ref="L48">IFERROR(_xlfn.LET(_xlpm.result,RANK(_xlfn.XLOOKUP($A48,$A$2:$A$26,_xlfn.XLOOKUP(L$29,$B$1:$L$1,$B$2:$L$26)),$B$2:$L$26),IF(_xlpm.result&gt;150,"",_xlpm.result)),"")</f>
        <v>81</v>
      </c>
      <c r="M48" s="16">
        <f t="shared" si="0"/>
        <v>11</v>
      </c>
      <c r="N48" s="19">
        <f t="shared" si="1"/>
        <v>6</v>
      </c>
      <c r="O48" s="16">
        <v>4</v>
      </c>
    </row>
    <row r="49" spans="1:15" x14ac:dyDescent="0.25">
      <c r="A49" t="s">
        <v>45</v>
      </c>
      <c r="B49" s="1" t="str" cm="1">
        <f t="array" ref="B49">IFERROR(_xlfn.LET(_xlpm.result,RANK(_xlfn.XLOOKUP($A49,$A$2:$A$26,_xlfn.XLOOKUP(B$29,$B$1:$L$1,$B$2:$L$26)),$B$2:$L$26),IF(_xlpm.result&gt;150,"",_xlpm.result)),"")</f>
        <v/>
      </c>
      <c r="C49" s="1" t="str" cm="1">
        <f t="array" ref="C49">IFERROR(_xlfn.LET(_xlpm.result,RANK(_xlfn.XLOOKUP($A49,$A$2:$A$26,_xlfn.XLOOKUP(C$29,$B$1:$L$1,$B$2:$L$26)),$B$2:$L$26),IF(_xlpm.result&gt;150,"",_xlpm.result)),"")</f>
        <v/>
      </c>
      <c r="D49" s="1" cm="1">
        <f t="array" ref="D49">IFERROR(_xlfn.LET(_xlpm.result,RANK(_xlfn.XLOOKUP($A49,$A$2:$A$26,_xlfn.XLOOKUP(D$29,$B$1:$L$1,$B$2:$L$26)),$B$2:$L$26),IF(_xlpm.result&gt;150,"",_xlpm.result)),"")</f>
        <v>112</v>
      </c>
      <c r="E49" s="1" cm="1">
        <f t="array" ref="E49">IFERROR(_xlfn.LET(_xlpm.result,RANK(_xlfn.XLOOKUP($A49,$A$2:$A$26,_xlfn.XLOOKUP(E$29,$B$1:$L$1,$B$2:$L$26)),$B$2:$L$26),IF(_xlpm.result&gt;150,"",_xlpm.result)),"")</f>
        <v>24</v>
      </c>
      <c r="F49" s="1" cm="1">
        <f t="array" ref="F49">IFERROR(_xlfn.LET(_xlpm.result,RANK(_xlfn.XLOOKUP($A49,$A$2:$A$26,_xlfn.XLOOKUP(F$29,$B$1:$L$1,$B$2:$L$26)),$B$2:$L$26),IF(_xlpm.result&gt;150,"",_xlpm.result)),"")</f>
        <v>75</v>
      </c>
      <c r="G49" s="1" cm="1">
        <f t="array" ref="G49">IFERROR(_xlfn.LET(_xlpm.result,RANK(_xlfn.XLOOKUP($A49,$A$2:$A$26,_xlfn.XLOOKUP(G$29,$B$1:$L$1,$B$2:$L$26)),$B$2:$L$26),IF(_xlpm.result&gt;150,"",_xlpm.result)),"")</f>
        <v>144</v>
      </c>
      <c r="H49" s="1" cm="1">
        <f t="array" ref="H49">IFERROR(_xlfn.LET(_xlpm.result,RANK(_xlfn.XLOOKUP($A49,$A$2:$A$26,_xlfn.XLOOKUP(H$29,$B$1:$L$1,$B$2:$L$26)),$B$2:$L$26),IF(_xlpm.result&gt;150,"",_xlpm.result)),"")</f>
        <v>133</v>
      </c>
      <c r="I49" s="1" cm="1">
        <f t="array" ref="I49">IFERROR(_xlfn.LET(_xlpm.result,RANK(_xlfn.XLOOKUP($A49,$A$2:$A$26,_xlfn.XLOOKUP(I$29,$B$1:$L$1,$B$2:$L$26)),$B$2:$L$26),IF(_xlpm.result&gt;150,"",_xlpm.result)),"")</f>
        <v>33</v>
      </c>
      <c r="J49" s="1" t="str" cm="1">
        <f t="array" ref="J49">IFERROR(_xlfn.LET(_xlpm.result,RANK(_xlfn.XLOOKUP($A49,$A$2:$A$26,_xlfn.XLOOKUP(J$29,$B$1:$L$1,$B$2:$L$26)),$B$2:$L$26),IF(_xlpm.result&gt;150,"",_xlpm.result)),"")</f>
        <v/>
      </c>
      <c r="K49" s="1" cm="1">
        <f t="array" ref="K49">IFERROR(_xlfn.LET(_xlpm.result,RANK(_xlfn.XLOOKUP($A49,$A$2:$A$26,_xlfn.XLOOKUP(K$29,$B$1:$L$1,$B$2:$L$26)),$B$2:$L$26),IF(_xlpm.result&gt;150,"",_xlpm.result)),"")</f>
        <v>27</v>
      </c>
      <c r="L49" s="1" cm="1">
        <f t="array" ref="L49">IFERROR(_xlfn.LET(_xlpm.result,RANK(_xlfn.XLOOKUP($A49,$A$2:$A$26,_xlfn.XLOOKUP(L$29,$B$1:$L$1,$B$2:$L$26)),$B$2:$L$26),IF(_xlpm.result&gt;150,"",_xlpm.result)),"")</f>
        <v>133</v>
      </c>
      <c r="M49">
        <f t="shared" si="0"/>
        <v>8</v>
      </c>
      <c r="N49" s="10">
        <f t="shared" si="1"/>
        <v>24</v>
      </c>
      <c r="O49">
        <v>3</v>
      </c>
    </row>
    <row r="50" spans="1:15" x14ac:dyDescent="0.25">
      <c r="A50" t="s">
        <v>46</v>
      </c>
      <c r="B50" s="1" cm="1">
        <f t="array" ref="B50">IFERROR(_xlfn.LET(_xlpm.result,RANK(_xlfn.XLOOKUP($A50,$A$2:$A$26,_xlfn.XLOOKUP(B$29,$B$1:$L$1,$B$2:$L$26)),$B$2:$L$26),IF(_xlpm.result&gt;150,"",_xlpm.result)),"")</f>
        <v>141</v>
      </c>
      <c r="C50" s="1" cm="1">
        <f t="array" ref="C50">IFERROR(_xlfn.LET(_xlpm.result,RANK(_xlfn.XLOOKUP($A50,$A$2:$A$26,_xlfn.XLOOKUP(C$29,$B$1:$L$1,$B$2:$L$26)),$B$2:$L$26),IF(_xlpm.result&gt;150,"",_xlpm.result)),"")</f>
        <v>133</v>
      </c>
      <c r="D50" s="1" t="str" cm="1">
        <f t="array" ref="D50">IFERROR(_xlfn.LET(_xlpm.result,RANK(_xlfn.XLOOKUP($A50,$A$2:$A$26,_xlfn.XLOOKUP(D$29,$B$1:$L$1,$B$2:$L$26)),$B$2:$L$26),IF(_xlpm.result&gt;150,"",_xlpm.result)),"")</f>
        <v/>
      </c>
      <c r="E50" s="1" cm="1">
        <f t="array" ref="E50">IFERROR(_xlfn.LET(_xlpm.result,RANK(_xlfn.XLOOKUP($A50,$A$2:$A$26,_xlfn.XLOOKUP(E$29,$B$1:$L$1,$B$2:$L$26)),$B$2:$L$26),IF(_xlpm.result&gt;150,"",_xlpm.result)),"")</f>
        <v>92</v>
      </c>
      <c r="F50" s="1" cm="1">
        <f t="array" ref="F50">IFERROR(_xlfn.LET(_xlpm.result,RANK(_xlfn.XLOOKUP($A50,$A$2:$A$26,_xlfn.XLOOKUP(F$29,$B$1:$L$1,$B$2:$L$26)),$B$2:$L$26),IF(_xlpm.result&gt;150,"",_xlpm.result)),"")</f>
        <v>50</v>
      </c>
      <c r="G50" s="1" cm="1">
        <f t="array" ref="G50">IFERROR(_xlfn.LET(_xlpm.result,RANK(_xlfn.XLOOKUP($A50,$A$2:$A$26,_xlfn.XLOOKUP(G$29,$B$1:$L$1,$B$2:$L$26)),$B$2:$L$26),IF(_xlpm.result&gt;150,"",_xlpm.result)),"")</f>
        <v>36</v>
      </c>
      <c r="H50" s="1" cm="1">
        <f t="array" ref="H50">IFERROR(_xlfn.LET(_xlpm.result,RANK(_xlfn.XLOOKUP($A50,$A$2:$A$26,_xlfn.XLOOKUP(H$29,$B$1:$L$1,$B$2:$L$26)),$B$2:$L$26),IF(_xlpm.result&gt;150,"",_xlpm.result)),"")</f>
        <v>107</v>
      </c>
      <c r="I50" s="1" cm="1">
        <f t="array" ref="I50">IFERROR(_xlfn.LET(_xlpm.result,RANK(_xlfn.XLOOKUP($A50,$A$2:$A$26,_xlfn.XLOOKUP(I$29,$B$1:$L$1,$B$2:$L$26)),$B$2:$L$26),IF(_xlpm.result&gt;150,"",_xlpm.result)),"")</f>
        <v>9</v>
      </c>
      <c r="J50" s="1" t="str" cm="1">
        <f t="array" ref="J50">IFERROR(_xlfn.LET(_xlpm.result,RANK(_xlfn.XLOOKUP($A50,$A$2:$A$26,_xlfn.XLOOKUP(J$29,$B$1:$L$1,$B$2:$L$26)),$B$2:$L$26),IF(_xlpm.result&gt;150,"",_xlpm.result)),"")</f>
        <v/>
      </c>
      <c r="K50" s="1" cm="1">
        <f t="array" ref="K50">IFERROR(_xlfn.LET(_xlpm.result,RANK(_xlfn.XLOOKUP($A50,$A$2:$A$26,_xlfn.XLOOKUP(K$29,$B$1:$L$1,$B$2:$L$26)),$B$2:$L$26),IF(_xlpm.result&gt;150,"",_xlpm.result)),"")</f>
        <v>92</v>
      </c>
      <c r="L50" s="1" cm="1">
        <f t="array" ref="L50">IFERROR(_xlfn.LET(_xlpm.result,RANK(_xlfn.XLOOKUP($A50,$A$2:$A$26,_xlfn.XLOOKUP(L$29,$B$1:$L$1,$B$2:$L$26)),$B$2:$L$26),IF(_xlpm.result&gt;150,"",_xlpm.result)),"")</f>
        <v>132</v>
      </c>
      <c r="M50">
        <f t="shared" si="0"/>
        <v>9</v>
      </c>
      <c r="N50" s="10">
        <f t="shared" si="1"/>
        <v>9</v>
      </c>
      <c r="O50">
        <v>2</v>
      </c>
    </row>
    <row r="51" spans="1:15" x14ac:dyDescent="0.25">
      <c r="A51" t="s">
        <v>47</v>
      </c>
      <c r="B51" s="1" cm="1">
        <f t="array" ref="B51">IFERROR(_xlfn.LET(_xlpm.result,RANK(_xlfn.XLOOKUP($A51,$A$2:$A$26,_xlfn.XLOOKUP(B$29,$B$1:$L$1,$B$2:$L$26)),$B$2:$L$26),IF(_xlpm.result&gt;150,"",_xlpm.result)),"")</f>
        <v>107</v>
      </c>
      <c r="C51" s="1" cm="1">
        <f t="array" ref="C51">IFERROR(_xlfn.LET(_xlpm.result,RANK(_xlfn.XLOOKUP($A51,$A$2:$A$26,_xlfn.XLOOKUP(C$29,$B$1:$L$1,$B$2:$L$26)),$B$2:$L$26),IF(_xlpm.result&gt;150,"",_xlpm.result)),"")</f>
        <v>131</v>
      </c>
      <c r="D51" s="1" cm="1">
        <f t="array" ref="D51">IFERROR(_xlfn.LET(_xlpm.result,RANK(_xlfn.XLOOKUP($A51,$A$2:$A$26,_xlfn.XLOOKUP(D$29,$B$1:$L$1,$B$2:$L$26)),$B$2:$L$26),IF(_xlpm.result&gt;150,"",_xlpm.result)),"")</f>
        <v>68</v>
      </c>
      <c r="E51" s="1" t="str" cm="1">
        <f t="array" ref="E51">IFERROR(_xlfn.LET(_xlpm.result,RANK(_xlfn.XLOOKUP($A51,$A$2:$A$26,_xlfn.XLOOKUP(E$29,$B$1:$L$1,$B$2:$L$26)),$B$2:$L$26),IF(_xlpm.result&gt;150,"",_xlpm.result)),"")</f>
        <v/>
      </c>
      <c r="F51" s="1" cm="1">
        <f t="array" ref="F51">IFERROR(_xlfn.LET(_xlpm.result,RANK(_xlfn.XLOOKUP($A51,$A$2:$A$26,_xlfn.XLOOKUP(F$29,$B$1:$L$1,$B$2:$L$26)),$B$2:$L$26),IF(_xlpm.result&gt;150,"",_xlpm.result)),"")</f>
        <v>3</v>
      </c>
      <c r="G51" s="1" cm="1">
        <f t="array" ref="G51">IFERROR(_xlfn.LET(_xlpm.result,RANK(_xlfn.XLOOKUP($A51,$A$2:$A$26,_xlfn.XLOOKUP(G$29,$B$1:$L$1,$B$2:$L$26)),$B$2:$L$26),IF(_xlpm.result&gt;150,"",_xlpm.result)),"")</f>
        <v>68</v>
      </c>
      <c r="H51" s="1" cm="1">
        <f t="array" ref="H51">IFERROR(_xlfn.LET(_xlpm.result,RANK(_xlfn.XLOOKUP($A51,$A$2:$A$26,_xlfn.XLOOKUP(H$29,$B$1:$L$1,$B$2:$L$26)),$B$2:$L$26),IF(_xlpm.result&gt;150,"",_xlpm.result)),"")</f>
        <v>59</v>
      </c>
      <c r="I51" s="1" t="str" cm="1">
        <f t="array" ref="I51">IFERROR(_xlfn.LET(_xlpm.result,RANK(_xlfn.XLOOKUP($A51,$A$2:$A$26,_xlfn.XLOOKUP(I$29,$B$1:$L$1,$B$2:$L$26)),$B$2:$L$26),IF(_xlpm.result&gt;150,"",_xlpm.result)),"")</f>
        <v/>
      </c>
      <c r="J51" s="1" t="str" cm="1">
        <f t="array" ref="J51">IFERROR(_xlfn.LET(_xlpm.result,RANK(_xlfn.XLOOKUP($A51,$A$2:$A$26,_xlfn.XLOOKUP(J$29,$B$1:$L$1,$B$2:$L$26)),$B$2:$L$26),IF(_xlpm.result&gt;150,"",_xlpm.result)),"")</f>
        <v/>
      </c>
      <c r="K51" s="1" cm="1">
        <f t="array" ref="K51">IFERROR(_xlfn.LET(_xlpm.result,RANK(_xlfn.XLOOKUP($A51,$A$2:$A$26,_xlfn.XLOOKUP(K$29,$B$1:$L$1,$B$2:$L$26)),$B$2:$L$26),IF(_xlpm.result&gt;150,"",_xlpm.result)),"")</f>
        <v>41</v>
      </c>
      <c r="L51" s="1" cm="1">
        <f t="array" ref="L51">IFERROR(_xlfn.LET(_xlpm.result,RANK(_xlfn.XLOOKUP($A51,$A$2:$A$26,_xlfn.XLOOKUP(L$29,$B$1:$L$1,$B$2:$L$26)),$B$2:$L$26),IF(_xlpm.result&gt;150,"",_xlpm.result)),"")</f>
        <v>86</v>
      </c>
      <c r="M51">
        <f t="shared" si="0"/>
        <v>8</v>
      </c>
      <c r="N51" s="10">
        <f t="shared" si="1"/>
        <v>3</v>
      </c>
      <c r="O51">
        <v>1</v>
      </c>
    </row>
    <row r="52" spans="1:15" x14ac:dyDescent="0.25">
      <c r="A52" t="s">
        <v>48</v>
      </c>
      <c r="B52" s="1" cm="1">
        <f t="array" ref="B52">IFERROR(_xlfn.LET(_xlpm.result,RANK(_xlfn.XLOOKUP($A52,$A$2:$A$26,_xlfn.XLOOKUP(B$29,$B$1:$L$1,$B$2:$L$26)),$B$2:$L$26),IF(_xlpm.result&gt;150,"",_xlpm.result)),"")</f>
        <v>11</v>
      </c>
      <c r="C52" s="1" cm="1">
        <f t="array" ref="C52">IFERROR(_xlfn.LET(_xlpm.result,RANK(_xlfn.XLOOKUP($A52,$A$2:$A$26,_xlfn.XLOOKUP(C$29,$B$1:$L$1,$B$2:$L$26)),$B$2:$L$26),IF(_xlpm.result&gt;150,"",_xlpm.result)),"")</f>
        <v>107</v>
      </c>
      <c r="D52" s="1" cm="1">
        <f t="array" ref="D52">IFERROR(_xlfn.LET(_xlpm.result,RANK(_xlfn.XLOOKUP($A52,$A$2:$A$26,_xlfn.XLOOKUP(D$29,$B$1:$L$1,$B$2:$L$26)),$B$2:$L$26),IF(_xlpm.result&gt;150,"",_xlpm.result)),"")</f>
        <v>80</v>
      </c>
      <c r="E52" s="1" cm="1">
        <f t="array" ref="E52">IFERROR(_xlfn.LET(_xlpm.result,RANK(_xlfn.XLOOKUP($A52,$A$2:$A$26,_xlfn.XLOOKUP(E$29,$B$1:$L$1,$B$2:$L$26)),$B$2:$L$26),IF(_xlpm.result&gt;150,"",_xlpm.result)),"")</f>
        <v>128</v>
      </c>
      <c r="F52" s="1" cm="1">
        <f t="array" ref="F52">IFERROR(_xlfn.LET(_xlpm.result,RANK(_xlfn.XLOOKUP($A52,$A$2:$A$26,_xlfn.XLOOKUP(F$29,$B$1:$L$1,$B$2:$L$26)),$B$2:$L$26),IF(_xlpm.result&gt;150,"",_xlpm.result)),"")</f>
        <v>150</v>
      </c>
      <c r="G52" s="1" cm="1">
        <f t="array" ref="G52">IFERROR(_xlfn.LET(_xlpm.result,RANK(_xlfn.XLOOKUP($A52,$A$2:$A$26,_xlfn.XLOOKUP(G$29,$B$1:$L$1,$B$2:$L$26)),$B$2:$L$26),IF(_xlpm.result&gt;150,"",_xlpm.result)),"")</f>
        <v>56</v>
      </c>
      <c r="H52" s="1" cm="1">
        <f t="array" ref="H52">IFERROR(_xlfn.LET(_xlpm.result,RANK(_xlfn.XLOOKUP($A52,$A$2:$A$26,_xlfn.XLOOKUP(H$29,$B$1:$L$1,$B$2:$L$26)),$B$2:$L$26),IF(_xlpm.result&gt;150,"",_xlpm.result)),"")</f>
        <v>11</v>
      </c>
      <c r="I52" s="1" cm="1">
        <f t="array" ref="I52">IFERROR(_xlfn.LET(_xlpm.result,RANK(_xlfn.XLOOKUP($A52,$A$2:$A$26,_xlfn.XLOOKUP(I$29,$B$1:$L$1,$B$2:$L$26)),$B$2:$L$26),IF(_xlpm.result&gt;150,"",_xlpm.result)),"")</f>
        <v>51</v>
      </c>
      <c r="J52" s="1" cm="1">
        <f t="array" ref="J52">IFERROR(_xlfn.LET(_xlpm.result,RANK(_xlfn.XLOOKUP($A52,$A$2:$A$26,_xlfn.XLOOKUP(J$29,$B$1:$L$1,$B$2:$L$26)),$B$2:$L$26),IF(_xlpm.result&gt;150,"",_xlpm.result)),"")</f>
        <v>34</v>
      </c>
      <c r="K52" s="1" cm="1">
        <f t="array" ref="K52">IFERROR(_xlfn.LET(_xlpm.result,RANK(_xlfn.XLOOKUP($A52,$A$2:$A$26,_xlfn.XLOOKUP(K$29,$B$1:$L$1,$B$2:$L$26)),$B$2:$L$26),IF(_xlpm.result&gt;150,"",_xlpm.result)),"")</f>
        <v>26</v>
      </c>
      <c r="L52" s="1" cm="1">
        <f t="array" ref="L52">IFERROR(_xlfn.LET(_xlpm.result,RANK(_xlfn.XLOOKUP($A52,$A$2:$A$26,_xlfn.XLOOKUP(L$29,$B$1:$L$1,$B$2:$L$26)),$B$2:$L$26),IF(_xlpm.result&gt;150,"",_xlpm.result)),"")</f>
        <v>34</v>
      </c>
      <c r="M52">
        <f t="shared" si="0"/>
        <v>11</v>
      </c>
      <c r="N52" s="10">
        <f t="shared" si="1"/>
        <v>11</v>
      </c>
    </row>
    <row r="53" spans="1:15" x14ac:dyDescent="0.25">
      <c r="A53" t="s">
        <v>49</v>
      </c>
      <c r="B53" s="1" t="str" cm="1">
        <f t="array" ref="B53">IFERROR(_xlfn.LET(_xlpm.result,RANK(_xlfn.XLOOKUP($A53,$A$2:$A$26,_xlfn.XLOOKUP(B$29,$B$1:$L$1,$B$2:$L$26)),$B$2:$L$26),IF(_xlpm.result&gt;150,"",_xlpm.result)),"")</f>
        <v/>
      </c>
      <c r="C53" s="1" t="str" cm="1">
        <f t="array" ref="C53">IFERROR(_xlfn.LET(_xlpm.result,RANK(_xlfn.XLOOKUP($A53,$A$2:$A$26,_xlfn.XLOOKUP(C$29,$B$1:$L$1,$B$2:$L$26)),$B$2:$L$26),IF(_xlpm.result&gt;150,"",_xlpm.result)),"")</f>
        <v/>
      </c>
      <c r="D53" s="1" cm="1">
        <f t="array" ref="D53">IFERROR(_xlfn.LET(_xlpm.result,RANK(_xlfn.XLOOKUP($A53,$A$2:$A$26,_xlfn.XLOOKUP(D$29,$B$1:$L$1,$B$2:$L$26)),$B$2:$L$26),IF(_xlpm.result&gt;150,"",_xlpm.result)),"")</f>
        <v>107</v>
      </c>
      <c r="E53" s="1" t="str" cm="1">
        <f t="array" ref="E53">IFERROR(_xlfn.LET(_xlpm.result,RANK(_xlfn.XLOOKUP($A53,$A$2:$A$26,_xlfn.XLOOKUP(E$29,$B$1:$L$1,$B$2:$L$26)),$B$2:$L$26),IF(_xlpm.result&gt;150,"",_xlpm.result)),"")</f>
        <v/>
      </c>
      <c r="F53" s="1" t="str" cm="1">
        <f t="array" ref="F53">IFERROR(_xlfn.LET(_xlpm.result,RANK(_xlfn.XLOOKUP($A53,$A$2:$A$26,_xlfn.XLOOKUP(F$29,$B$1:$L$1,$B$2:$L$26)),$B$2:$L$26),IF(_xlpm.result&gt;150,"",_xlpm.result)),"")</f>
        <v/>
      </c>
      <c r="G53" s="1" t="str" cm="1">
        <f t="array" ref="G53">IFERROR(_xlfn.LET(_xlpm.result,RANK(_xlfn.XLOOKUP($A53,$A$2:$A$26,_xlfn.XLOOKUP(G$29,$B$1:$L$1,$B$2:$L$26)),$B$2:$L$26),IF(_xlpm.result&gt;150,"",_xlpm.result)),"")</f>
        <v/>
      </c>
      <c r="H53" s="1" t="str" cm="1">
        <f t="array" ref="H53">IFERROR(_xlfn.LET(_xlpm.result,RANK(_xlfn.XLOOKUP($A53,$A$2:$A$26,_xlfn.XLOOKUP(H$29,$B$1:$L$1,$B$2:$L$26)),$B$2:$L$26),IF(_xlpm.result&gt;150,"",_xlpm.result)),"")</f>
        <v/>
      </c>
      <c r="I53" s="1" t="str" cm="1">
        <f t="array" ref="I53">IFERROR(_xlfn.LET(_xlpm.result,RANK(_xlfn.XLOOKUP($A53,$A$2:$A$26,_xlfn.XLOOKUP(I$29,$B$1:$L$1,$B$2:$L$26)),$B$2:$L$26),IF(_xlpm.result&gt;150,"",_xlpm.result)),"")</f>
        <v/>
      </c>
      <c r="J53" s="1" t="str" cm="1">
        <f t="array" ref="J53">IFERROR(_xlfn.LET(_xlpm.result,RANK(_xlfn.XLOOKUP($A53,$A$2:$A$26,_xlfn.XLOOKUP(J$29,$B$1:$L$1,$B$2:$L$26)),$B$2:$L$26),IF(_xlpm.result&gt;150,"",_xlpm.result)),"")</f>
        <v/>
      </c>
      <c r="K53" s="1" cm="1">
        <f t="array" ref="K53">IFERROR(_xlfn.LET(_xlpm.result,RANK(_xlfn.XLOOKUP($A53,$A$2:$A$26,_xlfn.XLOOKUP(K$29,$B$1:$L$1,$B$2:$L$26)),$B$2:$L$26),IF(_xlpm.result&gt;150,"",_xlpm.result)),"")</f>
        <v>146</v>
      </c>
      <c r="L53" s="1" t="str" cm="1">
        <f t="array" ref="L53">IFERROR(_xlfn.LET(_xlpm.result,RANK(_xlfn.XLOOKUP($A53,$A$2:$A$26,_xlfn.XLOOKUP(L$29,$B$1:$L$1,$B$2:$L$26)),$B$2:$L$26),IF(_xlpm.result&gt;150,"",_xlpm.result)),"")</f>
        <v/>
      </c>
      <c r="M53">
        <f t="shared" si="0"/>
        <v>2</v>
      </c>
      <c r="N53" s="10">
        <f t="shared" si="1"/>
        <v>107</v>
      </c>
    </row>
    <row r="54" spans="1:15" x14ac:dyDescent="0.25">
      <c r="A54" t="s">
        <v>50</v>
      </c>
      <c r="B54" s="1" t="str" cm="1">
        <f t="array" ref="B54">IFERROR(_xlfn.LET(_xlpm.result,RANK(_xlfn.XLOOKUP($A54,$A$2:$A$26,_xlfn.XLOOKUP(B$29,$B$1:$L$1,$B$2:$L$26)),$B$2:$L$26),IF(_xlpm.result&gt;150,"",_xlpm.result)),"")</f>
        <v/>
      </c>
      <c r="C54" s="1" cm="1">
        <f t="array" ref="C54">IFERROR(_xlfn.LET(_xlpm.result,RANK(_xlfn.XLOOKUP($A54,$A$2:$A$26,_xlfn.XLOOKUP(C$29,$B$1:$L$1,$B$2:$L$26)),$B$2:$L$26),IF(_xlpm.result&gt;150,"",_xlpm.result)),"")</f>
        <v>87</v>
      </c>
      <c r="D54" s="1" t="str" cm="1">
        <f t="array" ref="D54">IFERROR(_xlfn.LET(_xlpm.result,RANK(_xlfn.XLOOKUP($A54,$A$2:$A$26,_xlfn.XLOOKUP(D$29,$B$1:$L$1,$B$2:$L$26)),$B$2:$L$26),IF(_xlpm.result&gt;150,"",_xlpm.result)),"")</f>
        <v/>
      </c>
      <c r="E54" s="1" cm="1">
        <f t="array" ref="E54">IFERROR(_xlfn.LET(_xlpm.result,RANK(_xlfn.XLOOKUP($A54,$A$2:$A$26,_xlfn.XLOOKUP(E$29,$B$1:$L$1,$B$2:$L$26)),$B$2:$L$26),IF(_xlpm.result&gt;150,"",_xlpm.result)),"")</f>
        <v>20</v>
      </c>
      <c r="F54" s="1" cm="1">
        <f t="array" ref="F54">IFERROR(_xlfn.LET(_xlpm.result,RANK(_xlfn.XLOOKUP($A54,$A$2:$A$26,_xlfn.XLOOKUP(F$29,$B$1:$L$1,$B$2:$L$26)),$B$2:$L$26),IF(_xlpm.result&gt;150,"",_xlpm.result)),"")</f>
        <v>107</v>
      </c>
      <c r="G54" s="1" cm="1">
        <f t="array" ref="G54">IFERROR(_xlfn.LET(_xlpm.result,RANK(_xlfn.XLOOKUP($A54,$A$2:$A$26,_xlfn.XLOOKUP(G$29,$B$1:$L$1,$B$2:$L$26)),$B$2:$L$26),IF(_xlpm.result&gt;150,"",_xlpm.result)),"")</f>
        <v>102</v>
      </c>
      <c r="H54" s="1" cm="1">
        <f t="array" ref="H54">IFERROR(_xlfn.LET(_xlpm.result,RANK(_xlfn.XLOOKUP($A54,$A$2:$A$26,_xlfn.XLOOKUP(H$29,$B$1:$L$1,$B$2:$L$26)),$B$2:$L$26),IF(_xlpm.result&gt;150,"",_xlpm.result)),"")</f>
        <v>51</v>
      </c>
      <c r="I54" s="1" cm="1">
        <f t="array" ref="I54">IFERROR(_xlfn.LET(_xlpm.result,RANK(_xlfn.XLOOKUP($A54,$A$2:$A$26,_xlfn.XLOOKUP(I$29,$B$1:$L$1,$B$2:$L$26)),$B$2:$L$26),IF(_xlpm.result&gt;150,"",_xlpm.result)),"")</f>
        <v>92</v>
      </c>
      <c r="J54" s="1" cm="1">
        <f t="array" ref="J54">IFERROR(_xlfn.LET(_xlpm.result,RANK(_xlfn.XLOOKUP($A54,$A$2:$A$26,_xlfn.XLOOKUP(J$29,$B$1:$L$1,$B$2:$L$26)),$B$2:$L$26),IF(_xlpm.result&gt;150,"",_xlpm.result)),"")</f>
        <v>137</v>
      </c>
      <c r="K54" s="1" cm="1">
        <f t="array" ref="K54">IFERROR(_xlfn.LET(_xlpm.result,RANK(_xlfn.XLOOKUP($A54,$A$2:$A$26,_xlfn.XLOOKUP(K$29,$B$1:$L$1,$B$2:$L$26)),$B$2:$L$26),IF(_xlpm.result&gt;150,"",_xlpm.result)),"")</f>
        <v>98</v>
      </c>
      <c r="L54" s="1" cm="1">
        <f t="array" ref="L54">IFERROR(_xlfn.LET(_xlpm.result,RANK(_xlfn.XLOOKUP($A54,$A$2:$A$26,_xlfn.XLOOKUP(L$29,$B$1:$L$1,$B$2:$L$26)),$B$2:$L$26),IF(_xlpm.result&gt;150,"",_xlpm.result)),"")</f>
        <v>137</v>
      </c>
      <c r="M54">
        <f t="shared" si="0"/>
        <v>9</v>
      </c>
      <c r="N54" s="10">
        <f t="shared" si="1"/>
        <v>20</v>
      </c>
    </row>
    <row r="55" spans="1:15" x14ac:dyDescent="0.25">
      <c r="B55" s="1" t="str" cm="1">
        <f t="array" ref="B55">IFERROR(_xlfn.LET(_xlpm.result,RANK(_xlfn.XLOOKUP($A55,$A$2:$A$26,_xlfn.XLOOKUP(B$29,$B$1:$L$1,$B$2:$L$26)),$B$2:$L$26),IF(_xlpm.result&gt;150,"",_xlpm.result)),"")</f>
        <v/>
      </c>
      <c r="C55" s="1" t="str" cm="1">
        <f t="array" ref="C55">IFERROR(_xlfn.LET(_xlpm.result,RANK(_xlfn.XLOOKUP($A55,$A$2:$A$26,_xlfn.XLOOKUP(C$29,$B$1:$L$1,$B$2:$L$26)),$B$2:$L$26),IF(_xlpm.result&gt;150,"",_xlpm.result)),"")</f>
        <v/>
      </c>
      <c r="D55" s="1" t="str" cm="1">
        <f t="array" ref="D55">IFERROR(_xlfn.LET(_xlpm.result,RANK(_xlfn.XLOOKUP($A55,$A$2:$A$26,_xlfn.XLOOKUP(D$29,$B$1:$L$1,$B$2:$L$26)),$B$2:$L$26),IF(_xlpm.result&gt;150,"",_xlpm.result)),"")</f>
        <v/>
      </c>
      <c r="E55" s="1" t="str" cm="1">
        <f t="array" ref="E55">IFERROR(_xlfn.LET(_xlpm.result,RANK(_xlfn.XLOOKUP($A55,$A$2:$A$26,_xlfn.XLOOKUP(E$29,$B$1:$L$1,$B$2:$L$26)),$B$2:$L$26),IF(_xlpm.result&gt;150,"",_xlpm.result)),"")</f>
        <v/>
      </c>
      <c r="F55" s="1" t="str" cm="1">
        <f t="array" ref="F55">IFERROR(_xlfn.LET(_xlpm.result,RANK(_xlfn.XLOOKUP($A55,$A$2:$A$26,_xlfn.XLOOKUP(F$29,$B$1:$L$1,$B$2:$L$26)),$B$2:$L$26),IF(_xlpm.result&gt;150,"",_xlpm.result)),"")</f>
        <v/>
      </c>
      <c r="G55" s="1" t="str" cm="1">
        <f t="array" ref="G55">IFERROR(_xlfn.LET(_xlpm.result,RANK(_xlfn.XLOOKUP($A55,$A$2:$A$26,_xlfn.XLOOKUP(G$29,$B$1:$L$1,$B$2:$L$26)),$B$2:$L$26),IF(_xlpm.result&gt;150,"",_xlpm.result)),"")</f>
        <v/>
      </c>
      <c r="H55" s="1" t="str" cm="1">
        <f t="array" ref="H55">IFERROR(_xlfn.LET(_xlpm.result,RANK(_xlfn.XLOOKUP($A55,$A$2:$A$26,_xlfn.XLOOKUP(H$29,$B$1:$L$1,$B$2:$L$26)),$B$2:$L$26),IF(_xlpm.result&gt;150,"",_xlpm.result)),"")</f>
        <v/>
      </c>
      <c r="I55" s="1" t="str" cm="1">
        <f t="array" ref="I55">IFERROR(_xlfn.LET(_xlpm.result,RANK(_xlfn.XLOOKUP($A55,$A$2:$A$26,_xlfn.XLOOKUP(I$29,$B$1:$L$1,$B$2:$L$26)),$B$2:$L$26),IF(_xlpm.result&gt;150,"",_xlpm.result)),"")</f>
        <v/>
      </c>
      <c r="J55" s="1" t="str" cm="1">
        <f t="array" ref="J55">IFERROR(_xlfn.LET(_xlpm.result,RANK(_xlfn.XLOOKUP($A55,$A$2:$A$26,_xlfn.XLOOKUP(J$29,$B$1:$L$1,$B$2:$L$26)),$B$2:$L$26),IF(_xlpm.result&gt;150,"",_xlpm.result)),"")</f>
        <v/>
      </c>
      <c r="K55" s="1" t="str" cm="1">
        <f t="array" ref="K55">IFERROR(_xlfn.LET(_xlpm.result,RANK(_xlfn.XLOOKUP($A55,$A$2:$A$26,_xlfn.XLOOKUP(K$29,$B$1:$L$1,$B$2:$L$26)),$B$2:$L$26),IF(_xlpm.result&gt;150,"",_xlpm.result)),"")</f>
        <v/>
      </c>
      <c r="L55" s="1" t="str" cm="1">
        <f t="array" ref="L55">IFERROR(_xlfn.LET(_xlpm.result,RANK(_xlfn.XLOOKUP($A55,$A$2:$A$26,_xlfn.XLOOKUP(L$29,$B$1:$L$1,$B$2:$L$26)),$B$2:$L$26),IF(_xlpm.result&gt;150,"",_xlpm.result)),"")</f>
        <v/>
      </c>
      <c r="N55" s="10"/>
    </row>
    <row r="56" spans="1:15" s="24" customFormat="1" x14ac:dyDescent="0.25"/>
    <row r="57" spans="1:15" x14ac:dyDescent="0.25">
      <c r="B57" s="1">
        <f t="shared" ref="B57:L57" si="2">MAX(B58:B83)</f>
        <v>86</v>
      </c>
      <c r="C57" s="1">
        <f t="shared" si="2"/>
        <v>99</v>
      </c>
      <c r="D57" s="1">
        <f t="shared" si="2"/>
        <v>78</v>
      </c>
      <c r="E57" s="1">
        <f t="shared" si="2"/>
        <v>80</v>
      </c>
      <c r="F57" s="1">
        <f t="shared" si="2"/>
        <v>101</v>
      </c>
      <c r="G57" s="1">
        <f t="shared" si="2"/>
        <v>82</v>
      </c>
      <c r="H57" s="1">
        <f t="shared" si="2"/>
        <v>89</v>
      </c>
      <c r="I57" s="1">
        <f t="shared" si="2"/>
        <v>96</v>
      </c>
      <c r="J57" s="1">
        <f t="shared" si="2"/>
        <v>168</v>
      </c>
      <c r="K57" s="1">
        <f t="shared" si="2"/>
        <v>68.999999999999901</v>
      </c>
      <c r="L57" s="1">
        <f t="shared" si="2"/>
        <v>135</v>
      </c>
    </row>
    <row r="58" spans="1:15" x14ac:dyDescent="0.25">
      <c r="A58" t="s">
        <v>0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13</v>
      </c>
      <c r="H58" t="s">
        <v>14</v>
      </c>
      <c r="I58" t="s">
        <v>15</v>
      </c>
      <c r="J58" t="s">
        <v>16</v>
      </c>
      <c r="K58" t="s">
        <v>17</v>
      </c>
      <c r="L58" t="s">
        <v>18</v>
      </c>
      <c r="M58" t="s">
        <v>54</v>
      </c>
    </row>
    <row r="59" spans="1:15" x14ac:dyDescent="0.25">
      <c r="A59" t="s">
        <v>39</v>
      </c>
      <c r="B59" s="1" t="str" cm="1">
        <f t="array" ref="B59">_xlfn.LET(_xlpm.result,10*_xlfn.XLOOKUP($A59,$A$2:$A$26,_xlfn.XLOOKUP(B$29,$B$1:$L$1,$B$2:$L$26)),IF(_xlpm.result&lt;0,"",_xlpm.result))</f>
        <v/>
      </c>
      <c r="C59" s="1" t="str" cm="1">
        <f t="array" ref="C59">_xlfn.LET(_xlpm.result,10*_xlfn.XLOOKUP($A59,$A$2:$A$26,_xlfn.XLOOKUP(C$29,$B$1:$L$1,$B$2:$L$26)),IF(_xlpm.result&lt;0,"",_xlpm.result))</f>
        <v/>
      </c>
      <c r="D59" s="1" t="str" cm="1">
        <f t="array" ref="D59">_xlfn.LET(_xlpm.result,10*_xlfn.XLOOKUP($A59,$A$2:$A$26,_xlfn.XLOOKUP(D$29,$B$1:$L$1,$B$2:$L$26)),IF(_xlpm.result&lt;0,"",_xlpm.result))</f>
        <v/>
      </c>
      <c r="E59" s="1" cm="1">
        <f t="array" ref="E59">_xlfn.LET(_xlpm.result,10*_xlfn.XLOOKUP($A59,$A$2:$A$26,_xlfn.XLOOKUP(E$29,$B$1:$L$1,$B$2:$L$26)),IF(_xlpm.result&lt;0,"",_xlpm.result))</f>
        <v>0</v>
      </c>
      <c r="F59" s="1" t="str" cm="1">
        <f t="array" ref="F59">_xlfn.LET(_xlpm.result,10*_xlfn.XLOOKUP($A59,$A$2:$A$26,_xlfn.XLOOKUP(F$29,$B$1:$L$1,$B$2:$L$26)),IF(_xlpm.result&lt;0,"",_xlpm.result))</f>
        <v/>
      </c>
      <c r="G59" s="1" t="str" cm="1">
        <f t="array" ref="G59">_xlfn.LET(_xlpm.result,10*_xlfn.XLOOKUP($A59,$A$2:$A$26,_xlfn.XLOOKUP(G$29,$B$1:$L$1,$B$2:$L$26)),IF(_xlpm.result&lt;0,"",_xlpm.result))</f>
        <v/>
      </c>
      <c r="H59" s="1" t="str" cm="1">
        <f t="array" ref="H59">_xlfn.LET(_xlpm.result,10*_xlfn.XLOOKUP($A59,$A$2:$A$26,_xlfn.XLOOKUP(H$29,$B$1:$L$1,$B$2:$L$26)),IF(_xlpm.result&lt;0,"",_xlpm.result))</f>
        <v/>
      </c>
      <c r="I59" s="1" t="str" cm="1">
        <f t="array" ref="I59">_xlfn.LET(_xlpm.result,10*_xlfn.XLOOKUP($A59,$A$2:$A$26,_xlfn.XLOOKUP(I$29,$B$1:$L$1,$B$2:$L$26)),IF(_xlpm.result&lt;0,"",_xlpm.result))</f>
        <v/>
      </c>
      <c r="J59" s="1" t="str" cm="1">
        <f t="array" ref="J59">_xlfn.LET(_xlpm.result,10*_xlfn.XLOOKUP($A59,$A$2:$A$26,_xlfn.XLOOKUP(J$29,$B$1:$L$1,$B$2:$L$26)),IF(_xlpm.result&lt;0,"",_xlpm.result))</f>
        <v/>
      </c>
      <c r="K59" s="1" t="str" cm="1">
        <f t="array" ref="K59">_xlfn.LET(_xlpm.result,10*_xlfn.XLOOKUP($A59,$A$2:$A$26,_xlfn.XLOOKUP(K$29,$B$1:$L$1,$B$2:$L$26)),IF(_xlpm.result&lt;0,"",_xlpm.result))</f>
        <v/>
      </c>
      <c r="L59" s="1" t="str" cm="1">
        <f t="array" ref="L59">_xlfn.LET(_xlpm.result,10*_xlfn.XLOOKUP($A59,$A$2:$A$26,_xlfn.XLOOKUP(L$29,$B$1:$L$1,$B$2:$L$26)),IF(_xlpm.result&lt;0,"",_xlpm.result))</f>
        <v/>
      </c>
      <c r="M59" s="10">
        <f t="shared" ref="M59:M83" si="3">MAX(B59:L59)</f>
        <v>0</v>
      </c>
    </row>
    <row r="60" spans="1:15" x14ac:dyDescent="0.25">
      <c r="A60" t="s">
        <v>43</v>
      </c>
      <c r="B60" s="1" t="str" cm="1">
        <f t="array" ref="B60">_xlfn.LET(_xlpm.result,10*_xlfn.XLOOKUP($A60,$A$2:$A$26,_xlfn.XLOOKUP(B$29,$B$1:$L$1,$B$2:$L$26)),IF(_xlpm.result&lt;0,"",_xlpm.result))</f>
        <v/>
      </c>
      <c r="C60" s="1" cm="1">
        <f t="array" ref="C60">_xlfn.LET(_xlpm.result,10*_xlfn.XLOOKUP($A60,$A$2:$A$26,_xlfn.XLOOKUP(C$29,$B$1:$L$1,$B$2:$L$26)),IF(_xlpm.result&lt;0,"",_xlpm.result))</f>
        <v>0</v>
      </c>
      <c r="D60" s="1" t="str" cm="1">
        <f t="array" ref="D60">_xlfn.LET(_xlpm.result,10*_xlfn.XLOOKUP($A60,$A$2:$A$26,_xlfn.XLOOKUP(D$29,$B$1:$L$1,$B$2:$L$26)),IF(_xlpm.result&lt;0,"",_xlpm.result))</f>
        <v/>
      </c>
      <c r="E60" s="1" t="str" cm="1">
        <f t="array" ref="E60">_xlfn.LET(_xlpm.result,10*_xlfn.XLOOKUP($A60,$A$2:$A$26,_xlfn.XLOOKUP(E$29,$B$1:$L$1,$B$2:$L$26)),IF(_xlpm.result&lt;0,"",_xlpm.result))</f>
        <v/>
      </c>
      <c r="F60" s="1" t="str" cm="1">
        <f t="array" ref="F60">_xlfn.LET(_xlpm.result,10*_xlfn.XLOOKUP($A60,$A$2:$A$26,_xlfn.XLOOKUP(F$29,$B$1:$L$1,$B$2:$L$26)),IF(_xlpm.result&lt;0,"",_xlpm.result))</f>
        <v/>
      </c>
      <c r="G60" s="1" t="str" cm="1">
        <f t="array" ref="G60">_xlfn.LET(_xlpm.result,10*_xlfn.XLOOKUP($A60,$A$2:$A$26,_xlfn.XLOOKUP(G$29,$B$1:$L$1,$B$2:$L$26)),IF(_xlpm.result&lt;0,"",_xlpm.result))</f>
        <v/>
      </c>
      <c r="H60" s="1" t="str" cm="1">
        <f t="array" ref="H60">_xlfn.LET(_xlpm.result,10*_xlfn.XLOOKUP($A60,$A$2:$A$26,_xlfn.XLOOKUP(H$29,$B$1:$L$1,$B$2:$L$26)),IF(_xlpm.result&lt;0,"",_xlpm.result))</f>
        <v/>
      </c>
      <c r="I60" s="1" t="str" cm="1">
        <f t="array" ref="I60">_xlfn.LET(_xlpm.result,10*_xlfn.XLOOKUP($A60,$A$2:$A$26,_xlfn.XLOOKUP(I$29,$B$1:$L$1,$B$2:$L$26)),IF(_xlpm.result&lt;0,"",_xlpm.result))</f>
        <v/>
      </c>
      <c r="J60" s="1" t="str" cm="1">
        <f t="array" ref="J60">_xlfn.LET(_xlpm.result,10*_xlfn.XLOOKUP($A60,$A$2:$A$26,_xlfn.XLOOKUP(J$29,$B$1:$L$1,$B$2:$L$26)),IF(_xlpm.result&lt;0,"",_xlpm.result))</f>
        <v/>
      </c>
      <c r="K60" s="1" t="str" cm="1">
        <f t="array" ref="K60">_xlfn.LET(_xlpm.result,10*_xlfn.XLOOKUP($A60,$A$2:$A$26,_xlfn.XLOOKUP(K$29,$B$1:$L$1,$B$2:$L$26)),IF(_xlpm.result&lt;0,"",_xlpm.result))</f>
        <v/>
      </c>
      <c r="L60" s="1" t="str" cm="1">
        <f t="array" ref="L60">_xlfn.LET(_xlpm.result,10*_xlfn.XLOOKUP($A60,$A$2:$A$26,_xlfn.XLOOKUP(L$29,$B$1:$L$1,$B$2:$L$26)),IF(_xlpm.result&lt;0,"",_xlpm.result))</f>
        <v/>
      </c>
      <c r="M60" s="10">
        <f t="shared" si="3"/>
        <v>0</v>
      </c>
    </row>
    <row r="61" spans="1:15" s="16" customFormat="1" x14ac:dyDescent="0.25">
      <c r="A61" t="s">
        <v>49</v>
      </c>
      <c r="B61" s="1" t="str" cm="1">
        <f t="array" ref="B61">_xlfn.LET(_xlpm.result,10*_xlfn.XLOOKUP($A61,$A$2:$A$26,_xlfn.XLOOKUP(B$29,$B$1:$L$1,$B$2:$L$26)),IF(_xlpm.result&lt;0,"",_xlpm.result))</f>
        <v/>
      </c>
      <c r="C61" s="1" t="str" cm="1">
        <f t="array" ref="C61">_xlfn.LET(_xlpm.result,10*_xlfn.XLOOKUP($A61,$A$2:$A$26,_xlfn.XLOOKUP(C$29,$B$1:$L$1,$B$2:$L$26)),IF(_xlpm.result&lt;0,"",_xlpm.result))</f>
        <v/>
      </c>
      <c r="D61" s="1" cm="1">
        <f t="array" ref="D61">_xlfn.LET(_xlpm.result,10*_xlfn.XLOOKUP($A61,$A$2:$A$26,_xlfn.XLOOKUP(D$29,$B$1:$L$1,$B$2:$L$26)),IF(_xlpm.result&lt;0,"",_xlpm.result))</f>
        <v>0</v>
      </c>
      <c r="E61" s="1" t="str" cm="1">
        <f t="array" ref="E61">_xlfn.LET(_xlpm.result,10*_xlfn.XLOOKUP($A61,$A$2:$A$26,_xlfn.XLOOKUP(E$29,$B$1:$L$1,$B$2:$L$26)),IF(_xlpm.result&lt;0,"",_xlpm.result))</f>
        <v/>
      </c>
      <c r="F61" s="1" t="str" cm="1">
        <f t="array" ref="F61">_xlfn.LET(_xlpm.result,10*_xlfn.XLOOKUP($A61,$A$2:$A$26,_xlfn.XLOOKUP(F$29,$B$1:$L$1,$B$2:$L$26)),IF(_xlpm.result&lt;0,"",_xlpm.result))</f>
        <v/>
      </c>
      <c r="G61" s="1" t="str" cm="1">
        <f t="array" ref="G61">_xlfn.LET(_xlpm.result,10*_xlfn.XLOOKUP($A61,$A$2:$A$26,_xlfn.XLOOKUP(G$29,$B$1:$L$1,$B$2:$L$26)),IF(_xlpm.result&lt;0,"",_xlpm.result))</f>
        <v/>
      </c>
      <c r="H61" s="1" t="str" cm="1">
        <f t="array" ref="H61">_xlfn.LET(_xlpm.result,10*_xlfn.XLOOKUP($A61,$A$2:$A$26,_xlfn.XLOOKUP(H$29,$B$1:$L$1,$B$2:$L$26)),IF(_xlpm.result&lt;0,"",_xlpm.result))</f>
        <v/>
      </c>
      <c r="I61" s="1" t="str" cm="1">
        <f t="array" ref="I61">_xlfn.LET(_xlpm.result,10*_xlfn.XLOOKUP($A61,$A$2:$A$26,_xlfn.XLOOKUP(I$29,$B$1:$L$1,$B$2:$L$26)),IF(_xlpm.result&lt;0,"",_xlpm.result))</f>
        <v/>
      </c>
      <c r="J61" s="1" t="str" cm="1">
        <f t="array" ref="J61">_xlfn.LET(_xlpm.result,10*_xlfn.XLOOKUP($A61,$A$2:$A$26,_xlfn.XLOOKUP(J$29,$B$1:$L$1,$B$2:$L$26)),IF(_xlpm.result&lt;0,"",_xlpm.result))</f>
        <v/>
      </c>
      <c r="K61" s="1" t="str" cm="1">
        <f t="array" ref="K61">_xlfn.LET(_xlpm.result,10*_xlfn.XLOOKUP($A61,$A$2:$A$26,_xlfn.XLOOKUP(K$29,$B$1:$L$1,$B$2:$L$26)),IF(_xlpm.result&lt;0,"",_xlpm.result))</f>
        <v/>
      </c>
      <c r="L61" s="1" t="str" cm="1">
        <f t="array" ref="L61">_xlfn.LET(_xlpm.result,10*_xlfn.XLOOKUP($A61,$A$2:$A$26,_xlfn.XLOOKUP(L$29,$B$1:$L$1,$B$2:$L$26)),IF(_xlpm.result&lt;0,"",_xlpm.result))</f>
        <v/>
      </c>
      <c r="M61" s="10">
        <f t="shared" si="3"/>
        <v>0</v>
      </c>
    </row>
    <row r="62" spans="1:15" s="16" customFormat="1" x14ac:dyDescent="0.25">
      <c r="A62" t="s">
        <v>35</v>
      </c>
      <c r="B62" s="1" cm="1">
        <f t="array" ref="B62">_xlfn.LET(_xlpm.result,10*_xlfn.XLOOKUP($A62,$A$2:$A$26,_xlfn.XLOOKUP(B$29,$B$1:$L$1,$B$2:$L$26)),IF(_xlpm.result&lt;0,"",_xlpm.result))</f>
        <v>0</v>
      </c>
      <c r="C62" s="1" t="str" cm="1">
        <f t="array" ref="C62">_xlfn.LET(_xlpm.result,10*_xlfn.XLOOKUP($A62,$A$2:$A$26,_xlfn.XLOOKUP(C$29,$B$1:$L$1,$B$2:$L$26)),IF(_xlpm.result&lt;0,"",_xlpm.result))</f>
        <v/>
      </c>
      <c r="D62" s="1" t="str" cm="1">
        <f t="array" ref="D62">_xlfn.LET(_xlpm.result,10*_xlfn.XLOOKUP($A62,$A$2:$A$26,_xlfn.XLOOKUP(D$29,$B$1:$L$1,$B$2:$L$26)),IF(_xlpm.result&lt;0,"",_xlpm.result))</f>
        <v/>
      </c>
      <c r="E62" s="1" t="str" cm="1">
        <f t="array" ref="E62">_xlfn.LET(_xlpm.result,10*_xlfn.XLOOKUP($A62,$A$2:$A$26,_xlfn.XLOOKUP(E$29,$B$1:$L$1,$B$2:$L$26)),IF(_xlpm.result&lt;0,"",_xlpm.result))</f>
        <v/>
      </c>
      <c r="F62" s="1" cm="1">
        <f t="array" ref="F62">_xlfn.LET(_xlpm.result,10*_xlfn.XLOOKUP($A62,$A$2:$A$26,_xlfn.XLOOKUP(F$29,$B$1:$L$1,$B$2:$L$26)),IF(_xlpm.result&lt;0,"",_xlpm.result))</f>
        <v>1</v>
      </c>
      <c r="G62" s="1" t="str" cm="1">
        <f t="array" ref="G62">_xlfn.LET(_xlpm.result,10*_xlfn.XLOOKUP($A62,$A$2:$A$26,_xlfn.XLOOKUP(G$29,$B$1:$L$1,$B$2:$L$26)),IF(_xlpm.result&lt;0,"",_xlpm.result))</f>
        <v/>
      </c>
      <c r="H62" s="1" t="str" cm="1">
        <f t="array" ref="H62">_xlfn.LET(_xlpm.result,10*_xlfn.XLOOKUP($A62,$A$2:$A$26,_xlfn.XLOOKUP(H$29,$B$1:$L$1,$B$2:$L$26)),IF(_xlpm.result&lt;0,"",_xlpm.result))</f>
        <v/>
      </c>
      <c r="I62" s="1" t="str" cm="1">
        <f t="array" ref="I62">_xlfn.LET(_xlpm.result,10*_xlfn.XLOOKUP($A62,$A$2:$A$26,_xlfn.XLOOKUP(I$29,$B$1:$L$1,$B$2:$L$26)),IF(_xlpm.result&lt;0,"",_xlpm.result))</f>
        <v/>
      </c>
      <c r="J62" s="1" t="str" cm="1">
        <f t="array" ref="J62">_xlfn.LET(_xlpm.result,10*_xlfn.XLOOKUP($A62,$A$2:$A$26,_xlfn.XLOOKUP(J$29,$B$1:$L$1,$B$2:$L$26)),IF(_xlpm.result&lt;0,"",_xlpm.result))</f>
        <v/>
      </c>
      <c r="K62" s="1" t="str" cm="1">
        <f t="array" ref="K62">_xlfn.LET(_xlpm.result,10*_xlfn.XLOOKUP($A62,$A$2:$A$26,_xlfn.XLOOKUP(K$29,$B$1:$L$1,$B$2:$L$26)),IF(_xlpm.result&lt;0,"",_xlpm.result))</f>
        <v/>
      </c>
      <c r="L62" s="1" t="str" cm="1">
        <f t="array" ref="L62">_xlfn.LET(_xlpm.result,10*_xlfn.XLOOKUP($A62,$A$2:$A$26,_xlfn.XLOOKUP(L$29,$B$1:$L$1,$B$2:$L$26)),IF(_xlpm.result&lt;0,"",_xlpm.result))</f>
        <v/>
      </c>
      <c r="M62" s="10">
        <f t="shared" si="3"/>
        <v>1</v>
      </c>
    </row>
    <row r="63" spans="1:15" x14ac:dyDescent="0.25">
      <c r="A63" t="s">
        <v>25</v>
      </c>
      <c r="B63" s="1" cm="1">
        <f t="array" ref="B63">_xlfn.LET(_xlpm.result,10*_xlfn.XLOOKUP($A63,$A$2:$A$26,_xlfn.XLOOKUP(B$29,$B$1:$L$1,$B$2:$L$26)),IF(_xlpm.result&lt;0,"",_xlpm.result))</f>
        <v>8.9999999999999893</v>
      </c>
      <c r="C63" s="1" t="str" cm="1">
        <f t="array" ref="C63">_xlfn.LET(_xlpm.result,10*_xlfn.XLOOKUP($A63,$A$2:$A$26,_xlfn.XLOOKUP(C$29,$B$1:$L$1,$B$2:$L$26)),IF(_xlpm.result&lt;0,"",_xlpm.result))</f>
        <v/>
      </c>
      <c r="D63" s="1" cm="1">
        <f t="array" ref="D63">_xlfn.LET(_xlpm.result,10*_xlfn.XLOOKUP($A63,$A$2:$A$26,_xlfn.XLOOKUP(D$29,$B$1:$L$1,$B$2:$L$26)),IF(_xlpm.result&lt;0,"",_xlpm.result))</f>
        <v>0</v>
      </c>
      <c r="E63" s="1" t="str" cm="1">
        <f t="array" ref="E63">_xlfn.LET(_xlpm.result,10*_xlfn.XLOOKUP($A63,$A$2:$A$26,_xlfn.XLOOKUP(E$29,$B$1:$L$1,$B$2:$L$26)),IF(_xlpm.result&lt;0,"",_xlpm.result))</f>
        <v/>
      </c>
      <c r="F63" s="1" t="str" cm="1">
        <f t="array" ref="F63">_xlfn.LET(_xlpm.result,10*_xlfn.XLOOKUP($A63,$A$2:$A$26,_xlfn.XLOOKUP(F$29,$B$1:$L$1,$B$2:$L$26)),IF(_xlpm.result&lt;0,"",_xlpm.result))</f>
        <v/>
      </c>
      <c r="G63" s="1" t="str" cm="1">
        <f t="array" ref="G63">_xlfn.LET(_xlpm.result,10*_xlfn.XLOOKUP($A63,$A$2:$A$26,_xlfn.XLOOKUP(G$29,$B$1:$L$1,$B$2:$L$26)),IF(_xlpm.result&lt;0,"",_xlpm.result))</f>
        <v/>
      </c>
      <c r="H63" s="1" t="str" cm="1">
        <f t="array" ref="H63">_xlfn.LET(_xlpm.result,10*_xlfn.XLOOKUP($A63,$A$2:$A$26,_xlfn.XLOOKUP(H$29,$B$1:$L$1,$B$2:$L$26)),IF(_xlpm.result&lt;0,"",_xlpm.result))</f>
        <v/>
      </c>
      <c r="I63" s="1" t="str" cm="1">
        <f t="array" ref="I63">_xlfn.LET(_xlpm.result,10*_xlfn.XLOOKUP($A63,$A$2:$A$26,_xlfn.XLOOKUP(I$29,$B$1:$L$1,$B$2:$L$26)),IF(_xlpm.result&lt;0,"",_xlpm.result))</f>
        <v/>
      </c>
      <c r="J63" s="1" t="str" cm="1">
        <f t="array" ref="J63">_xlfn.LET(_xlpm.result,10*_xlfn.XLOOKUP($A63,$A$2:$A$26,_xlfn.XLOOKUP(J$29,$B$1:$L$1,$B$2:$L$26)),IF(_xlpm.result&lt;0,"",_xlpm.result))</f>
        <v/>
      </c>
      <c r="K63" s="1" t="str" cm="1">
        <f t="array" ref="K63">_xlfn.LET(_xlpm.result,10*_xlfn.XLOOKUP($A63,$A$2:$A$26,_xlfn.XLOOKUP(K$29,$B$1:$L$1,$B$2:$L$26)),IF(_xlpm.result&lt;0,"",_xlpm.result))</f>
        <v/>
      </c>
      <c r="L63" s="1" t="str" cm="1">
        <f t="array" ref="L63">_xlfn.LET(_xlpm.result,10*_xlfn.XLOOKUP($A63,$A$2:$A$26,_xlfn.XLOOKUP(L$29,$B$1:$L$1,$B$2:$L$26)),IF(_xlpm.result&lt;0,"",_xlpm.result))</f>
        <v/>
      </c>
      <c r="M63" s="10">
        <f t="shared" si="3"/>
        <v>8.9999999999999893</v>
      </c>
    </row>
    <row r="64" spans="1:15" x14ac:dyDescent="0.25">
      <c r="A64" t="s">
        <v>38</v>
      </c>
      <c r="B64" s="1" t="str" cm="1">
        <f t="array" ref="B64">_xlfn.LET(_xlpm.result,10*_xlfn.XLOOKUP($A64,$A$2:$A$26,_xlfn.XLOOKUP(B$29,$B$1:$L$1,$B$2:$L$26)),IF(_xlpm.result&lt;0,"",_xlpm.result))</f>
        <v/>
      </c>
      <c r="C64" s="1" t="str" cm="1">
        <f t="array" ref="C64">_xlfn.LET(_xlpm.result,10*_xlfn.XLOOKUP($A64,$A$2:$A$26,_xlfn.XLOOKUP(C$29,$B$1:$L$1,$B$2:$L$26)),IF(_xlpm.result&lt;0,"",_xlpm.result))</f>
        <v/>
      </c>
      <c r="D64" s="1" t="str" cm="1">
        <f t="array" ref="D64">_xlfn.LET(_xlpm.result,10*_xlfn.XLOOKUP($A64,$A$2:$A$26,_xlfn.XLOOKUP(D$29,$B$1:$L$1,$B$2:$L$26)),IF(_xlpm.result&lt;0,"",_xlpm.result))</f>
        <v/>
      </c>
      <c r="E64" s="1" t="str" cm="1">
        <f t="array" ref="E64">_xlfn.LET(_xlpm.result,10*_xlfn.XLOOKUP($A64,$A$2:$A$26,_xlfn.XLOOKUP(E$29,$B$1:$L$1,$B$2:$L$26)),IF(_xlpm.result&lt;0,"",_xlpm.result))</f>
        <v/>
      </c>
      <c r="F64" s="1" cm="1">
        <f t="array" ref="F64">_xlfn.LET(_xlpm.result,10*_xlfn.XLOOKUP($A64,$A$2:$A$26,_xlfn.XLOOKUP(F$29,$B$1:$L$1,$B$2:$L$26)),IF(_xlpm.result&lt;0,"",_xlpm.result))</f>
        <v>0</v>
      </c>
      <c r="G64" s="1" cm="1">
        <f t="array" ref="G64">_xlfn.LET(_xlpm.result,10*_xlfn.XLOOKUP($A64,$A$2:$A$26,_xlfn.XLOOKUP(G$29,$B$1:$L$1,$B$2:$L$26)),IF(_xlpm.result&lt;0,"",_xlpm.result))</f>
        <v>19</v>
      </c>
      <c r="H64" s="1" cm="1">
        <f t="array" ref="H64">_xlfn.LET(_xlpm.result,10*_xlfn.XLOOKUP($A64,$A$2:$A$26,_xlfn.XLOOKUP(H$29,$B$1:$L$1,$B$2:$L$26)),IF(_xlpm.result&lt;0,"",_xlpm.result))</f>
        <v>20</v>
      </c>
      <c r="I64" s="1" t="str" cm="1">
        <f t="array" ref="I64">_xlfn.LET(_xlpm.result,10*_xlfn.XLOOKUP($A64,$A$2:$A$26,_xlfn.XLOOKUP(I$29,$B$1:$L$1,$B$2:$L$26)),IF(_xlpm.result&lt;0,"",_xlpm.result))</f>
        <v/>
      </c>
      <c r="J64" s="1" cm="1">
        <f t="array" ref="J64">_xlfn.LET(_xlpm.result,10*_xlfn.XLOOKUP($A64,$A$2:$A$26,_xlfn.XLOOKUP(J$29,$B$1:$L$1,$B$2:$L$26)),IF(_xlpm.result&lt;0,"",_xlpm.result))</f>
        <v>11</v>
      </c>
      <c r="K64" s="1" t="str" cm="1">
        <f t="array" ref="K64">_xlfn.LET(_xlpm.result,10*_xlfn.XLOOKUP($A64,$A$2:$A$26,_xlfn.XLOOKUP(K$29,$B$1:$L$1,$B$2:$L$26)),IF(_xlpm.result&lt;0,"",_xlpm.result))</f>
        <v/>
      </c>
      <c r="L64" s="1" t="str" cm="1">
        <f t="array" ref="L64">_xlfn.LET(_xlpm.result,10*_xlfn.XLOOKUP($A64,$A$2:$A$26,_xlfn.XLOOKUP(L$29,$B$1:$L$1,$B$2:$L$26)),IF(_xlpm.result&lt;0,"",_xlpm.result))</f>
        <v/>
      </c>
      <c r="M64" s="10">
        <f t="shared" si="3"/>
        <v>20</v>
      </c>
    </row>
    <row r="65" spans="1:14" x14ac:dyDescent="0.25">
      <c r="A65" t="s">
        <v>41</v>
      </c>
      <c r="B65" s="1" t="str" cm="1">
        <f t="array" ref="B65">_xlfn.LET(_xlpm.result,10*_xlfn.XLOOKUP($A65,$A$2:$A$26,_xlfn.XLOOKUP(B$29,$B$1:$L$1,$B$2:$L$26)),IF(_xlpm.result&lt;0,"",_xlpm.result))</f>
        <v/>
      </c>
      <c r="C65" s="1" t="str" cm="1">
        <f t="array" ref="C65">_xlfn.LET(_xlpm.result,10*_xlfn.XLOOKUP($A65,$A$2:$A$26,_xlfn.XLOOKUP(C$29,$B$1:$L$1,$B$2:$L$26)),IF(_xlpm.result&lt;0,"",_xlpm.result))</f>
        <v/>
      </c>
      <c r="D65" s="1" t="str" cm="1">
        <f t="array" ref="D65">_xlfn.LET(_xlpm.result,10*_xlfn.XLOOKUP($A65,$A$2:$A$26,_xlfn.XLOOKUP(D$29,$B$1:$L$1,$B$2:$L$26)),IF(_xlpm.result&lt;0,"",_xlpm.result))</f>
        <v/>
      </c>
      <c r="E65" s="1" cm="1">
        <f t="array" ref="E65">_xlfn.LET(_xlpm.result,10*_xlfn.XLOOKUP($A65,$A$2:$A$26,_xlfn.XLOOKUP(E$29,$B$1:$L$1,$B$2:$L$26)),IF(_xlpm.result&lt;0,"",_xlpm.result))</f>
        <v>0</v>
      </c>
      <c r="F65" s="1" t="str" cm="1">
        <f t="array" ref="F65">_xlfn.LET(_xlpm.result,10*_xlfn.XLOOKUP($A65,$A$2:$A$26,_xlfn.XLOOKUP(F$29,$B$1:$L$1,$B$2:$L$26)),IF(_xlpm.result&lt;0,"",_xlpm.result))</f>
        <v/>
      </c>
      <c r="G65" s="1" t="str" cm="1">
        <f t="array" ref="G65">_xlfn.LET(_xlpm.result,10*_xlfn.XLOOKUP($A65,$A$2:$A$26,_xlfn.XLOOKUP(G$29,$B$1:$L$1,$B$2:$L$26)),IF(_xlpm.result&lt;0,"",_xlpm.result))</f>
        <v/>
      </c>
      <c r="H65" s="1" t="str" cm="1">
        <f t="array" ref="H65">_xlfn.LET(_xlpm.result,10*_xlfn.XLOOKUP($A65,$A$2:$A$26,_xlfn.XLOOKUP(H$29,$B$1:$L$1,$B$2:$L$26)),IF(_xlpm.result&lt;0,"",_xlpm.result))</f>
        <v/>
      </c>
      <c r="I65" s="1" t="str" cm="1">
        <f t="array" ref="I65">_xlfn.LET(_xlpm.result,10*_xlfn.XLOOKUP($A65,$A$2:$A$26,_xlfn.XLOOKUP(I$29,$B$1:$L$1,$B$2:$L$26)),IF(_xlpm.result&lt;0,"",_xlpm.result))</f>
        <v/>
      </c>
      <c r="J65" s="1" cm="1">
        <f t="array" ref="J65">_xlfn.LET(_xlpm.result,10*_xlfn.XLOOKUP($A65,$A$2:$A$26,_xlfn.XLOOKUP(J$29,$B$1:$L$1,$B$2:$L$26)),IF(_xlpm.result&lt;0,"",_xlpm.result))</f>
        <v>0.999999999999996</v>
      </c>
      <c r="K65" s="1" cm="1">
        <f t="array" ref="K65">_xlfn.LET(_xlpm.result,10*_xlfn.XLOOKUP($A65,$A$2:$A$26,_xlfn.XLOOKUP(K$29,$B$1:$L$1,$B$2:$L$26)),IF(_xlpm.result&lt;0,"",_xlpm.result))</f>
        <v>22</v>
      </c>
      <c r="L65" s="1" t="str" cm="1">
        <f t="array" ref="L65">_xlfn.LET(_xlpm.result,10*_xlfn.XLOOKUP($A65,$A$2:$A$26,_xlfn.XLOOKUP(L$29,$B$1:$L$1,$B$2:$L$26)),IF(_xlpm.result&lt;0,"",_xlpm.result))</f>
        <v/>
      </c>
      <c r="M65" s="10">
        <f t="shared" si="3"/>
        <v>22</v>
      </c>
    </row>
    <row r="66" spans="1:14" x14ac:dyDescent="0.25">
      <c r="A66" t="s">
        <v>23</v>
      </c>
      <c r="B66" s="1" t="str" cm="1">
        <f t="array" ref="B66">_xlfn.LET(_xlpm.result,10*_xlfn.XLOOKUP($A66,$A$2:$A$26,_xlfn.XLOOKUP(B$29,$B$1:$L$1,$B$2:$L$26)),IF(_xlpm.result&lt;0,"",_xlpm.result))</f>
        <v/>
      </c>
      <c r="C66" s="1" t="str" cm="1">
        <f t="array" ref="C66">_xlfn.LET(_xlpm.result,10*_xlfn.XLOOKUP($A66,$A$2:$A$26,_xlfn.XLOOKUP(C$29,$B$1:$L$1,$B$2:$L$26)),IF(_xlpm.result&lt;0,"",_xlpm.result))</f>
        <v/>
      </c>
      <c r="D66" s="1" cm="1">
        <f t="array" ref="D66">_xlfn.LET(_xlpm.result,10*_xlfn.XLOOKUP($A66,$A$2:$A$26,_xlfn.XLOOKUP(D$29,$B$1:$L$1,$B$2:$L$26)),IF(_xlpm.result&lt;0,"",_xlpm.result))</f>
        <v>29</v>
      </c>
      <c r="E66" s="1" t="str" cm="1">
        <f t="array" ref="E66">_xlfn.LET(_xlpm.result,10*_xlfn.XLOOKUP($A66,$A$2:$A$26,_xlfn.XLOOKUP(E$29,$B$1:$L$1,$B$2:$L$26)),IF(_xlpm.result&lt;0,"",_xlpm.result))</f>
        <v/>
      </c>
      <c r="F66" s="1" t="str" cm="1">
        <f t="array" ref="F66">_xlfn.LET(_xlpm.result,10*_xlfn.XLOOKUP($A66,$A$2:$A$26,_xlfn.XLOOKUP(F$29,$B$1:$L$1,$B$2:$L$26)),IF(_xlpm.result&lt;0,"",_xlpm.result))</f>
        <v/>
      </c>
      <c r="G66" s="1" t="str" cm="1">
        <f t="array" ref="G66">_xlfn.LET(_xlpm.result,10*_xlfn.XLOOKUP($A66,$A$2:$A$26,_xlfn.XLOOKUP(G$29,$B$1:$L$1,$B$2:$L$26)),IF(_xlpm.result&lt;0,"",_xlpm.result))</f>
        <v/>
      </c>
      <c r="H66" s="1" cm="1">
        <f t="array" ref="H66">_xlfn.LET(_xlpm.result,10*_xlfn.XLOOKUP($A66,$A$2:$A$26,_xlfn.XLOOKUP(H$29,$B$1:$L$1,$B$2:$L$26)),IF(_xlpm.result&lt;0,"",_xlpm.result))</f>
        <v>0</v>
      </c>
      <c r="I66" s="1" cm="1">
        <f t="array" ref="I66">_xlfn.LET(_xlpm.result,10*_xlfn.XLOOKUP($A66,$A$2:$A$26,_xlfn.XLOOKUP(I$29,$B$1:$L$1,$B$2:$L$26)),IF(_xlpm.result&lt;0,"",_xlpm.result))</f>
        <v>29</v>
      </c>
      <c r="J66" s="1" t="str" cm="1">
        <f t="array" ref="J66">_xlfn.LET(_xlpm.result,10*_xlfn.XLOOKUP($A66,$A$2:$A$26,_xlfn.XLOOKUP(J$29,$B$1:$L$1,$B$2:$L$26)),IF(_xlpm.result&lt;0,"",_xlpm.result))</f>
        <v/>
      </c>
      <c r="K66" s="1" t="str" cm="1">
        <f t="array" ref="K66">_xlfn.LET(_xlpm.result,10*_xlfn.XLOOKUP($A66,$A$2:$A$26,_xlfn.XLOOKUP(K$29,$B$1:$L$1,$B$2:$L$26)),IF(_xlpm.result&lt;0,"",_xlpm.result))</f>
        <v/>
      </c>
      <c r="L66" s="1" t="str" cm="1">
        <f t="array" ref="L66">_xlfn.LET(_xlpm.result,10*_xlfn.XLOOKUP($A66,$A$2:$A$26,_xlfn.XLOOKUP(L$29,$B$1:$L$1,$B$2:$L$26)),IF(_xlpm.result&lt;0,"",_xlpm.result))</f>
        <v/>
      </c>
      <c r="M66" s="10">
        <f t="shared" si="3"/>
        <v>29</v>
      </c>
    </row>
    <row r="67" spans="1:14" s="16" customFormat="1" x14ac:dyDescent="0.25">
      <c r="A67" t="s">
        <v>26</v>
      </c>
      <c r="B67" s="1" t="str" cm="1">
        <f t="array" ref="B67">_xlfn.LET(_xlpm.result,10*_xlfn.XLOOKUP($A67,$A$2:$A$26,_xlfn.XLOOKUP(B$29,$B$1:$L$1,$B$2:$L$26)),IF(_xlpm.result&lt;0,"",_xlpm.result))</f>
        <v/>
      </c>
      <c r="C67" s="1" cm="1">
        <f t="array" ref="C67">_xlfn.LET(_xlpm.result,10*_xlfn.XLOOKUP($A67,$A$2:$A$26,_xlfn.XLOOKUP(C$29,$B$1:$L$1,$B$2:$L$26)),IF(_xlpm.result&lt;0,"",_xlpm.result))</f>
        <v>0</v>
      </c>
      <c r="D67" s="1" cm="1">
        <f t="array" ref="D67">_xlfn.LET(_xlpm.result,10*_xlfn.XLOOKUP($A67,$A$2:$A$26,_xlfn.XLOOKUP(D$29,$B$1:$L$1,$B$2:$L$26)),IF(_xlpm.result&lt;0,"",_xlpm.result))</f>
        <v>10.999999999999901</v>
      </c>
      <c r="E67" s="1" t="str" cm="1">
        <f t="array" ref="E67">_xlfn.LET(_xlpm.result,10*_xlfn.XLOOKUP($A67,$A$2:$A$26,_xlfn.XLOOKUP(E$29,$B$1:$L$1,$B$2:$L$26)),IF(_xlpm.result&lt;0,"",_xlpm.result))</f>
        <v/>
      </c>
      <c r="F67" s="1" t="str" cm="1">
        <f t="array" ref="F67">_xlfn.LET(_xlpm.result,10*_xlfn.XLOOKUP($A67,$A$2:$A$26,_xlfn.XLOOKUP(F$29,$B$1:$L$1,$B$2:$L$26)),IF(_xlpm.result&lt;0,"",_xlpm.result))</f>
        <v/>
      </c>
      <c r="G67" s="1" t="str" cm="1">
        <f t="array" ref="G67">_xlfn.LET(_xlpm.result,10*_xlfn.XLOOKUP($A67,$A$2:$A$26,_xlfn.XLOOKUP(G$29,$B$1:$L$1,$B$2:$L$26)),IF(_xlpm.result&lt;0,"",_xlpm.result))</f>
        <v/>
      </c>
      <c r="H67" s="1" cm="1">
        <f t="array" ref="H67">_xlfn.LET(_xlpm.result,10*_xlfn.XLOOKUP($A67,$A$2:$A$26,_xlfn.XLOOKUP(H$29,$B$1:$L$1,$B$2:$L$26)),IF(_xlpm.result&lt;0,"",_xlpm.result))</f>
        <v>32</v>
      </c>
      <c r="I67" s="1" t="str" cm="1">
        <f t="array" ref="I67">_xlfn.LET(_xlpm.result,10*_xlfn.XLOOKUP($A67,$A$2:$A$26,_xlfn.XLOOKUP(I$29,$B$1:$L$1,$B$2:$L$26)),IF(_xlpm.result&lt;0,"",_xlpm.result))</f>
        <v/>
      </c>
      <c r="J67" s="1" t="str" cm="1">
        <f t="array" ref="J67">_xlfn.LET(_xlpm.result,10*_xlfn.XLOOKUP($A67,$A$2:$A$26,_xlfn.XLOOKUP(J$29,$B$1:$L$1,$B$2:$L$26)),IF(_xlpm.result&lt;0,"",_xlpm.result))</f>
        <v/>
      </c>
      <c r="K67" s="1" t="str" cm="1">
        <f t="array" ref="K67">_xlfn.LET(_xlpm.result,10*_xlfn.XLOOKUP($A67,$A$2:$A$26,_xlfn.XLOOKUP(K$29,$B$1:$L$1,$B$2:$L$26)),IF(_xlpm.result&lt;0,"",_xlpm.result))</f>
        <v/>
      </c>
      <c r="L67" s="1" cm="1">
        <f t="array" ref="L67">_xlfn.LET(_xlpm.result,10*_xlfn.XLOOKUP($A67,$A$2:$A$26,_xlfn.XLOOKUP(L$29,$B$1:$L$1,$B$2:$L$26)),IF(_xlpm.result&lt;0,"",_xlpm.result))</f>
        <v>2</v>
      </c>
      <c r="M67" s="10">
        <f t="shared" si="3"/>
        <v>32</v>
      </c>
    </row>
    <row r="68" spans="1:14" s="16" customFormat="1" x14ac:dyDescent="0.25">
      <c r="A68" t="s">
        <v>19</v>
      </c>
      <c r="B68" s="1" cm="1">
        <f t="array" ref="B68">_xlfn.LET(_xlpm.result,10*_xlfn.XLOOKUP($A68,$A$2:$A$26,_xlfn.XLOOKUP(B$29,$B$1:$L$1,$B$2:$L$26)),IF(_xlpm.result&lt;0,"",_xlpm.result))</f>
        <v>0</v>
      </c>
      <c r="C68" s="1" t="str" cm="1">
        <f t="array" ref="C68">_xlfn.LET(_xlpm.result,10*_xlfn.XLOOKUP($A68,$A$2:$A$26,_xlfn.XLOOKUP(C$29,$B$1:$L$1,$B$2:$L$26)),IF(_xlpm.result&lt;0,"",_xlpm.result))</f>
        <v/>
      </c>
      <c r="D68" s="1" t="str" cm="1">
        <f t="array" ref="D68">_xlfn.LET(_xlpm.result,10*_xlfn.XLOOKUP($A68,$A$2:$A$26,_xlfn.XLOOKUP(D$29,$B$1:$L$1,$B$2:$L$26)),IF(_xlpm.result&lt;0,"",_xlpm.result))</f>
        <v/>
      </c>
      <c r="E68" s="1" t="str" cm="1">
        <f t="array" ref="E68">_xlfn.LET(_xlpm.result,10*_xlfn.XLOOKUP($A68,$A$2:$A$26,_xlfn.XLOOKUP(E$29,$B$1:$L$1,$B$2:$L$26)),IF(_xlpm.result&lt;0,"",_xlpm.result))</f>
        <v/>
      </c>
      <c r="F68" s="1" cm="1">
        <f t="array" ref="F68">_xlfn.LET(_xlpm.result,10*_xlfn.XLOOKUP($A68,$A$2:$A$26,_xlfn.XLOOKUP(F$29,$B$1:$L$1,$B$2:$L$26)),IF(_xlpm.result&lt;0,"",_xlpm.result))</f>
        <v>0</v>
      </c>
      <c r="G68" s="1" t="str" cm="1">
        <f t="array" ref="G68">_xlfn.LET(_xlpm.result,10*_xlfn.XLOOKUP($A68,$A$2:$A$26,_xlfn.XLOOKUP(G$29,$B$1:$L$1,$B$2:$L$26)),IF(_xlpm.result&lt;0,"",_xlpm.result))</f>
        <v/>
      </c>
      <c r="H68" s="1" t="str" cm="1">
        <f t="array" ref="H68">_xlfn.LET(_xlpm.result,10*_xlfn.XLOOKUP($A68,$A$2:$A$26,_xlfn.XLOOKUP(H$29,$B$1:$L$1,$B$2:$L$26)),IF(_xlpm.result&lt;0,"",_xlpm.result))</f>
        <v/>
      </c>
      <c r="I68" s="1" t="str" cm="1">
        <f t="array" ref="I68">_xlfn.LET(_xlpm.result,10*_xlfn.XLOOKUP($A68,$A$2:$A$26,_xlfn.XLOOKUP(I$29,$B$1:$L$1,$B$2:$L$26)),IF(_xlpm.result&lt;0,"",_xlpm.result))</f>
        <v/>
      </c>
      <c r="J68" s="1" cm="1">
        <f t="array" ref="J68">_xlfn.LET(_xlpm.result,10*_xlfn.XLOOKUP($A68,$A$2:$A$26,_xlfn.XLOOKUP(J$29,$B$1:$L$1,$B$2:$L$26)),IF(_xlpm.result&lt;0,"",_xlpm.result))</f>
        <v>5</v>
      </c>
      <c r="K68" s="1" cm="1">
        <f t="array" ref="K68">_xlfn.LET(_xlpm.result,10*_xlfn.XLOOKUP($A68,$A$2:$A$26,_xlfn.XLOOKUP(K$29,$B$1:$L$1,$B$2:$L$26)),IF(_xlpm.result&lt;0,"",_xlpm.result))</f>
        <v>47</v>
      </c>
      <c r="L68" s="1" t="str" cm="1">
        <f t="array" ref="L68">_xlfn.LET(_xlpm.result,10*_xlfn.XLOOKUP($A68,$A$2:$A$26,_xlfn.XLOOKUP(L$29,$B$1:$L$1,$B$2:$L$26)),IF(_xlpm.result&lt;0,"",_xlpm.result))</f>
        <v/>
      </c>
      <c r="M68" s="10">
        <f t="shared" si="3"/>
        <v>47</v>
      </c>
    </row>
    <row r="69" spans="1:14" x14ac:dyDescent="0.25">
      <c r="A69" t="s">
        <v>24</v>
      </c>
      <c r="B69" s="1" t="str" cm="1">
        <f t="array" ref="B69">_xlfn.LET(_xlpm.result,10*_xlfn.XLOOKUP($A69,$A$2:$A$26,_xlfn.XLOOKUP(B$29,$B$1:$L$1,$B$2:$L$26)),IF(_xlpm.result&lt;0,"",_xlpm.result))</f>
        <v/>
      </c>
      <c r="C69" s="1" cm="1">
        <f t="array" ref="C69">_xlfn.LET(_xlpm.result,10*_xlfn.XLOOKUP($A69,$A$2:$A$26,_xlfn.XLOOKUP(C$29,$B$1:$L$1,$B$2:$L$26)),IF(_xlpm.result&lt;0,"",_xlpm.result))</f>
        <v>47</v>
      </c>
      <c r="D69" s="1" t="str" cm="1">
        <f t="array" ref="D69">_xlfn.LET(_xlpm.result,10*_xlfn.XLOOKUP($A69,$A$2:$A$26,_xlfn.XLOOKUP(D$29,$B$1:$L$1,$B$2:$L$26)),IF(_xlpm.result&lt;0,"",_xlpm.result))</f>
        <v/>
      </c>
      <c r="E69" s="1" cm="1">
        <f t="array" ref="E69">_xlfn.LET(_xlpm.result,10*_xlfn.XLOOKUP($A69,$A$2:$A$26,_xlfn.XLOOKUP(E$29,$B$1:$L$1,$B$2:$L$26)),IF(_xlpm.result&lt;0,"",_xlpm.result))</f>
        <v>0</v>
      </c>
      <c r="F69" s="1" t="str" cm="1">
        <f t="array" ref="F69">_xlfn.LET(_xlpm.result,10*_xlfn.XLOOKUP($A69,$A$2:$A$26,_xlfn.XLOOKUP(F$29,$B$1:$L$1,$B$2:$L$26)),IF(_xlpm.result&lt;0,"",_xlpm.result))</f>
        <v/>
      </c>
      <c r="G69" s="1" t="str" cm="1">
        <f t="array" ref="G69">_xlfn.LET(_xlpm.result,10*_xlfn.XLOOKUP($A69,$A$2:$A$26,_xlfn.XLOOKUP(G$29,$B$1:$L$1,$B$2:$L$26)),IF(_xlpm.result&lt;0,"",_xlpm.result))</f>
        <v/>
      </c>
      <c r="H69" s="1" t="str" cm="1">
        <f t="array" ref="H69">_xlfn.LET(_xlpm.result,10*_xlfn.XLOOKUP($A69,$A$2:$A$26,_xlfn.XLOOKUP(H$29,$B$1:$L$1,$B$2:$L$26)),IF(_xlpm.result&lt;0,"",_xlpm.result))</f>
        <v/>
      </c>
      <c r="I69" s="1" cm="1">
        <f t="array" ref="I69">_xlfn.LET(_xlpm.result,10*_xlfn.XLOOKUP($A69,$A$2:$A$26,_xlfn.XLOOKUP(I$29,$B$1:$L$1,$B$2:$L$26)),IF(_xlpm.result&lt;0,"",_xlpm.result))</f>
        <v>45</v>
      </c>
      <c r="J69" s="1" t="str" cm="1">
        <f t="array" ref="J69">_xlfn.LET(_xlpm.result,10*_xlfn.XLOOKUP($A69,$A$2:$A$26,_xlfn.XLOOKUP(J$29,$B$1:$L$1,$B$2:$L$26)),IF(_xlpm.result&lt;0,"",_xlpm.result))</f>
        <v/>
      </c>
      <c r="K69" s="1" t="str" cm="1">
        <f t="array" ref="K69">_xlfn.LET(_xlpm.result,10*_xlfn.XLOOKUP($A69,$A$2:$A$26,_xlfn.XLOOKUP(K$29,$B$1:$L$1,$B$2:$L$26)),IF(_xlpm.result&lt;0,"",_xlpm.result))</f>
        <v/>
      </c>
      <c r="L69" s="1" t="str" cm="1">
        <f t="array" ref="L69">_xlfn.LET(_xlpm.result,10*_xlfn.XLOOKUP($A69,$A$2:$A$26,_xlfn.XLOOKUP(L$29,$B$1:$L$1,$B$2:$L$26)),IF(_xlpm.result&lt;0,"",_xlpm.result))</f>
        <v/>
      </c>
      <c r="M69" s="10">
        <f t="shared" si="3"/>
        <v>47</v>
      </c>
    </row>
    <row r="70" spans="1:14" s="16" customFormat="1" x14ac:dyDescent="0.25">
      <c r="A70" t="s">
        <v>20</v>
      </c>
      <c r="B70" s="1" cm="1">
        <f t="array" ref="B70">_xlfn.LET(_xlpm.result,10*_xlfn.XLOOKUP($A70,$A$2:$A$26,_xlfn.XLOOKUP(B$29,$B$1:$L$1,$B$2:$L$26)),IF(_xlpm.result&lt;0,"",_xlpm.result))</f>
        <v>30.999999999999901</v>
      </c>
      <c r="C70" s="1" t="str" cm="1">
        <f t="array" ref="C70">_xlfn.LET(_xlpm.result,10*_xlfn.XLOOKUP($A70,$A$2:$A$26,_xlfn.XLOOKUP(C$29,$B$1:$L$1,$B$2:$L$26)),IF(_xlpm.result&lt;0,"",_xlpm.result))</f>
        <v/>
      </c>
      <c r="D70" s="1" t="str" cm="1">
        <f t="array" ref="D70">_xlfn.LET(_xlpm.result,10*_xlfn.XLOOKUP($A70,$A$2:$A$26,_xlfn.XLOOKUP(D$29,$B$1:$L$1,$B$2:$L$26)),IF(_xlpm.result&lt;0,"",_xlpm.result))</f>
        <v/>
      </c>
      <c r="E70" s="1" cm="1">
        <f t="array" ref="E70">_xlfn.LET(_xlpm.result,10*_xlfn.XLOOKUP($A70,$A$2:$A$26,_xlfn.XLOOKUP(E$29,$B$1:$L$1,$B$2:$L$26)),IF(_xlpm.result&lt;0,"",_xlpm.result))</f>
        <v>20.999999999999901</v>
      </c>
      <c r="F70" s="1" cm="1">
        <f t="array" ref="F70">_xlfn.LET(_xlpm.result,10*_xlfn.XLOOKUP($A70,$A$2:$A$26,_xlfn.XLOOKUP(F$29,$B$1:$L$1,$B$2:$L$26)),IF(_xlpm.result&lt;0,"",_xlpm.result))</f>
        <v>50</v>
      </c>
      <c r="G70" s="1" cm="1">
        <f t="array" ref="G70">_xlfn.LET(_xlpm.result,10*_xlfn.XLOOKUP($A70,$A$2:$A$26,_xlfn.XLOOKUP(G$29,$B$1:$L$1,$B$2:$L$26)),IF(_xlpm.result&lt;0,"",_xlpm.result))</f>
        <v>51</v>
      </c>
      <c r="H70" s="1" t="str" cm="1">
        <f t="array" ref="H70">_xlfn.LET(_xlpm.result,10*_xlfn.XLOOKUP($A70,$A$2:$A$26,_xlfn.XLOOKUP(H$29,$B$1:$L$1,$B$2:$L$26)),IF(_xlpm.result&lt;0,"",_xlpm.result))</f>
        <v/>
      </c>
      <c r="I70" s="1" t="str" cm="1">
        <f t="array" ref="I70">_xlfn.LET(_xlpm.result,10*_xlfn.XLOOKUP($A70,$A$2:$A$26,_xlfn.XLOOKUP(I$29,$B$1:$L$1,$B$2:$L$26)),IF(_xlpm.result&lt;0,"",_xlpm.result))</f>
        <v/>
      </c>
      <c r="J70" s="1" t="str" cm="1">
        <f t="array" ref="J70">_xlfn.LET(_xlpm.result,10*_xlfn.XLOOKUP($A70,$A$2:$A$26,_xlfn.XLOOKUP(J$29,$B$1:$L$1,$B$2:$L$26)),IF(_xlpm.result&lt;0,"",_xlpm.result))</f>
        <v/>
      </c>
      <c r="K70" s="1" t="str" cm="1">
        <f t="array" ref="K70">_xlfn.LET(_xlpm.result,10*_xlfn.XLOOKUP($A70,$A$2:$A$26,_xlfn.XLOOKUP(K$29,$B$1:$L$1,$B$2:$L$26)),IF(_xlpm.result&lt;0,"",_xlpm.result))</f>
        <v/>
      </c>
      <c r="L70" s="1" cm="1">
        <f t="array" ref="L70">_xlfn.LET(_xlpm.result,10*_xlfn.XLOOKUP($A70,$A$2:$A$26,_xlfn.XLOOKUP(L$29,$B$1:$L$1,$B$2:$L$26)),IF(_xlpm.result&lt;0,"",_xlpm.result))</f>
        <v>50</v>
      </c>
      <c r="M70" s="10">
        <f t="shared" si="3"/>
        <v>51</v>
      </c>
    </row>
    <row r="71" spans="1:14" x14ac:dyDescent="0.25">
      <c r="A71" t="s">
        <v>45</v>
      </c>
      <c r="B71" s="1" t="str" cm="1">
        <f t="array" ref="B71">_xlfn.LET(_xlpm.result,10*_xlfn.XLOOKUP($A71,$A$2:$A$26,_xlfn.XLOOKUP(B$29,$B$1:$L$1,$B$2:$L$26)),IF(_xlpm.result&lt;0,"",_xlpm.result))</f>
        <v/>
      </c>
      <c r="C71" s="1" t="str" cm="1">
        <f t="array" ref="C71">_xlfn.LET(_xlpm.result,10*_xlfn.XLOOKUP($A71,$A$2:$A$26,_xlfn.XLOOKUP(C$29,$B$1:$L$1,$B$2:$L$26)),IF(_xlpm.result&lt;0,"",_xlpm.result))</f>
        <v/>
      </c>
      <c r="D71" s="1" t="str" cm="1">
        <f t="array" ref="D71">_xlfn.LET(_xlpm.result,10*_xlfn.XLOOKUP($A71,$A$2:$A$26,_xlfn.XLOOKUP(D$29,$B$1:$L$1,$B$2:$L$26)),IF(_xlpm.result&lt;0,"",_xlpm.result))</f>
        <v/>
      </c>
      <c r="E71" s="1" cm="1">
        <f t="array" ref="E71">_xlfn.LET(_xlpm.result,10*_xlfn.XLOOKUP($A71,$A$2:$A$26,_xlfn.XLOOKUP(E$29,$B$1:$L$1,$B$2:$L$26)),IF(_xlpm.result&lt;0,"",_xlpm.result))</f>
        <v>68</v>
      </c>
      <c r="F71" s="1" cm="1">
        <f t="array" ref="F71">_xlfn.LET(_xlpm.result,10*_xlfn.XLOOKUP($A71,$A$2:$A$26,_xlfn.XLOOKUP(F$29,$B$1:$L$1,$B$2:$L$26)),IF(_xlpm.result&lt;0,"",_xlpm.result))</f>
        <v>21</v>
      </c>
      <c r="G71" s="1" t="str" cm="1">
        <f t="array" ref="G71">_xlfn.LET(_xlpm.result,10*_xlfn.XLOOKUP($A71,$A$2:$A$26,_xlfn.XLOOKUP(G$29,$B$1:$L$1,$B$2:$L$26)),IF(_xlpm.result&lt;0,"",_xlpm.result))</f>
        <v/>
      </c>
      <c r="H71" s="1" t="str" cm="1">
        <f t="array" ref="H71">_xlfn.LET(_xlpm.result,10*_xlfn.XLOOKUP($A71,$A$2:$A$26,_xlfn.XLOOKUP(H$29,$B$1:$L$1,$B$2:$L$26)),IF(_xlpm.result&lt;0,"",_xlpm.result))</f>
        <v/>
      </c>
      <c r="I71" s="1" cm="1">
        <f t="array" ref="I71">_xlfn.LET(_xlpm.result,10*_xlfn.XLOOKUP($A71,$A$2:$A$26,_xlfn.XLOOKUP(I$29,$B$1:$L$1,$B$2:$L$26)),IF(_xlpm.result&lt;0,"",_xlpm.result))</f>
        <v>57</v>
      </c>
      <c r="J71" s="1" t="str" cm="1">
        <f t="array" ref="J71">_xlfn.LET(_xlpm.result,10*_xlfn.XLOOKUP($A71,$A$2:$A$26,_xlfn.XLOOKUP(J$29,$B$1:$L$1,$B$2:$L$26)),IF(_xlpm.result&lt;0,"",_xlpm.result))</f>
        <v/>
      </c>
      <c r="K71" s="1" cm="1">
        <f t="array" ref="K71">_xlfn.LET(_xlpm.result,10*_xlfn.XLOOKUP($A71,$A$2:$A$26,_xlfn.XLOOKUP(K$29,$B$1:$L$1,$B$2:$L$26)),IF(_xlpm.result&lt;0,"",_xlpm.result))</f>
        <v>66</v>
      </c>
      <c r="L71" s="1" t="str" cm="1">
        <f t="array" ref="L71">_xlfn.LET(_xlpm.result,10*_xlfn.XLOOKUP($A71,$A$2:$A$26,_xlfn.XLOOKUP(L$29,$B$1:$L$1,$B$2:$L$26)),IF(_xlpm.result&lt;0,"",_xlpm.result))</f>
        <v/>
      </c>
      <c r="M71" s="10">
        <f t="shared" si="3"/>
        <v>68</v>
      </c>
    </row>
    <row r="72" spans="1:14" s="16" customFormat="1" ht="18.75" x14ac:dyDescent="0.3">
      <c r="A72" t="s">
        <v>42</v>
      </c>
      <c r="B72" s="1" t="str" cm="1">
        <f t="array" ref="B72">_xlfn.LET(_xlpm.result,10*_xlfn.XLOOKUP($A72,$A$2:$A$26,_xlfn.XLOOKUP(B$29,$B$1:$L$1,$B$2:$L$26)),IF(_xlpm.result&lt;0,"",_xlpm.result))</f>
        <v/>
      </c>
      <c r="C72" s="1" cm="1">
        <f t="array" ref="C72">_xlfn.LET(_xlpm.result,10*_xlfn.XLOOKUP($A72,$A$2:$A$26,_xlfn.XLOOKUP(C$29,$B$1:$L$1,$B$2:$L$26)),IF(_xlpm.result&lt;0,"",_xlpm.result))</f>
        <v>14</v>
      </c>
      <c r="D72" s="1" cm="1">
        <f t="array" ref="D72">_xlfn.LET(_xlpm.result,10*_xlfn.XLOOKUP($A72,$A$2:$A$26,_xlfn.XLOOKUP(D$29,$B$1:$L$1,$B$2:$L$26)),IF(_xlpm.result&lt;0,"",_xlpm.result))</f>
        <v>25</v>
      </c>
      <c r="E72" s="1" t="str" cm="1">
        <f t="array" ref="E72">_xlfn.LET(_xlpm.result,10*_xlfn.XLOOKUP($A72,$A$2:$A$26,_xlfn.XLOOKUP(E$29,$B$1:$L$1,$B$2:$L$26)),IF(_xlpm.result&lt;0,"",_xlpm.result))</f>
        <v/>
      </c>
      <c r="F72" s="1" t="str" cm="1">
        <f t="array" ref="F72">_xlfn.LET(_xlpm.result,10*_xlfn.XLOOKUP($A72,$A$2:$A$26,_xlfn.XLOOKUP(F$29,$B$1:$L$1,$B$2:$L$26)),IF(_xlpm.result&lt;0,"",_xlpm.result))</f>
        <v/>
      </c>
      <c r="G72" s="1" cm="1">
        <f t="array" ref="G72">_xlfn.LET(_xlpm.result,10*_xlfn.XLOOKUP($A72,$A$2:$A$26,_xlfn.XLOOKUP(G$29,$B$1:$L$1,$B$2:$L$26)),IF(_xlpm.result&lt;0,"",_xlpm.result))</f>
        <v>12</v>
      </c>
      <c r="H72" s="1" cm="1">
        <f t="array" ref="H72">_xlfn.LET(_xlpm.result,10*_xlfn.XLOOKUP($A72,$A$2:$A$26,_xlfn.XLOOKUP(H$29,$B$1:$L$1,$B$2:$L$26)),IF(_xlpm.result&lt;0,"",_xlpm.result))</f>
        <v>0</v>
      </c>
      <c r="I72" s="1" t="str" cm="1">
        <f t="array" ref="I72">_xlfn.LET(_xlpm.result,10*_xlfn.XLOOKUP($A72,$A$2:$A$26,_xlfn.XLOOKUP(I$29,$B$1:$L$1,$B$2:$L$26)),IF(_xlpm.result&lt;0,"",_xlpm.result))</f>
        <v/>
      </c>
      <c r="J72" s="1" cm="1">
        <f t="array" ref="J72">_xlfn.LET(_xlpm.result,10*_xlfn.XLOOKUP($A72,$A$2:$A$26,_xlfn.XLOOKUP(J$29,$B$1:$L$1,$B$2:$L$26)),IF(_xlpm.result&lt;0,"",_xlpm.result))</f>
        <v>25</v>
      </c>
      <c r="K72" s="7" cm="1">
        <f t="array" ref="K72">_xlfn.LET(_xlpm.result,10*_xlfn.XLOOKUP($A72,$A$2:$A$26,_xlfn.XLOOKUP(K$29,$B$1:$L$1,$B$2:$L$26)),IF(_xlpm.result&lt;0,"",_xlpm.result))</f>
        <v>68.999999999999901</v>
      </c>
      <c r="L72" s="1" t="str" cm="1">
        <f t="array" ref="L72">_xlfn.LET(_xlpm.result,10*_xlfn.XLOOKUP($A72,$A$2:$A$26,_xlfn.XLOOKUP(L$29,$B$1:$L$1,$B$2:$L$26)),IF(_xlpm.result&lt;0,"",_xlpm.result))</f>
        <v/>
      </c>
      <c r="M72" s="19">
        <f t="shared" si="3"/>
        <v>68.999999999999901</v>
      </c>
    </row>
    <row r="73" spans="1:14" x14ac:dyDescent="0.25">
      <c r="A73" t="s">
        <v>50</v>
      </c>
      <c r="B73" s="1" t="str" cm="1">
        <f t="array" ref="B73">_xlfn.LET(_xlpm.result,10*_xlfn.XLOOKUP($A73,$A$2:$A$26,_xlfn.XLOOKUP(B$29,$B$1:$L$1,$B$2:$L$26)),IF(_xlpm.result&lt;0,"",_xlpm.result))</f>
        <v/>
      </c>
      <c r="C73" s="1" cm="1">
        <f t="array" ref="C73">_xlfn.LET(_xlpm.result,10*_xlfn.XLOOKUP($A73,$A$2:$A$26,_xlfn.XLOOKUP(C$29,$B$1:$L$1,$B$2:$L$26)),IF(_xlpm.result&lt;0,"",_xlpm.result))</f>
        <v>12</v>
      </c>
      <c r="D73" s="1" t="str" cm="1">
        <f t="array" ref="D73">_xlfn.LET(_xlpm.result,10*_xlfn.XLOOKUP($A73,$A$2:$A$26,_xlfn.XLOOKUP(D$29,$B$1:$L$1,$B$2:$L$26)),IF(_xlpm.result&lt;0,"",_xlpm.result))</f>
        <v/>
      </c>
      <c r="E73" s="1" cm="1">
        <f t="array" ref="E73">_xlfn.LET(_xlpm.result,10*_xlfn.XLOOKUP($A73,$A$2:$A$26,_xlfn.XLOOKUP(E$29,$B$1:$L$1,$B$2:$L$26)),IF(_xlpm.result&lt;0,"",_xlpm.result))</f>
        <v>71.999999999999901</v>
      </c>
      <c r="F73" s="1" cm="1">
        <f t="array" ref="F73">_xlfn.LET(_xlpm.result,10*_xlfn.XLOOKUP($A73,$A$2:$A$26,_xlfn.XLOOKUP(F$29,$B$1:$L$1,$B$2:$L$26)),IF(_xlpm.result&lt;0,"",_xlpm.result))</f>
        <v>0</v>
      </c>
      <c r="G73" s="1" cm="1">
        <f t="array" ref="G73">_xlfn.LET(_xlpm.result,10*_xlfn.XLOOKUP($A73,$A$2:$A$26,_xlfn.XLOOKUP(G$29,$B$1:$L$1,$B$2:$L$26)),IF(_xlpm.result&lt;0,"",_xlpm.result))</f>
        <v>2.9999999999999898</v>
      </c>
      <c r="H73" s="1" cm="1">
        <f t="array" ref="H73">_xlfn.LET(_xlpm.result,10*_xlfn.XLOOKUP($A73,$A$2:$A$26,_xlfn.XLOOKUP(H$29,$B$1:$L$1,$B$2:$L$26)),IF(_xlpm.result&lt;0,"",_xlpm.result))</f>
        <v>35.999999999999901</v>
      </c>
      <c r="I73" s="1" cm="1">
        <f t="array" ref="I73">_xlfn.LET(_xlpm.result,10*_xlfn.XLOOKUP($A73,$A$2:$A$26,_xlfn.XLOOKUP(I$29,$B$1:$L$1,$B$2:$L$26)),IF(_xlpm.result&lt;0,"",_xlpm.result))</f>
        <v>10.999999999999901</v>
      </c>
      <c r="J73" s="1" t="str" cm="1">
        <f t="array" ref="J73">_xlfn.LET(_xlpm.result,10*_xlfn.XLOOKUP($A73,$A$2:$A$26,_xlfn.XLOOKUP(J$29,$B$1:$L$1,$B$2:$L$26)),IF(_xlpm.result&lt;0,"",_xlpm.result))</f>
        <v/>
      </c>
      <c r="K73" s="1" cm="1">
        <f t="array" ref="K73">_xlfn.LET(_xlpm.result,10*_xlfn.XLOOKUP($A73,$A$2:$A$26,_xlfn.XLOOKUP(K$29,$B$1:$L$1,$B$2:$L$26)),IF(_xlpm.result&lt;0,"",_xlpm.result))</f>
        <v>7</v>
      </c>
      <c r="L73" s="1" t="str" cm="1">
        <f t="array" ref="L73">_xlfn.LET(_xlpm.result,10*_xlfn.XLOOKUP($A73,$A$2:$A$26,_xlfn.XLOOKUP(L$29,$B$1:$L$1,$B$2:$L$26)),IF(_xlpm.result&lt;0,"",_xlpm.result))</f>
        <v/>
      </c>
      <c r="M73" s="10">
        <f t="shared" si="3"/>
        <v>71.999999999999901</v>
      </c>
    </row>
    <row r="74" spans="1:14" ht="18.75" x14ac:dyDescent="0.3">
      <c r="A74" t="s">
        <v>27</v>
      </c>
      <c r="B74" s="1" t="str" cm="1">
        <f t="array" ref="B74">_xlfn.LET(_xlpm.result,10*_xlfn.XLOOKUP($A74,$A$2:$A$26,_xlfn.XLOOKUP(B$29,$B$1:$L$1,$B$2:$L$26)),IF(_xlpm.result&lt;0,"",_xlpm.result))</f>
        <v/>
      </c>
      <c r="C74" s="1" cm="1">
        <f t="array" ref="C74">_xlfn.LET(_xlpm.result,10*_xlfn.XLOOKUP($A74,$A$2:$A$26,_xlfn.XLOOKUP(C$29,$B$1:$L$1,$B$2:$L$26)),IF(_xlpm.result&lt;0,"",_xlpm.result))</f>
        <v>29</v>
      </c>
      <c r="D74" s="1" cm="1">
        <f t="array" ref="D74">_xlfn.LET(_xlpm.result,10*_xlfn.XLOOKUP($A74,$A$2:$A$26,_xlfn.XLOOKUP(D$29,$B$1:$L$1,$B$2:$L$26)),IF(_xlpm.result&lt;0,"",_xlpm.result))</f>
        <v>0</v>
      </c>
      <c r="E74" s="20" cm="1">
        <f t="array" ref="E74">_xlfn.LET(_xlpm.result,10*_xlfn.XLOOKUP($A74,$A$2:$A$26,_xlfn.XLOOKUP(E$29,$B$1:$L$1,$B$2:$L$26)),IF(_xlpm.result&lt;0,"",_xlpm.result))</f>
        <v>73</v>
      </c>
      <c r="F74" s="1" t="str" cm="1">
        <f t="array" ref="F74">_xlfn.LET(_xlpm.result,10*_xlfn.XLOOKUP($A74,$A$2:$A$26,_xlfn.XLOOKUP(F$29,$B$1:$L$1,$B$2:$L$26)),IF(_xlpm.result&lt;0,"",_xlpm.result))</f>
        <v/>
      </c>
      <c r="G74" s="1" t="str" cm="1">
        <f t="array" ref="G74">_xlfn.LET(_xlpm.result,10*_xlfn.XLOOKUP($A74,$A$2:$A$26,_xlfn.XLOOKUP(G$29,$B$1:$L$1,$B$2:$L$26)),IF(_xlpm.result&lt;0,"",_xlpm.result))</f>
        <v/>
      </c>
      <c r="H74" s="1" t="str" cm="1">
        <f t="array" ref="H74">_xlfn.LET(_xlpm.result,10*_xlfn.XLOOKUP($A74,$A$2:$A$26,_xlfn.XLOOKUP(H$29,$B$1:$L$1,$B$2:$L$26)),IF(_xlpm.result&lt;0,"",_xlpm.result))</f>
        <v/>
      </c>
      <c r="I74" s="1" cm="1">
        <f t="array" ref="I74">_xlfn.LET(_xlpm.result,10*_xlfn.XLOOKUP($A74,$A$2:$A$26,_xlfn.XLOOKUP(I$29,$B$1:$L$1,$B$2:$L$26)),IF(_xlpm.result&lt;0,"",_xlpm.result))</f>
        <v>29</v>
      </c>
      <c r="J74" s="1" cm="1">
        <f t="array" ref="J74">_xlfn.LET(_xlpm.result,10*_xlfn.XLOOKUP($A74,$A$2:$A$26,_xlfn.XLOOKUP(J$29,$B$1:$L$1,$B$2:$L$26)),IF(_xlpm.result&lt;0,"",_xlpm.result))</f>
        <v>7</v>
      </c>
      <c r="K74" s="1" t="str" cm="1">
        <f t="array" ref="K74">_xlfn.LET(_xlpm.result,10*_xlfn.XLOOKUP($A74,$A$2:$A$26,_xlfn.XLOOKUP(K$29,$B$1:$L$1,$B$2:$L$26)),IF(_xlpm.result&lt;0,"",_xlpm.result))</f>
        <v/>
      </c>
      <c r="L74" s="1" cm="1">
        <f t="array" ref="L74">_xlfn.LET(_xlpm.result,10*_xlfn.XLOOKUP($A74,$A$2:$A$26,_xlfn.XLOOKUP(L$29,$B$1:$L$1,$B$2:$L$26)),IF(_xlpm.result&lt;0,"",_xlpm.result))</f>
        <v>3.9999999999999902</v>
      </c>
      <c r="M74" s="10">
        <f t="shared" si="3"/>
        <v>73</v>
      </c>
      <c r="N74">
        <v>11</v>
      </c>
    </row>
    <row r="75" spans="1:14" s="16" customFormat="1" ht="18.75" x14ac:dyDescent="0.3">
      <c r="A75" s="16" t="s">
        <v>33</v>
      </c>
      <c r="B75" s="17" cm="1">
        <f t="array" ref="B75">_xlfn.LET(_xlpm.result,10*_xlfn.XLOOKUP($A75,$A$2:$A$26,_xlfn.XLOOKUP(B$29,$B$1:$L$1,$B$2:$L$26)),IF(_xlpm.result&lt;0,"",_xlpm.result))</f>
        <v>0</v>
      </c>
      <c r="C75" s="17" cm="1">
        <f t="array" ref="C75">_xlfn.LET(_xlpm.result,10*_xlfn.XLOOKUP($A75,$A$2:$A$26,_xlfn.XLOOKUP(C$29,$B$1:$L$1,$B$2:$L$26)),IF(_xlpm.result&lt;0,"",_xlpm.result))</f>
        <v>43.999999999999901</v>
      </c>
      <c r="D75" s="17" t="str" cm="1">
        <f t="array" ref="D75">_xlfn.LET(_xlpm.result,10*_xlfn.XLOOKUP($A75,$A$2:$A$26,_xlfn.XLOOKUP(D$29,$B$1:$L$1,$B$2:$L$26)),IF(_xlpm.result&lt;0,"",_xlpm.result))</f>
        <v/>
      </c>
      <c r="E75" s="17" t="str" cm="1">
        <f t="array" ref="E75">_xlfn.LET(_xlpm.result,10*_xlfn.XLOOKUP($A75,$A$2:$A$26,_xlfn.XLOOKUP(E$29,$B$1:$L$1,$B$2:$L$26)),IF(_xlpm.result&lt;0,"",_xlpm.result))</f>
        <v/>
      </c>
      <c r="F75" s="17" cm="1">
        <f t="array" ref="F75">_xlfn.LET(_xlpm.result,10*_xlfn.XLOOKUP($A75,$A$2:$A$26,_xlfn.XLOOKUP(F$29,$B$1:$L$1,$B$2:$L$26)),IF(_xlpm.result&lt;0,"",_xlpm.result))</f>
        <v>0</v>
      </c>
      <c r="G75" s="17" cm="1">
        <f t="array" ref="G75">_xlfn.LET(_xlpm.result,10*_xlfn.XLOOKUP($A75,$A$2:$A$26,_xlfn.XLOOKUP(G$29,$B$1:$L$1,$B$2:$L$26)),IF(_xlpm.result&lt;0,"",_xlpm.result))</f>
        <v>77</v>
      </c>
      <c r="H75" s="17" t="str" cm="1">
        <f t="array" ref="H75">_xlfn.LET(_xlpm.result,10*_xlfn.XLOOKUP($A75,$A$2:$A$26,_xlfn.XLOOKUP(H$29,$B$1:$L$1,$B$2:$L$26)),IF(_xlpm.result&lt;0,"",_xlpm.result))</f>
        <v/>
      </c>
      <c r="I75" s="17" cm="1">
        <f t="array" ref="I75">_xlfn.LET(_xlpm.result,10*_xlfn.XLOOKUP($A75,$A$2:$A$26,_xlfn.XLOOKUP(I$29,$B$1:$L$1,$B$2:$L$26)),IF(_xlpm.result&lt;0,"",_xlpm.result))</f>
        <v>56</v>
      </c>
      <c r="J75" s="17" t="str" cm="1">
        <f t="array" ref="J75">_xlfn.LET(_xlpm.result,10*_xlfn.XLOOKUP($A75,$A$2:$A$26,_xlfn.XLOOKUP(J$29,$B$1:$L$1,$B$2:$L$26)),IF(_xlpm.result&lt;0,"",_xlpm.result))</f>
        <v/>
      </c>
      <c r="K75" s="17" t="str" cm="1">
        <f t="array" ref="K75">_xlfn.LET(_xlpm.result,10*_xlfn.XLOOKUP($A75,$A$2:$A$26,_xlfn.XLOOKUP(K$29,$B$1:$L$1,$B$2:$L$26)),IF(_xlpm.result&lt;0,"",_xlpm.result))</f>
        <v/>
      </c>
      <c r="L75" s="20" cm="1">
        <f t="array" ref="L75">_xlfn.LET(_xlpm.result,10*_xlfn.XLOOKUP($A75,$A$2:$A$26,_xlfn.XLOOKUP(L$29,$B$1:$L$1,$B$2:$L$26)),IF(_xlpm.result&lt;0,"",_xlpm.result))</f>
        <v>77</v>
      </c>
      <c r="M75" s="19">
        <f t="shared" si="3"/>
        <v>77</v>
      </c>
      <c r="N75" s="16">
        <v>10</v>
      </c>
    </row>
    <row r="76" spans="1:14" s="16" customFormat="1" ht="18.75" x14ac:dyDescent="0.3">
      <c r="A76" s="16" t="s">
        <v>48</v>
      </c>
      <c r="B76" s="17" cm="1">
        <f t="array" ref="B76">_xlfn.LET(_xlpm.result,10*_xlfn.XLOOKUP($A76,$A$2:$A$26,_xlfn.XLOOKUP(B$29,$B$1:$L$1,$B$2:$L$26)),IF(_xlpm.result&lt;0,"",_xlpm.result))</f>
        <v>86</v>
      </c>
      <c r="C76" s="17" cm="1">
        <f t="array" ref="C76">_xlfn.LET(_xlpm.result,10*_xlfn.XLOOKUP($A76,$A$2:$A$26,_xlfn.XLOOKUP(C$29,$B$1:$L$1,$B$2:$L$26)),IF(_xlpm.result&lt;0,"",_xlpm.result))</f>
        <v>0</v>
      </c>
      <c r="D76" s="17" cm="1">
        <f t="array" ref="D76">_xlfn.LET(_xlpm.result,10*_xlfn.XLOOKUP($A76,$A$2:$A$26,_xlfn.XLOOKUP(D$29,$B$1:$L$1,$B$2:$L$26)),IF(_xlpm.result&lt;0,"",_xlpm.result))</f>
        <v>17.999999999999901</v>
      </c>
      <c r="E76" s="17" t="str" cm="1">
        <f t="array" ref="E76">_xlfn.LET(_xlpm.result,10*_xlfn.XLOOKUP($A76,$A$2:$A$26,_xlfn.XLOOKUP(E$29,$B$1:$L$1,$B$2:$L$26)),IF(_xlpm.result&lt;0,"",_xlpm.result))</f>
        <v/>
      </c>
      <c r="F76" s="17" t="str" cm="1">
        <f t="array" ref="F76">_xlfn.LET(_xlpm.result,10*_xlfn.XLOOKUP($A76,$A$2:$A$26,_xlfn.XLOOKUP(F$29,$B$1:$L$1,$B$2:$L$26)),IF(_xlpm.result&lt;0,"",_xlpm.result))</f>
        <v/>
      </c>
      <c r="G76" s="17" cm="1">
        <f t="array" ref="G76">_xlfn.LET(_xlpm.result,10*_xlfn.XLOOKUP($A76,$A$2:$A$26,_xlfn.XLOOKUP(G$29,$B$1:$L$1,$B$2:$L$26)),IF(_xlpm.result&lt;0,"",_xlpm.result))</f>
        <v>30.999999999999901</v>
      </c>
      <c r="H76" s="20" cm="1">
        <f t="array" ref="H76">_xlfn.LET(_xlpm.result,10*_xlfn.XLOOKUP($A76,$A$2:$A$26,_xlfn.XLOOKUP(H$29,$B$1:$L$1,$B$2:$L$26)),IF(_xlpm.result&lt;0,"",_xlpm.result))</f>
        <v>86</v>
      </c>
      <c r="I76" s="17" cm="1">
        <f t="array" ref="I76">_xlfn.LET(_xlpm.result,10*_xlfn.XLOOKUP($A76,$A$2:$A$26,_xlfn.XLOOKUP(I$29,$B$1:$L$1,$B$2:$L$26)),IF(_xlpm.result&lt;0,"",_xlpm.result))</f>
        <v>35.999999999999901</v>
      </c>
      <c r="J76" s="17" cm="1">
        <f t="array" ref="J76">_xlfn.LET(_xlpm.result,10*_xlfn.XLOOKUP($A76,$A$2:$A$26,_xlfn.XLOOKUP(J$29,$B$1:$L$1,$B$2:$L$26)),IF(_xlpm.result&lt;0,"",_xlpm.result))</f>
        <v>56.999999999999901</v>
      </c>
      <c r="K76" s="17" cm="1">
        <f t="array" ref="K76">_xlfn.LET(_xlpm.result,10*_xlfn.XLOOKUP($A76,$A$2:$A$26,_xlfn.XLOOKUP(K$29,$B$1:$L$1,$B$2:$L$26)),IF(_xlpm.result&lt;0,"",_xlpm.result))</f>
        <v>66.999999999999901</v>
      </c>
      <c r="L76" s="17" cm="1">
        <f t="array" ref="L76">_xlfn.LET(_xlpm.result,10*_xlfn.XLOOKUP($A76,$A$2:$A$26,_xlfn.XLOOKUP(L$29,$B$1:$L$1,$B$2:$L$26)),IF(_xlpm.result&lt;0,"",_xlpm.result))</f>
        <v>56.999999999999901</v>
      </c>
      <c r="M76" s="19">
        <f t="shared" si="3"/>
        <v>86</v>
      </c>
      <c r="N76">
        <v>9</v>
      </c>
    </row>
    <row r="77" spans="1:14" ht="18.75" x14ac:dyDescent="0.3">
      <c r="A77" t="s">
        <v>46</v>
      </c>
      <c r="B77" s="1" t="str" cm="1">
        <f t="array" ref="B77">_xlfn.LET(_xlpm.result,10*_xlfn.XLOOKUP($A77,$A$2:$A$26,_xlfn.XLOOKUP(B$29,$B$1:$L$1,$B$2:$L$26)),IF(_xlpm.result&lt;0,"",_xlpm.result))</f>
        <v/>
      </c>
      <c r="C77" s="1" t="str" cm="1">
        <f t="array" ref="C77">_xlfn.LET(_xlpm.result,10*_xlfn.XLOOKUP($A77,$A$2:$A$26,_xlfn.XLOOKUP(C$29,$B$1:$L$1,$B$2:$L$26)),IF(_xlpm.result&lt;0,"",_xlpm.result))</f>
        <v/>
      </c>
      <c r="D77" s="1" t="str" cm="1">
        <f t="array" ref="D77">_xlfn.LET(_xlpm.result,10*_xlfn.XLOOKUP($A77,$A$2:$A$26,_xlfn.XLOOKUP(D$29,$B$1:$L$1,$B$2:$L$26)),IF(_xlpm.result&lt;0,"",_xlpm.result))</f>
        <v/>
      </c>
      <c r="E77" s="1" cm="1">
        <f t="array" ref="E77">_xlfn.LET(_xlpm.result,10*_xlfn.XLOOKUP($A77,$A$2:$A$26,_xlfn.XLOOKUP(E$29,$B$1:$L$1,$B$2:$L$26)),IF(_xlpm.result&lt;0,"",_xlpm.result))</f>
        <v>10.999999999999901</v>
      </c>
      <c r="F77" s="1" cm="1">
        <f t="array" ref="F77">_xlfn.LET(_xlpm.result,10*_xlfn.XLOOKUP($A77,$A$2:$A$26,_xlfn.XLOOKUP(F$29,$B$1:$L$1,$B$2:$L$26)),IF(_xlpm.result&lt;0,"",_xlpm.result))</f>
        <v>36.999999999999901</v>
      </c>
      <c r="G77" s="20" cm="1">
        <f t="array" ref="G77">_xlfn.LET(_xlpm.result,10*_xlfn.XLOOKUP($A77,$A$2:$A$26,_xlfn.XLOOKUP(G$29,$B$1:$L$1,$B$2:$L$26)),IF(_xlpm.result&lt;0,"",_xlpm.result))</f>
        <v>56</v>
      </c>
      <c r="H77" s="1" cm="1">
        <f t="array" ref="H77">_xlfn.LET(_xlpm.result,10*_xlfn.XLOOKUP($A77,$A$2:$A$26,_xlfn.XLOOKUP(H$29,$B$1:$L$1,$B$2:$L$26)),IF(_xlpm.result&lt;0,"",_xlpm.result))</f>
        <v>0</v>
      </c>
      <c r="I77" s="1" cm="1">
        <f t="array" ref="I77">_xlfn.LET(_xlpm.result,10*_xlfn.XLOOKUP($A77,$A$2:$A$26,_xlfn.XLOOKUP(I$29,$B$1:$L$1,$B$2:$L$26)),IF(_xlpm.result&lt;0,"",_xlpm.result))</f>
        <v>88</v>
      </c>
      <c r="J77" s="1" t="str" cm="1">
        <f t="array" ref="J77">_xlfn.LET(_xlpm.result,10*_xlfn.XLOOKUP($A77,$A$2:$A$26,_xlfn.XLOOKUP(J$29,$B$1:$L$1,$B$2:$L$26)),IF(_xlpm.result&lt;0,"",_xlpm.result))</f>
        <v/>
      </c>
      <c r="K77" s="1" cm="1">
        <f t="array" ref="K77">_xlfn.LET(_xlpm.result,10*_xlfn.XLOOKUP($A77,$A$2:$A$26,_xlfn.XLOOKUP(K$29,$B$1:$L$1,$B$2:$L$26)),IF(_xlpm.result&lt;0,"",_xlpm.result))</f>
        <v>10.999999999999901</v>
      </c>
      <c r="L77" s="1" t="str" cm="1">
        <f t="array" ref="L77">_xlfn.LET(_xlpm.result,10*_xlfn.XLOOKUP($A77,$A$2:$A$26,_xlfn.XLOOKUP(L$29,$B$1:$L$1,$B$2:$L$26)),IF(_xlpm.result&lt;0,"",_xlpm.result))</f>
        <v/>
      </c>
      <c r="M77" s="10">
        <f t="shared" si="3"/>
        <v>88</v>
      </c>
      <c r="N77">
        <v>8</v>
      </c>
    </row>
    <row r="78" spans="1:14" ht="18.75" x14ac:dyDescent="0.3">
      <c r="A78" t="s">
        <v>21</v>
      </c>
      <c r="B78" s="1" cm="1">
        <f t="array" ref="B78">_xlfn.LET(_xlpm.result,10*_xlfn.XLOOKUP($A78,$A$2:$A$26,_xlfn.XLOOKUP(B$29,$B$1:$L$1,$B$2:$L$26)),IF(_xlpm.result&lt;0,"",_xlpm.result))</f>
        <v>35</v>
      </c>
      <c r="C78" s="1" cm="1">
        <f t="array" ref="C78">_xlfn.LET(_xlpm.result,10*_xlfn.XLOOKUP($A78,$A$2:$A$26,_xlfn.XLOOKUP(C$29,$B$1:$L$1,$B$2:$L$26)),IF(_xlpm.result&lt;0,"",_xlpm.result))</f>
        <v>71</v>
      </c>
      <c r="D78" s="20" cm="1">
        <f t="array" ref="D78">_xlfn.LET(_xlpm.result,10*_xlfn.XLOOKUP($A78,$A$2:$A$26,_xlfn.XLOOKUP(D$29,$B$1:$L$1,$B$2:$L$26)),IF(_xlpm.result&lt;0,"",_xlpm.result))</f>
        <v>35</v>
      </c>
      <c r="E78" s="1" cm="1">
        <f t="array" ref="E78">_xlfn.LET(_xlpm.result,10*_xlfn.XLOOKUP($A78,$A$2:$A$26,_xlfn.XLOOKUP(E$29,$B$1:$L$1,$B$2:$L$26)),IF(_xlpm.result&lt;0,"",_xlpm.result))</f>
        <v>80</v>
      </c>
      <c r="F78" s="1" cm="1">
        <f t="array" ref="F78">_xlfn.LET(_xlpm.result,10*_xlfn.XLOOKUP($A78,$A$2:$A$26,_xlfn.XLOOKUP(F$29,$B$1:$L$1,$B$2:$L$26)),IF(_xlpm.result&lt;0,"",_xlpm.result))</f>
        <v>91</v>
      </c>
      <c r="G78" s="1" cm="1">
        <f t="array" ref="G78">_xlfn.LET(_xlpm.result,10*_xlfn.XLOOKUP($A78,$A$2:$A$26,_xlfn.XLOOKUP(G$29,$B$1:$L$1,$B$2:$L$26)),IF(_xlpm.result&lt;0,"",_xlpm.result))</f>
        <v>82</v>
      </c>
      <c r="H78" s="1" cm="1">
        <f t="array" ref="H78">_xlfn.LET(_xlpm.result,10*_xlfn.XLOOKUP($A78,$A$2:$A$26,_xlfn.XLOOKUP(H$29,$B$1:$L$1,$B$2:$L$26)),IF(_xlpm.result&lt;0,"",_xlpm.result))</f>
        <v>14</v>
      </c>
      <c r="I78" s="1" cm="1">
        <f t="array" ref="I78">_xlfn.LET(_xlpm.result,10*_xlfn.XLOOKUP($A78,$A$2:$A$26,_xlfn.XLOOKUP(I$29,$B$1:$L$1,$B$2:$L$26)),IF(_xlpm.result&lt;0,"",_xlpm.result))</f>
        <v>82</v>
      </c>
      <c r="J78" s="1" cm="1">
        <f t="array" ref="J78">_xlfn.LET(_xlpm.result,10*_xlfn.XLOOKUP($A78,$A$2:$A$26,_xlfn.XLOOKUP(J$29,$B$1:$L$1,$B$2:$L$26)),IF(_xlpm.result&lt;0,"",_xlpm.result))</f>
        <v>21.999999999999901</v>
      </c>
      <c r="K78" s="1" t="str" cm="1">
        <f t="array" ref="K78">_xlfn.LET(_xlpm.result,10*_xlfn.XLOOKUP($A78,$A$2:$A$26,_xlfn.XLOOKUP(K$29,$B$1:$L$1,$B$2:$L$26)),IF(_xlpm.result&lt;0,"",_xlpm.result))</f>
        <v/>
      </c>
      <c r="L78" s="1" cm="1">
        <f t="array" ref="L78">_xlfn.LET(_xlpm.result,10*_xlfn.XLOOKUP($A78,$A$2:$A$26,_xlfn.XLOOKUP(L$29,$B$1:$L$1,$B$2:$L$26)),IF(_xlpm.result&lt;0,"",_xlpm.result))</f>
        <v>14</v>
      </c>
      <c r="M78" s="10">
        <f t="shared" si="3"/>
        <v>91</v>
      </c>
      <c r="N78">
        <v>7</v>
      </c>
    </row>
    <row r="79" spans="1:14" s="16" customFormat="1" ht="18.75" x14ac:dyDescent="0.3">
      <c r="A79" s="16" t="s">
        <v>44</v>
      </c>
      <c r="B79" s="17" cm="1">
        <f t="array" ref="B79">_xlfn.LET(_xlpm.result,10*_xlfn.XLOOKUP($A79,$A$2:$A$26,_xlfn.XLOOKUP(B$29,$B$1:$L$1,$B$2:$L$26)),IF(_xlpm.result&lt;0,"",_xlpm.result))</f>
        <v>27</v>
      </c>
      <c r="C79" s="17" cm="1">
        <f t="array" ref="C79">_xlfn.LET(_xlpm.result,10*_xlfn.XLOOKUP($A79,$A$2:$A$26,_xlfn.XLOOKUP(C$29,$B$1:$L$1,$B$2:$L$26)),IF(_xlpm.result&lt;0,"",_xlpm.result))</f>
        <v>0</v>
      </c>
      <c r="D79" s="17" t="str" cm="1">
        <f t="array" ref="D79">_xlfn.LET(_xlpm.result,10*_xlfn.XLOOKUP($A79,$A$2:$A$26,_xlfn.XLOOKUP(D$29,$B$1:$L$1,$B$2:$L$26)),IF(_xlpm.result&lt;0,"",_xlpm.result))</f>
        <v/>
      </c>
      <c r="E79" s="17" t="str" cm="1">
        <f t="array" ref="E79">_xlfn.LET(_xlpm.result,10*_xlfn.XLOOKUP($A79,$A$2:$A$26,_xlfn.XLOOKUP(E$29,$B$1:$L$1,$B$2:$L$26)),IF(_xlpm.result&lt;0,"",_xlpm.result))</f>
        <v/>
      </c>
      <c r="F79" s="17" cm="1">
        <f t="array" ref="F79">_xlfn.LET(_xlpm.result,10*_xlfn.XLOOKUP($A79,$A$2:$A$26,_xlfn.XLOOKUP(F$29,$B$1:$L$1,$B$2:$L$26)),IF(_xlpm.result&lt;0,"",_xlpm.result))</f>
        <v>23</v>
      </c>
      <c r="G79" s="17" cm="1">
        <f t="array" ref="G79">_xlfn.LET(_xlpm.result,10*_xlfn.XLOOKUP($A79,$A$2:$A$26,_xlfn.XLOOKUP(G$29,$B$1:$L$1,$B$2:$L$26)),IF(_xlpm.result&lt;0,"",_xlpm.result))</f>
        <v>52</v>
      </c>
      <c r="H79" s="17" cm="1">
        <f t="array" ref="H79">_xlfn.LET(_xlpm.result,10*_xlfn.XLOOKUP($A79,$A$2:$A$26,_xlfn.XLOOKUP(H$29,$B$1:$L$1,$B$2:$L$26)),IF(_xlpm.result&lt;0,"",_xlpm.result))</f>
        <v>30</v>
      </c>
      <c r="I79" s="20" cm="1">
        <f t="array" ref="I79">_xlfn.LET(_xlpm.result,10*_xlfn.XLOOKUP($A79,$A$2:$A$26,_xlfn.XLOOKUP(I$29,$B$1:$L$1,$B$2:$L$26)),IF(_xlpm.result&lt;0,"",_xlpm.result))</f>
        <v>96</v>
      </c>
      <c r="J79" s="17" cm="1">
        <f t="array" ref="J79">_xlfn.LET(_xlpm.result,10*_xlfn.XLOOKUP($A79,$A$2:$A$26,_xlfn.XLOOKUP(J$29,$B$1:$L$1,$B$2:$L$26)),IF(_xlpm.result&lt;0,"",_xlpm.result))</f>
        <v>16</v>
      </c>
      <c r="K79" s="17" cm="1">
        <f t="array" ref="K79">_xlfn.LET(_xlpm.result,10*_xlfn.XLOOKUP($A79,$A$2:$A$26,_xlfn.XLOOKUP(K$29,$B$1:$L$1,$B$2:$L$26)),IF(_xlpm.result&lt;0,"",_xlpm.result))</f>
        <v>10</v>
      </c>
      <c r="L79" s="17" cm="1">
        <f t="array" ref="L79">_xlfn.LET(_xlpm.result,10*_xlfn.XLOOKUP($A79,$A$2:$A$26,_xlfn.XLOOKUP(L$29,$B$1:$L$1,$B$2:$L$26)),IF(_xlpm.result&lt;0,"",_xlpm.result))</f>
        <v>16</v>
      </c>
      <c r="M79" s="19">
        <f t="shared" si="3"/>
        <v>96</v>
      </c>
      <c r="N79" s="16">
        <v>6</v>
      </c>
    </row>
    <row r="80" spans="1:14" ht="18.75" x14ac:dyDescent="0.3">
      <c r="A80" s="16" t="s">
        <v>22</v>
      </c>
      <c r="B80" s="20" cm="1">
        <f t="array" ref="B80">_xlfn.LET(_xlpm.result,10*_xlfn.XLOOKUP($A80,$A$2:$A$26,_xlfn.XLOOKUP(B$29,$B$1:$L$1,$B$2:$L$26)),IF(_xlpm.result&lt;0,"",_xlpm.result))</f>
        <v>68</v>
      </c>
      <c r="C80" s="17" t="str" cm="1">
        <f t="array" ref="C80">_xlfn.LET(_xlpm.result,10*_xlfn.XLOOKUP($A80,$A$2:$A$26,_xlfn.XLOOKUP(C$29,$B$1:$L$1,$B$2:$L$26)),IF(_xlpm.result&lt;0,"",_xlpm.result))</f>
        <v/>
      </c>
      <c r="D80" s="17" cm="1">
        <f t="array" ref="D80">_xlfn.LET(_xlpm.result,10*_xlfn.XLOOKUP($A80,$A$2:$A$26,_xlfn.XLOOKUP(D$29,$B$1:$L$1,$B$2:$L$26)),IF(_xlpm.result&lt;0,"",_xlpm.result))</f>
        <v>78</v>
      </c>
      <c r="E80" s="17" cm="1">
        <f t="array" ref="E80">_xlfn.LET(_xlpm.result,10*_xlfn.XLOOKUP($A80,$A$2:$A$26,_xlfn.XLOOKUP(E$29,$B$1:$L$1,$B$2:$L$26)),IF(_xlpm.result&lt;0,"",_xlpm.result))</f>
        <v>11</v>
      </c>
      <c r="F80" s="17" cm="1">
        <f t="array" ref="F80">_xlfn.LET(_xlpm.result,10*_xlfn.XLOOKUP($A80,$A$2:$A$26,_xlfn.XLOOKUP(F$29,$B$1:$L$1,$B$2:$L$26)),IF(_xlpm.result&lt;0,"",_xlpm.result))</f>
        <v>11</v>
      </c>
      <c r="G80" s="17" cm="1">
        <f t="array" ref="G80">_xlfn.LET(_xlpm.result,10*_xlfn.XLOOKUP($A80,$A$2:$A$26,_xlfn.XLOOKUP(G$29,$B$1:$L$1,$B$2:$L$26)),IF(_xlpm.result&lt;0,"",_xlpm.result))</f>
        <v>21</v>
      </c>
      <c r="H80" s="17" cm="1">
        <f t="array" ref="H80">_xlfn.LET(_xlpm.result,10*_xlfn.XLOOKUP($A80,$A$2:$A$26,_xlfn.XLOOKUP(H$29,$B$1:$L$1,$B$2:$L$26)),IF(_xlpm.result&lt;0,"",_xlpm.result))</f>
        <v>89</v>
      </c>
      <c r="I80" s="17" cm="1">
        <f t="array" ref="I80">_xlfn.LET(_xlpm.result,10*_xlfn.XLOOKUP($A80,$A$2:$A$26,_xlfn.XLOOKUP(I$29,$B$1:$L$1,$B$2:$L$26)),IF(_xlpm.result&lt;0,"",_xlpm.result))</f>
        <v>29</v>
      </c>
      <c r="J80" s="17" cm="1">
        <f t="array" ref="J80">_xlfn.LET(_xlpm.result,10*_xlfn.XLOOKUP($A80,$A$2:$A$26,_xlfn.XLOOKUP(J$29,$B$1:$L$1,$B$2:$L$26)),IF(_xlpm.result&lt;0,"",_xlpm.result))</f>
        <v>87</v>
      </c>
      <c r="K80" s="17" t="str" cm="1">
        <f t="array" ref="K80">_xlfn.LET(_xlpm.result,10*_xlfn.XLOOKUP($A80,$A$2:$A$26,_xlfn.XLOOKUP(K$29,$B$1:$L$1,$B$2:$L$26)),IF(_xlpm.result&lt;0,"",_xlpm.result))</f>
        <v/>
      </c>
      <c r="L80" s="17" cm="1">
        <f t="array" ref="L80">_xlfn.LET(_xlpm.result,10*_xlfn.XLOOKUP($A80,$A$2:$A$26,_xlfn.XLOOKUP(L$29,$B$1:$L$1,$B$2:$L$26)),IF(_xlpm.result&lt;0,"",_xlpm.result))</f>
        <v>98</v>
      </c>
      <c r="M80" s="19">
        <f t="shared" si="3"/>
        <v>98</v>
      </c>
      <c r="N80">
        <v>5</v>
      </c>
    </row>
    <row r="81" spans="1:15" s="16" customFormat="1" ht="18.75" x14ac:dyDescent="0.3">
      <c r="A81" s="16" t="s">
        <v>36</v>
      </c>
      <c r="B81" s="17" cm="1">
        <f t="array" ref="B81">_xlfn.LET(_xlpm.result,10*_xlfn.XLOOKUP($A81,$A$2:$A$26,_xlfn.XLOOKUP(B$29,$B$1:$L$1,$B$2:$L$26)),IF(_xlpm.result&lt;0,"",_xlpm.result))</f>
        <v>22</v>
      </c>
      <c r="C81" s="20" cm="1">
        <f t="array" ref="C81">_xlfn.LET(_xlpm.result,10*_xlfn.XLOOKUP($A81,$A$2:$A$26,_xlfn.XLOOKUP(C$29,$B$1:$L$1,$B$2:$L$26)),IF(_xlpm.result&lt;0,"",_xlpm.result))</f>
        <v>99</v>
      </c>
      <c r="D81" s="17" cm="1">
        <f t="array" ref="D81">_xlfn.LET(_xlpm.result,10*_xlfn.XLOOKUP($A81,$A$2:$A$26,_xlfn.XLOOKUP(D$29,$B$1:$L$1,$B$2:$L$26)),IF(_xlpm.result&lt;0,"",_xlpm.result))</f>
        <v>0.99999999999999889</v>
      </c>
      <c r="E81" s="17" cm="1">
        <f t="array" ref="E81">_xlfn.LET(_xlpm.result,10*_xlfn.XLOOKUP($A81,$A$2:$A$26,_xlfn.XLOOKUP(E$29,$B$1:$L$1,$B$2:$L$26)),IF(_xlpm.result&lt;0,"",_xlpm.result))</f>
        <v>22</v>
      </c>
      <c r="F81" s="17" cm="1">
        <f t="array" ref="F81">_xlfn.LET(_xlpm.result,10*_xlfn.XLOOKUP($A81,$A$2:$A$26,_xlfn.XLOOKUP(F$29,$B$1:$L$1,$B$2:$L$26)),IF(_xlpm.result&lt;0,"",_xlpm.result))</f>
        <v>0</v>
      </c>
      <c r="G81" s="17" cm="1">
        <f t="array" ref="G81">_xlfn.LET(_xlpm.result,10*_xlfn.XLOOKUP($A81,$A$2:$A$26,_xlfn.XLOOKUP(G$29,$B$1:$L$1,$B$2:$L$26)),IF(_xlpm.result&lt;0,"",_xlpm.result))</f>
        <v>66</v>
      </c>
      <c r="H81" s="17" t="str" cm="1">
        <f t="array" ref="H81">_xlfn.LET(_xlpm.result,10*_xlfn.XLOOKUP($A81,$A$2:$A$26,_xlfn.XLOOKUP(H$29,$B$1:$L$1,$B$2:$L$26)),IF(_xlpm.result&lt;0,"",_xlpm.result))</f>
        <v/>
      </c>
      <c r="I81" s="17" t="str" cm="1">
        <f t="array" ref="I81">_xlfn.LET(_xlpm.result,10*_xlfn.XLOOKUP($A81,$A$2:$A$26,_xlfn.XLOOKUP(I$29,$B$1:$L$1,$B$2:$L$26)),IF(_xlpm.result&lt;0,"",_xlpm.result))</f>
        <v/>
      </c>
      <c r="J81" s="17" t="str" cm="1">
        <f t="array" ref="J81">_xlfn.LET(_xlpm.result,10*_xlfn.XLOOKUP($A81,$A$2:$A$26,_xlfn.XLOOKUP(J$29,$B$1:$L$1,$B$2:$L$26)),IF(_xlpm.result&lt;0,"",_xlpm.result))</f>
        <v/>
      </c>
      <c r="K81" s="17" t="str" cm="1">
        <f t="array" ref="K81">_xlfn.LET(_xlpm.result,10*_xlfn.XLOOKUP($A81,$A$2:$A$26,_xlfn.XLOOKUP(K$29,$B$1:$L$1,$B$2:$L$26)),IF(_xlpm.result&lt;0,"",_xlpm.result))</f>
        <v/>
      </c>
      <c r="L81" s="17" t="str" cm="1">
        <f t="array" ref="L81">_xlfn.LET(_xlpm.result,10*_xlfn.XLOOKUP($A81,$A$2:$A$26,_xlfn.XLOOKUP(L$29,$B$1:$L$1,$B$2:$L$26)),IF(_xlpm.result&lt;0,"",_xlpm.result))</f>
        <v/>
      </c>
      <c r="M81" s="19">
        <f t="shared" si="3"/>
        <v>99</v>
      </c>
      <c r="N81" s="16">
        <v>4</v>
      </c>
    </row>
    <row r="82" spans="1:15" s="16" customFormat="1" ht="18.75" x14ac:dyDescent="0.3">
      <c r="A82" s="16" t="s">
        <v>47</v>
      </c>
      <c r="B82" s="17" cm="1">
        <f t="array" ref="B82">_xlfn.LET(_xlpm.result,10*_xlfn.XLOOKUP($A82,$A$2:$A$26,_xlfn.XLOOKUP(B$29,$B$1:$L$1,$B$2:$L$26)),IF(_xlpm.result&lt;0,"",_xlpm.result))</f>
        <v>0</v>
      </c>
      <c r="C82" s="17" t="str" cm="1">
        <f t="array" ref="C82">_xlfn.LET(_xlpm.result,10*_xlfn.XLOOKUP($A82,$A$2:$A$26,_xlfn.XLOOKUP(C$29,$B$1:$L$1,$B$2:$L$26)),IF(_xlpm.result&lt;0,"",_xlpm.result))</f>
        <v/>
      </c>
      <c r="D82" s="17" cm="1">
        <f t="array" ref="D82">_xlfn.LET(_xlpm.result,10*_xlfn.XLOOKUP($A82,$A$2:$A$26,_xlfn.XLOOKUP(D$29,$B$1:$L$1,$B$2:$L$26)),IF(_xlpm.result&lt;0,"",_xlpm.result))</f>
        <v>24</v>
      </c>
      <c r="E82" s="17" t="str" cm="1">
        <f t="array" ref="E82">_xlfn.LET(_xlpm.result,10*_xlfn.XLOOKUP($A82,$A$2:$A$26,_xlfn.XLOOKUP(E$29,$B$1:$L$1,$B$2:$L$26)),IF(_xlpm.result&lt;0,"",_xlpm.result))</f>
        <v/>
      </c>
      <c r="F82" s="20" cm="1">
        <f t="array" ref="F82">_xlfn.LET(_xlpm.result,10*_xlfn.XLOOKUP($A82,$A$2:$A$26,_xlfn.XLOOKUP(F$29,$B$1:$L$1,$B$2:$L$26)),IF(_xlpm.result&lt;0,"",_xlpm.result))</f>
        <v>101</v>
      </c>
      <c r="G82" s="17" cm="1">
        <f t="array" ref="G82">_xlfn.LET(_xlpm.result,10*_xlfn.XLOOKUP($A82,$A$2:$A$26,_xlfn.XLOOKUP(G$29,$B$1:$L$1,$B$2:$L$26)),IF(_xlpm.result&lt;0,"",_xlpm.result))</f>
        <v>24</v>
      </c>
      <c r="H82" s="17" cm="1">
        <f t="array" ref="H82">_xlfn.LET(_xlpm.result,10*_xlfn.XLOOKUP($A82,$A$2:$A$26,_xlfn.XLOOKUP(H$29,$B$1:$L$1,$B$2:$L$26)),IF(_xlpm.result&lt;0,"",_xlpm.result))</f>
        <v>29</v>
      </c>
      <c r="I82" s="17" t="str" cm="1">
        <f t="array" ref="I82">_xlfn.LET(_xlpm.result,10*_xlfn.XLOOKUP($A82,$A$2:$A$26,_xlfn.XLOOKUP(I$29,$B$1:$L$1,$B$2:$L$26)),IF(_xlpm.result&lt;0,"",_xlpm.result))</f>
        <v/>
      </c>
      <c r="J82" s="17" t="str" cm="1">
        <f t="array" ref="J82">_xlfn.LET(_xlpm.result,10*_xlfn.XLOOKUP($A82,$A$2:$A$26,_xlfn.XLOOKUP(J$29,$B$1:$L$1,$B$2:$L$26)),IF(_xlpm.result&lt;0,"",_xlpm.result))</f>
        <v/>
      </c>
      <c r="K82" s="17" cm="1">
        <f t="array" ref="K82">_xlfn.LET(_xlpm.result,10*_xlfn.XLOOKUP($A82,$A$2:$A$26,_xlfn.XLOOKUP(K$29,$B$1:$L$1,$B$2:$L$26)),IF(_xlpm.result&lt;0,"",_xlpm.result))</f>
        <v>50</v>
      </c>
      <c r="L82" s="17" cm="1">
        <f t="array" ref="L82">_xlfn.LET(_xlpm.result,10*_xlfn.XLOOKUP($A82,$A$2:$A$26,_xlfn.XLOOKUP(L$29,$B$1:$L$1,$B$2:$L$26)),IF(_xlpm.result&lt;0,"",_xlpm.result))</f>
        <v>13</v>
      </c>
      <c r="M82" s="19">
        <f t="shared" si="3"/>
        <v>101</v>
      </c>
      <c r="N82" s="16">
        <v>3</v>
      </c>
    </row>
    <row r="83" spans="1:15" s="16" customFormat="1" ht="18.75" x14ac:dyDescent="0.3">
      <c r="A83" s="16" t="s">
        <v>34</v>
      </c>
      <c r="B83" s="17" cm="1">
        <f t="array" ref="B83">_xlfn.LET(_xlpm.result,10*_xlfn.XLOOKUP($A83,$A$2:$A$26,_xlfn.XLOOKUP(B$29,$B$1:$L$1,$B$2:$L$26)),IF(_xlpm.result&lt;0,"",_xlpm.result))</f>
        <v>55</v>
      </c>
      <c r="C83" s="17" cm="1">
        <f t="array" ref="C83">_xlfn.LET(_xlpm.result,10*_xlfn.XLOOKUP($A83,$A$2:$A$26,_xlfn.XLOOKUP(C$29,$B$1:$L$1,$B$2:$L$26)),IF(_xlpm.result&lt;0,"",_xlpm.result))</f>
        <v>49</v>
      </c>
      <c r="D83" s="17" cm="1">
        <f t="array" ref="D83">_xlfn.LET(_xlpm.result,10*_xlfn.XLOOKUP($A83,$A$2:$A$26,_xlfn.XLOOKUP(D$29,$B$1:$L$1,$B$2:$L$26)),IF(_xlpm.result&lt;0,"",_xlpm.result))</f>
        <v>0</v>
      </c>
      <c r="E83" s="17" cm="1">
        <f t="array" ref="E83">_xlfn.LET(_xlpm.result,10*_xlfn.XLOOKUP($A83,$A$2:$A$26,_xlfn.XLOOKUP(E$29,$B$1:$L$1,$B$2:$L$26)),IF(_xlpm.result&lt;0,"",_xlpm.result))</f>
        <v>58</v>
      </c>
      <c r="F83" s="17" cm="1">
        <f t="array" ref="F83">_xlfn.LET(_xlpm.result,10*_xlfn.XLOOKUP($A83,$A$2:$A$26,_xlfn.XLOOKUP(F$29,$B$1:$L$1,$B$2:$L$26)),IF(_xlpm.result&lt;0,"",_xlpm.result))</f>
        <v>37</v>
      </c>
      <c r="G83" s="17" cm="1">
        <f t="array" ref="G83">_xlfn.LET(_xlpm.result,10*_xlfn.XLOOKUP($A83,$A$2:$A$26,_xlfn.XLOOKUP(G$29,$B$1:$L$1,$B$2:$L$26)),IF(_xlpm.result&lt;0,"",_xlpm.result))</f>
        <v>62</v>
      </c>
      <c r="H83" s="17" cm="1">
        <f t="array" ref="H83">_xlfn.LET(_xlpm.result,10*_xlfn.XLOOKUP($A83,$A$2:$A$26,_xlfn.XLOOKUP(H$29,$B$1:$L$1,$B$2:$L$26)),IF(_xlpm.result&lt;0,"",_xlpm.result))</f>
        <v>60</v>
      </c>
      <c r="I83" s="17" cm="1">
        <f t="array" ref="I83">_xlfn.LET(_xlpm.result,10*_xlfn.XLOOKUP($A83,$A$2:$A$26,_xlfn.XLOOKUP(I$29,$B$1:$L$1,$B$2:$L$26)),IF(_xlpm.result&lt;0,"",_xlpm.result))</f>
        <v>69</v>
      </c>
      <c r="J83" s="20" cm="1">
        <f t="array" ref="J83">_xlfn.LET(_xlpm.result,10*_xlfn.XLOOKUP($A83,$A$2:$A$26,_xlfn.XLOOKUP(J$29,$B$1:$L$1,$B$2:$L$26)),IF(_xlpm.result&lt;0,"",_xlpm.result))</f>
        <v>168</v>
      </c>
      <c r="K83" s="17" cm="1">
        <f t="array" ref="K83">_xlfn.LET(_xlpm.result,10*_xlfn.XLOOKUP($A83,$A$2:$A$26,_xlfn.XLOOKUP(K$29,$B$1:$L$1,$B$2:$L$26)),IF(_xlpm.result&lt;0,"",_xlpm.result))</f>
        <v>58</v>
      </c>
      <c r="L83" s="17" cm="1">
        <f t="array" ref="L83">_xlfn.LET(_xlpm.result,10*_xlfn.XLOOKUP($A83,$A$2:$A$26,_xlfn.XLOOKUP(L$29,$B$1:$L$1,$B$2:$L$26)),IF(_xlpm.result&lt;0,"",_xlpm.result))</f>
        <v>135</v>
      </c>
      <c r="M83" s="19">
        <f t="shared" si="3"/>
        <v>168</v>
      </c>
      <c r="N83" s="16">
        <v>2</v>
      </c>
    </row>
    <row r="84" spans="1: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0"/>
    </row>
    <row r="85" spans="1:15" x14ac:dyDescent="0.25">
      <c r="A85" t="s">
        <v>60</v>
      </c>
      <c r="B85">
        <v>68</v>
      </c>
      <c r="C85">
        <v>99</v>
      </c>
      <c r="D85">
        <v>35</v>
      </c>
      <c r="E85">
        <v>73</v>
      </c>
      <c r="F85">
        <v>101</v>
      </c>
      <c r="G85">
        <v>56</v>
      </c>
      <c r="H85">
        <v>86</v>
      </c>
      <c r="I85">
        <v>96</v>
      </c>
      <c r="J85">
        <v>168</v>
      </c>
      <c r="K85" s="3">
        <v>69</v>
      </c>
      <c r="L85">
        <v>77</v>
      </c>
      <c r="M85" s="10">
        <f>SUM(B85:L85)</f>
        <v>928</v>
      </c>
      <c r="N85">
        <f>MIN(B85:L85)</f>
        <v>35</v>
      </c>
      <c r="O85" s="23">
        <f>AVERAGE(B85:L85)</f>
        <v>84.36363636363636</v>
      </c>
    </row>
    <row r="86" spans="1:15" x14ac:dyDescent="0.25">
      <c r="A86" t="s">
        <v>61</v>
      </c>
      <c r="M86" s="10">
        <f>SUM(B86:L86)</f>
        <v>0</v>
      </c>
      <c r="N86">
        <f>MIN(B86:L86)</f>
        <v>0</v>
      </c>
      <c r="O86" s="23" t="e">
        <f>AVERAGE(B86:L86)</f>
        <v>#DIV/0!</v>
      </c>
    </row>
    <row r="88" spans="1:15" x14ac:dyDescent="0.25">
      <c r="A88" t="s">
        <v>62</v>
      </c>
      <c r="B88">
        <f t="shared" ref="B88:O88" si="4">B86-B85</f>
        <v>-68</v>
      </c>
      <c r="C88">
        <f t="shared" si="4"/>
        <v>-99</v>
      </c>
      <c r="D88">
        <f t="shared" si="4"/>
        <v>-35</v>
      </c>
      <c r="E88">
        <f t="shared" si="4"/>
        <v>-73</v>
      </c>
      <c r="F88">
        <f t="shared" si="4"/>
        <v>-101</v>
      </c>
      <c r="G88">
        <f t="shared" si="4"/>
        <v>-56</v>
      </c>
      <c r="H88">
        <f t="shared" si="4"/>
        <v>-86</v>
      </c>
      <c r="I88">
        <f t="shared" si="4"/>
        <v>-96</v>
      </c>
      <c r="J88">
        <f t="shared" si="4"/>
        <v>-168</v>
      </c>
      <c r="K88">
        <f t="shared" si="4"/>
        <v>-69</v>
      </c>
      <c r="L88">
        <f t="shared" si="4"/>
        <v>-77</v>
      </c>
      <c r="M88">
        <f t="shared" si="4"/>
        <v>-928</v>
      </c>
      <c r="N88">
        <f t="shared" si="4"/>
        <v>-35</v>
      </c>
      <c r="O88" s="22" t="e">
        <f t="shared" si="4"/>
        <v>#DIV/0!</v>
      </c>
    </row>
  </sheetData>
  <autoFilter ref="A58:M58" xr:uid="{54BE77A0-7D21-425B-A240-22D447E1FEA2}">
    <sortState xmlns:xlrd2="http://schemas.microsoft.com/office/spreadsheetml/2017/richdata2" ref="A59:M83">
      <sortCondition ref="M58"/>
    </sortState>
  </autoFilter>
  <conditionalFormatting sqref="B2:L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L3"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L4"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L5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L15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L16"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L17"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L18"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L2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L22"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L23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L24"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L25"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L26"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7:L57 B30:L55">
    <cfRule type="colorScale" priority="2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7:L57"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9:L83"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4:L84">
    <cfRule type="colorScale" priority="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85:L85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6:L86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4E73-8E0F-427D-9451-5A927D04A892}">
  <dimension ref="A1:N59"/>
  <sheetViews>
    <sheetView topLeftCell="A22" zoomScale="85" zoomScaleNormal="85" workbookViewId="0">
      <selection activeCell="I54" sqref="I54"/>
    </sheetView>
  </sheetViews>
  <sheetFormatPr defaultRowHeight="15" x14ac:dyDescent="0.25"/>
  <cols>
    <col min="1" max="1" width="24.28515625" customWidth="1"/>
    <col min="2" max="2" width="9.42578125" bestFit="1" customWidth="1"/>
    <col min="3" max="9" width="10.42578125" bestFit="1" customWidth="1"/>
    <col min="10" max="10" width="10.7109375" bestFit="1" customWidth="1"/>
    <col min="11" max="11" width="10.42578125" bestFit="1" customWidth="1"/>
    <col min="12" max="12" width="10.5703125" bestFit="1" customWidth="1"/>
  </cols>
  <sheetData>
    <row r="1" spans="1:11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19</v>
      </c>
      <c r="B2">
        <v>-2.2999999999999998</v>
      </c>
      <c r="C2">
        <v>-2.4</v>
      </c>
      <c r="D2">
        <v>-0.8</v>
      </c>
      <c r="E2">
        <v>0</v>
      </c>
      <c r="F2">
        <v>-1.9</v>
      </c>
      <c r="G2">
        <v>-5.1999999999999904</v>
      </c>
      <c r="H2">
        <v>-2.5</v>
      </c>
      <c r="I2">
        <v>2.5</v>
      </c>
      <c r="J2">
        <v>3.9</v>
      </c>
      <c r="K2">
        <v>-5.1999999999999904</v>
      </c>
    </row>
    <row r="3" spans="1:11" x14ac:dyDescent="0.25">
      <c r="A3" t="s">
        <v>20</v>
      </c>
      <c r="B3">
        <v>-4</v>
      </c>
      <c r="C3">
        <v>-8.6</v>
      </c>
      <c r="D3">
        <v>0.89999999999999902</v>
      </c>
      <c r="E3">
        <v>5.2</v>
      </c>
      <c r="F3">
        <v>2.4999999999999898</v>
      </c>
      <c r="G3">
        <v>-4.9000000000000004</v>
      </c>
      <c r="H3">
        <v>-4.4000000000000004</v>
      </c>
      <c r="I3">
        <v>-2.5</v>
      </c>
      <c r="J3">
        <v>-7.6999999999999904</v>
      </c>
      <c r="K3">
        <v>5.2</v>
      </c>
    </row>
    <row r="4" spans="1:11" x14ac:dyDescent="0.25">
      <c r="A4" t="s">
        <v>21</v>
      </c>
      <c r="B4">
        <v>6.5</v>
      </c>
      <c r="C4">
        <v>6.4</v>
      </c>
      <c r="D4">
        <v>13.1</v>
      </c>
      <c r="E4">
        <v>9.3000000000000007</v>
      </c>
      <c r="F4">
        <v>8.1999999999999993</v>
      </c>
      <c r="G4">
        <v>3.3</v>
      </c>
      <c r="H4">
        <v>8.1999999999999993</v>
      </c>
      <c r="I4">
        <v>2.8</v>
      </c>
      <c r="J4">
        <v>-2</v>
      </c>
      <c r="K4">
        <v>3.3</v>
      </c>
    </row>
    <row r="5" spans="1:11" x14ac:dyDescent="0.25">
      <c r="A5" t="s">
        <v>23</v>
      </c>
      <c r="B5">
        <v>-9.6999999999999993</v>
      </c>
      <c r="C5">
        <v>4.3</v>
      </c>
      <c r="D5">
        <v>-0.89999999999999902</v>
      </c>
      <c r="E5">
        <v>-4.2</v>
      </c>
      <c r="F5">
        <v>-8.6</v>
      </c>
      <c r="H5">
        <v>4.3</v>
      </c>
      <c r="I5">
        <v>-5.3</v>
      </c>
      <c r="J5">
        <v>-5.8</v>
      </c>
      <c r="K5">
        <v>-5.3</v>
      </c>
    </row>
    <row r="6" spans="1:11" x14ac:dyDescent="0.25">
      <c r="A6" t="s">
        <v>24</v>
      </c>
      <c r="B6">
        <v>3.1</v>
      </c>
      <c r="C6">
        <v>-2.5999999999999899</v>
      </c>
      <c r="D6">
        <v>1.3</v>
      </c>
      <c r="E6">
        <v>-1.7999999999999901</v>
      </c>
      <c r="F6">
        <v>-6.5</v>
      </c>
      <c r="G6">
        <v>-7.1</v>
      </c>
      <c r="H6">
        <v>8</v>
      </c>
      <c r="I6">
        <v>-7.1</v>
      </c>
      <c r="J6">
        <v>-1.5999999999999901</v>
      </c>
      <c r="K6">
        <v>-7.4</v>
      </c>
    </row>
    <row r="7" spans="1:11" x14ac:dyDescent="0.25">
      <c r="A7" t="s">
        <v>25</v>
      </c>
      <c r="B7">
        <v>-3.1</v>
      </c>
      <c r="D7">
        <v>-4.9000000000000004</v>
      </c>
      <c r="E7">
        <v>-5.4</v>
      </c>
      <c r="F7">
        <v>-8.1999999999999993</v>
      </c>
      <c r="G7">
        <v>-9</v>
      </c>
      <c r="H7">
        <v>-8.1999999999999993</v>
      </c>
      <c r="I7">
        <v>-1.7</v>
      </c>
      <c r="J7">
        <v>-3.9</v>
      </c>
      <c r="K7">
        <v>4.9000000000000004</v>
      </c>
    </row>
    <row r="8" spans="1:11" x14ac:dyDescent="0.25">
      <c r="A8" t="s">
        <v>26</v>
      </c>
      <c r="C8">
        <v>-3.8</v>
      </c>
      <c r="D8">
        <v>-13.1</v>
      </c>
      <c r="E8">
        <v>-4.4000000000000004</v>
      </c>
      <c r="F8">
        <v>-9.6</v>
      </c>
      <c r="G8">
        <v>-0.9</v>
      </c>
      <c r="H8">
        <v>-8</v>
      </c>
      <c r="I8">
        <v>-13.9</v>
      </c>
      <c r="J8">
        <v>-9.8000000000000007</v>
      </c>
      <c r="K8">
        <v>-4.9000000000000004</v>
      </c>
    </row>
    <row r="9" spans="1:11" x14ac:dyDescent="0.25">
      <c r="A9" t="s">
        <v>27</v>
      </c>
      <c r="B9">
        <v>2.2999999999999998</v>
      </c>
      <c r="D9">
        <v>6.7</v>
      </c>
      <c r="E9">
        <v>-3.3999999999999901</v>
      </c>
      <c r="F9">
        <v>-7.2</v>
      </c>
      <c r="G9">
        <v>-4.3</v>
      </c>
      <c r="H9">
        <v>4.4000000000000004</v>
      </c>
      <c r="I9">
        <v>-1.4</v>
      </c>
      <c r="J9">
        <v>-0.7</v>
      </c>
      <c r="K9">
        <v>0.5</v>
      </c>
    </row>
    <row r="10" spans="1:11" x14ac:dyDescent="0.25">
      <c r="A10" t="s">
        <v>33</v>
      </c>
      <c r="B10">
        <v>4.4000000000000004</v>
      </c>
      <c r="C10">
        <v>-2.5</v>
      </c>
      <c r="D10">
        <v>-3.7</v>
      </c>
      <c r="E10">
        <v>0</v>
      </c>
      <c r="F10">
        <v>7.9</v>
      </c>
      <c r="G10">
        <v>-6.1</v>
      </c>
      <c r="H10">
        <v>5</v>
      </c>
      <c r="I10">
        <v>-4.2</v>
      </c>
      <c r="J10">
        <v>-6.1</v>
      </c>
      <c r="K10">
        <v>7.9</v>
      </c>
    </row>
    <row r="11" spans="1:11" x14ac:dyDescent="0.25">
      <c r="A11" t="s">
        <v>34</v>
      </c>
      <c r="B11">
        <v>4.4000000000000004</v>
      </c>
      <c r="D11">
        <v>5.3</v>
      </c>
      <c r="E11">
        <v>3.4</v>
      </c>
      <c r="F11">
        <v>7.2</v>
      </c>
      <c r="G11">
        <v>7</v>
      </c>
      <c r="H11">
        <v>5.8</v>
      </c>
      <c r="I11">
        <v>17.399999999999999</v>
      </c>
      <c r="J11">
        <v>5.3</v>
      </c>
      <c r="K11">
        <v>13.9</v>
      </c>
    </row>
    <row r="12" spans="1:11" x14ac:dyDescent="0.25">
      <c r="A12" t="s">
        <v>35</v>
      </c>
      <c r="B12">
        <v>-4.4000000000000004</v>
      </c>
      <c r="C12">
        <v>-8.6</v>
      </c>
      <c r="D12">
        <v>-6.7</v>
      </c>
      <c r="E12">
        <v>4.4000000000000004</v>
      </c>
      <c r="F12">
        <v>-8.1</v>
      </c>
      <c r="G12">
        <v>-8.6</v>
      </c>
      <c r="H12">
        <v>-10.1</v>
      </c>
      <c r="I12">
        <v>-6.9</v>
      </c>
      <c r="J12">
        <v>-6.2</v>
      </c>
      <c r="K12">
        <v>-13.9</v>
      </c>
    </row>
    <row r="13" spans="1:11" x14ac:dyDescent="0.25">
      <c r="A13" t="s">
        <v>36</v>
      </c>
      <c r="B13">
        <v>11.6</v>
      </c>
      <c r="C13">
        <v>2.7</v>
      </c>
      <c r="D13">
        <v>3.7</v>
      </c>
      <c r="F13">
        <v>8.1</v>
      </c>
      <c r="G13">
        <v>-1.99999999999999</v>
      </c>
      <c r="H13">
        <v>-5.8</v>
      </c>
      <c r="I13">
        <v>1.4</v>
      </c>
      <c r="J13">
        <v>1.2</v>
      </c>
      <c r="K13">
        <v>-0.5</v>
      </c>
    </row>
    <row r="14" spans="1:11" x14ac:dyDescent="0.25">
      <c r="A14" t="s">
        <v>38</v>
      </c>
      <c r="B14">
        <v>-6.5</v>
      </c>
      <c r="C14">
        <v>-7.3</v>
      </c>
      <c r="D14">
        <v>-5.1999999999999904</v>
      </c>
      <c r="F14">
        <v>5.5</v>
      </c>
      <c r="G14">
        <v>2.8</v>
      </c>
      <c r="H14">
        <v>-3.19999999999999</v>
      </c>
      <c r="I14">
        <v>1.7</v>
      </c>
      <c r="J14">
        <v>-4.0999999999999996</v>
      </c>
      <c r="K14">
        <v>-3.69999999999999</v>
      </c>
    </row>
    <row r="15" spans="1:11" x14ac:dyDescent="0.25">
      <c r="A15" t="s">
        <v>39</v>
      </c>
      <c r="B15">
        <v>-8.6999999999999993</v>
      </c>
      <c r="C15">
        <v>-6.4</v>
      </c>
      <c r="D15">
        <v>-1.3</v>
      </c>
      <c r="E15">
        <v>-8.4</v>
      </c>
      <c r="F15">
        <v>-4.5</v>
      </c>
      <c r="G15">
        <v>-5.0999999999999996</v>
      </c>
      <c r="H15">
        <v>-4.4000000000000004</v>
      </c>
      <c r="I15">
        <v>-3.9</v>
      </c>
      <c r="J15">
        <v>-8.6999999999999993</v>
      </c>
      <c r="K15">
        <v>-8.4</v>
      </c>
    </row>
    <row r="16" spans="1:11" x14ac:dyDescent="0.25">
      <c r="A16" t="s">
        <v>40</v>
      </c>
      <c r="B16">
        <v>4</v>
      </c>
      <c r="C16">
        <v>-0.4</v>
      </c>
      <c r="D16">
        <v>6.5</v>
      </c>
      <c r="E16">
        <v>5.4</v>
      </c>
      <c r="F16">
        <v>-0.29999999999999899</v>
      </c>
      <c r="H16">
        <v>-3.6</v>
      </c>
      <c r="I16">
        <v>-2.8</v>
      </c>
      <c r="J16">
        <v>6.5</v>
      </c>
      <c r="K16">
        <v>3.69999999999999</v>
      </c>
    </row>
    <row r="17" spans="1:13" x14ac:dyDescent="0.25">
      <c r="A17" t="s">
        <v>41</v>
      </c>
      <c r="B17">
        <v>-12.9</v>
      </c>
      <c r="C17">
        <v>-4.3</v>
      </c>
      <c r="E17">
        <v>-5.2</v>
      </c>
      <c r="F17">
        <v>-5.5</v>
      </c>
      <c r="G17">
        <v>-9.6</v>
      </c>
      <c r="H17">
        <v>-4.3</v>
      </c>
      <c r="I17">
        <v>-2.7</v>
      </c>
      <c r="J17">
        <v>0.19999999999999901</v>
      </c>
      <c r="K17">
        <v>-5.2</v>
      </c>
    </row>
    <row r="18" spans="1:13" x14ac:dyDescent="0.25">
      <c r="A18" t="s">
        <v>42</v>
      </c>
      <c r="B18">
        <v>1</v>
      </c>
      <c r="C18">
        <v>2.5999999999999899</v>
      </c>
      <c r="D18">
        <v>-4.5</v>
      </c>
      <c r="E18">
        <v>-4.8</v>
      </c>
      <c r="F18">
        <v>0.29999999999999899</v>
      </c>
      <c r="H18">
        <v>-1.2</v>
      </c>
      <c r="I18">
        <v>3.9</v>
      </c>
      <c r="J18">
        <v>6.2</v>
      </c>
      <c r="K18">
        <v>-0.5</v>
      </c>
    </row>
    <row r="19" spans="1:13" x14ac:dyDescent="0.25">
      <c r="A19" t="s">
        <v>43</v>
      </c>
      <c r="C19">
        <v>3.8</v>
      </c>
      <c r="D19">
        <v>-6.5</v>
      </c>
      <c r="E19">
        <v>-9.3000000000000007</v>
      </c>
      <c r="F19">
        <v>-2.4999999999999898</v>
      </c>
      <c r="G19">
        <v>-2.8</v>
      </c>
      <c r="H19">
        <v>-5</v>
      </c>
      <c r="I19">
        <v>2.7</v>
      </c>
      <c r="J19">
        <v>-6.5</v>
      </c>
      <c r="K19">
        <v>-10.1</v>
      </c>
    </row>
    <row r="20" spans="1:13" x14ac:dyDescent="0.25">
      <c r="A20" t="s">
        <v>44</v>
      </c>
      <c r="C20">
        <v>-0.6</v>
      </c>
      <c r="D20">
        <v>-0.9</v>
      </c>
      <c r="E20">
        <v>3.3999999999999901</v>
      </c>
      <c r="F20">
        <v>6.5</v>
      </c>
      <c r="G20">
        <v>1.99999999999999</v>
      </c>
      <c r="H20">
        <v>10.1</v>
      </c>
      <c r="I20">
        <v>2.69999999999999</v>
      </c>
      <c r="J20">
        <v>0.59999999999999898</v>
      </c>
      <c r="K20">
        <v>2.69999999999999</v>
      </c>
    </row>
    <row r="21" spans="1:13" x14ac:dyDescent="0.25">
      <c r="A21" t="s">
        <v>45</v>
      </c>
      <c r="B21">
        <v>-5.0999999999999996</v>
      </c>
      <c r="C21">
        <v>-2.7</v>
      </c>
      <c r="D21">
        <v>4.9000000000000004</v>
      </c>
      <c r="E21">
        <v>1.7999999999999901</v>
      </c>
      <c r="F21">
        <v>-4.0999999999999996</v>
      </c>
      <c r="G21">
        <v>-3.3</v>
      </c>
      <c r="H21">
        <v>3.19999999999999</v>
      </c>
      <c r="I21">
        <v>-5.6</v>
      </c>
      <c r="J21">
        <v>9.8000000000000007</v>
      </c>
      <c r="K21">
        <v>-3.3</v>
      </c>
      <c r="M21" t="s">
        <v>59</v>
      </c>
    </row>
    <row r="22" spans="1:13" x14ac:dyDescent="0.25">
      <c r="A22" t="s">
        <v>46</v>
      </c>
      <c r="B22">
        <v>-1</v>
      </c>
      <c r="C22">
        <v>-4.3999999999999897</v>
      </c>
      <c r="D22">
        <v>0.8</v>
      </c>
      <c r="E22">
        <v>4.2</v>
      </c>
      <c r="F22">
        <v>9.6</v>
      </c>
      <c r="H22">
        <v>8.6999999999999993</v>
      </c>
      <c r="I22">
        <v>-5.3</v>
      </c>
      <c r="J22">
        <v>1.5999999999999901</v>
      </c>
      <c r="K22">
        <v>-1.6</v>
      </c>
    </row>
    <row r="23" spans="1:13" x14ac:dyDescent="0.25">
      <c r="A23" t="s">
        <v>47</v>
      </c>
      <c r="B23">
        <v>-0.59999999999999898</v>
      </c>
      <c r="C23">
        <v>2.4</v>
      </c>
      <c r="D23">
        <v>-2.8</v>
      </c>
      <c r="E23">
        <v>10.3</v>
      </c>
      <c r="F23">
        <v>4.5</v>
      </c>
      <c r="G23">
        <v>4.9000000000000004</v>
      </c>
      <c r="H23">
        <v>-3.7</v>
      </c>
      <c r="I23">
        <v>-2.8</v>
      </c>
      <c r="J23">
        <v>5.8</v>
      </c>
      <c r="K23">
        <v>1.6</v>
      </c>
    </row>
    <row r="24" spans="1:13" x14ac:dyDescent="0.25">
      <c r="A24" t="s">
        <v>48</v>
      </c>
      <c r="C24">
        <v>0.4</v>
      </c>
      <c r="D24">
        <v>-3.2</v>
      </c>
      <c r="E24">
        <v>-3.3</v>
      </c>
      <c r="F24">
        <v>1.9</v>
      </c>
      <c r="G24">
        <v>9.6</v>
      </c>
      <c r="H24">
        <v>4.4000000000000004</v>
      </c>
      <c r="I24">
        <v>5.3</v>
      </c>
      <c r="J24">
        <v>4.0999999999999996</v>
      </c>
      <c r="K24">
        <v>5.3</v>
      </c>
    </row>
    <row r="25" spans="1:13" x14ac:dyDescent="0.25">
      <c r="A25" t="s">
        <v>49</v>
      </c>
      <c r="B25">
        <v>-11.6</v>
      </c>
      <c r="D25">
        <v>-10.4</v>
      </c>
      <c r="E25">
        <v>-10.3</v>
      </c>
      <c r="F25">
        <v>-7.9</v>
      </c>
      <c r="G25">
        <v>0.9</v>
      </c>
      <c r="H25">
        <v>-8.6999999999999993</v>
      </c>
      <c r="I25">
        <v>-17.399999999999999</v>
      </c>
      <c r="J25">
        <v>-0.19999999999999901</v>
      </c>
      <c r="K25">
        <v>-7.9</v>
      </c>
    </row>
    <row r="26" spans="1:13" x14ac:dyDescent="0.25">
      <c r="A26" t="s">
        <v>50</v>
      </c>
      <c r="B26">
        <v>0.59999999999999898</v>
      </c>
      <c r="C26">
        <v>-3.6</v>
      </c>
      <c r="D26">
        <v>5.1999999999999904</v>
      </c>
      <c r="F26">
        <v>-1.2</v>
      </c>
      <c r="G26">
        <v>5.0999999999999996</v>
      </c>
      <c r="H26">
        <v>1.2</v>
      </c>
      <c r="I26">
        <v>-2.69999999999999</v>
      </c>
      <c r="J26">
        <v>0.7</v>
      </c>
      <c r="K26">
        <v>-2.69999999999999</v>
      </c>
    </row>
    <row r="27" spans="1:13" x14ac:dyDescent="0.25">
      <c r="B27" s="1" t="str" cm="1">
        <f t="array" ref="B27">IFERROR(_xlfn.LET(_xlpm.result,RANK(_xlfn.XLOOKUP($A27,$A$2:$A$25,_xlfn.XLOOKUP(#REF!,$B$1:$K$1,$B$2:$K$25)),$B$2:$K$25),IF(_xlpm.result&gt;150,"",_xlpm.result)),"")</f>
        <v/>
      </c>
      <c r="C27" s="1" t="str" cm="1">
        <f t="array" ref="C27">IFERROR(_xlfn.LET(_xlpm.result,RANK(_xlfn.XLOOKUP($A27,$A$2:$A$25,_xlfn.XLOOKUP(#REF!,$B$1:$K$1,$B$2:$K$25)),$B$2:$K$25),IF(_xlpm.result&gt;150,"",_xlpm.result)),"")</f>
        <v/>
      </c>
      <c r="D27" s="1" t="str" cm="1">
        <f t="array" ref="D27">IFERROR(_xlfn.LET(_xlpm.result,RANK(_xlfn.XLOOKUP($A27,$A$2:$A$25,_xlfn.XLOOKUP(#REF!,$B$1:$K$1,$B$2:$K$25)),$B$2:$K$25),IF(_xlpm.result&gt;150,"",_xlpm.result)),"")</f>
        <v/>
      </c>
      <c r="E27" s="1" t="str" cm="1">
        <f t="array" ref="E27">IFERROR(_xlfn.LET(_xlpm.result,RANK(_xlfn.XLOOKUP($A27,$A$2:$A$25,_xlfn.XLOOKUP(#REF!,$B$1:$K$1,$B$2:$K$25)),$B$2:$K$25),IF(_xlpm.result&gt;150,"",_xlpm.result)),"")</f>
        <v/>
      </c>
      <c r="F27" s="1" t="str" cm="1">
        <f t="array" ref="F27">IFERROR(_xlfn.LET(_xlpm.result,RANK(_xlfn.XLOOKUP($A27,$A$2:$A$25,_xlfn.XLOOKUP(#REF!,$B$1:$K$1,$B$2:$K$25)),$B$2:$K$25),IF(_xlpm.result&gt;150,"",_xlpm.result)),"")</f>
        <v/>
      </c>
      <c r="G27" s="1" t="str" cm="1">
        <f t="array" ref="G27">IFERROR(_xlfn.LET(_xlpm.result,RANK(_xlfn.XLOOKUP($A27,$A$2:$A$25,_xlfn.XLOOKUP(#REF!,$B$1:$K$1,$B$2:$K$25)),$B$2:$K$25),IF(_xlpm.result&gt;150,"",_xlpm.result)),"")</f>
        <v/>
      </c>
      <c r="H27" s="1" t="str" cm="1">
        <f t="array" ref="H27">IFERROR(_xlfn.LET(_xlpm.result,RANK(_xlfn.XLOOKUP($A27,$A$2:$A$25,_xlfn.XLOOKUP(#REF!,$B$1:$K$1,$B$2:$K$25)),$B$2:$K$25),IF(_xlpm.result&gt;150,"",_xlpm.result)),"")</f>
        <v/>
      </c>
      <c r="I27" s="1" t="str" cm="1">
        <f t="array" ref="I27">IFERROR(_xlfn.LET(_xlpm.result,RANK(_xlfn.XLOOKUP($A27,$A$2:$A$25,_xlfn.XLOOKUP(#REF!,$B$1:$K$1,$B$2:$K$25)),$B$2:$K$25),IF(_xlpm.result&gt;150,"",_xlpm.result)),"")</f>
        <v/>
      </c>
      <c r="J27" s="1" t="str" cm="1">
        <f t="array" ref="J27">IFERROR(_xlfn.LET(_xlpm.result,RANK(_xlfn.XLOOKUP($A27,$A$2:$A$25,_xlfn.XLOOKUP(#REF!,$B$1:$K$1,$B$2:$K$25)),$B$2:$K$25),IF(_xlpm.result&gt;150,"",_xlpm.result)),"")</f>
        <v/>
      </c>
      <c r="K27" s="1" t="str" cm="1">
        <f t="array" ref="K27">IFERROR(_xlfn.LET(_xlpm.result,RANK(_xlfn.XLOOKUP($A27,$A$2:$A$25,_xlfn.XLOOKUP(#REF!,$B$1:$K$1,$B$2:$K$25)),$B$2:$K$25),IF(_xlpm.result&gt;150,"",_xlpm.result)),"")</f>
        <v/>
      </c>
      <c r="M27" s="10"/>
    </row>
    <row r="28" spans="1:13" s="24" customFormat="1" x14ac:dyDescent="0.25"/>
    <row r="29" spans="1:13" x14ac:dyDescent="0.25">
      <c r="B29" s="1">
        <f t="shared" ref="B29:K29" si="0">MAX(B30:B54)</f>
        <v>116</v>
      </c>
      <c r="C29" s="1">
        <f t="shared" si="0"/>
        <v>64</v>
      </c>
      <c r="D29" s="1">
        <f t="shared" si="0"/>
        <v>131</v>
      </c>
      <c r="E29" s="1">
        <f t="shared" si="0"/>
        <v>103</v>
      </c>
      <c r="F29" s="1">
        <f t="shared" si="0"/>
        <v>96</v>
      </c>
      <c r="G29" s="1">
        <f t="shared" si="0"/>
        <v>96</v>
      </c>
      <c r="H29" s="1">
        <f t="shared" si="0"/>
        <v>101</v>
      </c>
      <c r="I29" s="1">
        <f t="shared" si="0"/>
        <v>174</v>
      </c>
      <c r="J29" s="1">
        <f t="shared" si="0"/>
        <v>98</v>
      </c>
      <c r="K29" s="1">
        <f t="shared" si="0"/>
        <v>139</v>
      </c>
    </row>
    <row r="30" spans="1:13" x14ac:dyDescent="0.25">
      <c r="A30" t="s">
        <v>0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  <c r="L30" t="s">
        <v>54</v>
      </c>
    </row>
    <row r="31" spans="1:13" x14ac:dyDescent="0.25">
      <c r="A31" t="s">
        <v>39</v>
      </c>
      <c r="B31" s="1" t="str" cm="1">
        <f t="array" ref="B31">_xlfn.LET(_xlpm.result,10*_xlfn.XLOOKUP($A31,$A$2:$A$26,_xlfn.XLOOKUP(B$1,$B$1:$K$1,$B$2:$K$26)),IF(_xlpm.result&lt;0,"",_xlpm.result))</f>
        <v/>
      </c>
      <c r="C31" s="1" t="str" cm="1">
        <f t="array" ref="C31">_xlfn.LET(_xlpm.result,10*_xlfn.XLOOKUP($A31,$A$2:$A$26,_xlfn.XLOOKUP(C$1,$B$1:$K$1,$B$2:$K$26)),IF(_xlpm.result&lt;0,"",_xlpm.result))</f>
        <v/>
      </c>
      <c r="D31" s="1" t="str" cm="1">
        <f t="array" ref="D31">_xlfn.LET(_xlpm.result,10*_xlfn.XLOOKUP($A31,$A$2:$A$26,_xlfn.XLOOKUP(D$1,$B$1:$K$1,$B$2:$K$26)),IF(_xlpm.result&lt;0,"",_xlpm.result))</f>
        <v/>
      </c>
      <c r="E31" s="1" t="str" cm="1">
        <f t="array" ref="E31">_xlfn.LET(_xlpm.result,10*_xlfn.XLOOKUP($A31,$A$2:$A$26,_xlfn.XLOOKUP(E$1,$B$1:$K$1,$B$2:$K$26)),IF(_xlpm.result&lt;0,"",_xlpm.result))</f>
        <v/>
      </c>
      <c r="F31" s="1" t="str" cm="1">
        <f t="array" ref="F31">_xlfn.LET(_xlpm.result,10*_xlfn.XLOOKUP($A31,$A$2:$A$26,_xlfn.XLOOKUP(F$1,$B$1:$K$1,$B$2:$K$26)),IF(_xlpm.result&lt;0,"",_xlpm.result))</f>
        <v/>
      </c>
      <c r="G31" s="1" t="str" cm="1">
        <f t="array" ref="G31">_xlfn.LET(_xlpm.result,10*_xlfn.XLOOKUP($A31,$A$2:$A$26,_xlfn.XLOOKUP(G$1,$B$1:$K$1,$B$2:$K$26)),IF(_xlpm.result&lt;0,"",_xlpm.result))</f>
        <v/>
      </c>
      <c r="H31" s="1" t="str" cm="1">
        <f t="array" ref="H31">_xlfn.LET(_xlpm.result,10*_xlfn.XLOOKUP($A31,$A$2:$A$26,_xlfn.XLOOKUP(H$1,$B$1:$K$1,$B$2:$K$26)),IF(_xlpm.result&lt;0,"",_xlpm.result))</f>
        <v/>
      </c>
      <c r="I31" s="1" t="str" cm="1">
        <f t="array" ref="I31">_xlfn.LET(_xlpm.result,10*_xlfn.XLOOKUP($A31,$A$2:$A$26,_xlfn.XLOOKUP(I$1,$B$1:$K$1,$B$2:$K$26)),IF(_xlpm.result&lt;0,"",_xlpm.result))</f>
        <v/>
      </c>
      <c r="J31" s="1" t="str" cm="1">
        <f t="array" ref="J31">_xlfn.LET(_xlpm.result,10*_xlfn.XLOOKUP($A31,$A$2:$A$26,_xlfn.XLOOKUP(J$1,$B$1:$K$1,$B$2:$K$26)),IF(_xlpm.result&lt;0,"",_xlpm.result))</f>
        <v/>
      </c>
      <c r="K31" s="1" t="str" cm="1">
        <f t="array" ref="K31">_xlfn.LET(_xlpm.result,10*_xlfn.XLOOKUP($A31,$A$2:$A$26,_xlfn.XLOOKUP(K$1,$B$1:$K$1,$B$2:$K$26)),IF(_xlpm.result&lt;0,"",_xlpm.result))</f>
        <v/>
      </c>
      <c r="L31" s="10">
        <f t="shared" ref="L31:L54" si="1">MAX(B31:K31)</f>
        <v>0</v>
      </c>
    </row>
    <row r="32" spans="1:13" x14ac:dyDescent="0.25">
      <c r="A32" t="s">
        <v>26</v>
      </c>
      <c r="B32" s="1" cm="1">
        <f t="array" ref="B32">_xlfn.LET(_xlpm.result,10*_xlfn.XLOOKUP($A32,$A$2:$A$26,_xlfn.XLOOKUP(B$1,$B$1:$K$1,$B$2:$K$26)),IF(_xlpm.result&lt;0,"",_xlpm.result))</f>
        <v>0</v>
      </c>
      <c r="C32" s="1" t="str" cm="1">
        <f t="array" ref="C32">_xlfn.LET(_xlpm.result,10*_xlfn.XLOOKUP($A32,$A$2:$A$26,_xlfn.XLOOKUP(C$1,$B$1:$K$1,$B$2:$K$26)),IF(_xlpm.result&lt;0,"",_xlpm.result))</f>
        <v/>
      </c>
      <c r="D32" s="1" t="str" cm="1">
        <f t="array" ref="D32">_xlfn.LET(_xlpm.result,10*_xlfn.XLOOKUP($A32,$A$2:$A$26,_xlfn.XLOOKUP(D$1,$B$1:$K$1,$B$2:$K$26)),IF(_xlpm.result&lt;0,"",_xlpm.result))</f>
        <v/>
      </c>
      <c r="E32" s="1" t="str" cm="1">
        <f t="array" ref="E32">_xlfn.LET(_xlpm.result,10*_xlfn.XLOOKUP($A32,$A$2:$A$26,_xlfn.XLOOKUP(E$1,$B$1:$K$1,$B$2:$K$26)),IF(_xlpm.result&lt;0,"",_xlpm.result))</f>
        <v/>
      </c>
      <c r="F32" s="1" t="str" cm="1">
        <f t="array" ref="F32">_xlfn.LET(_xlpm.result,10*_xlfn.XLOOKUP($A32,$A$2:$A$26,_xlfn.XLOOKUP(F$1,$B$1:$K$1,$B$2:$K$26)),IF(_xlpm.result&lt;0,"",_xlpm.result))</f>
        <v/>
      </c>
      <c r="G32" s="1" t="str" cm="1">
        <f t="array" ref="G32">_xlfn.LET(_xlpm.result,10*_xlfn.XLOOKUP($A32,$A$2:$A$26,_xlfn.XLOOKUP(G$1,$B$1:$K$1,$B$2:$K$26)),IF(_xlpm.result&lt;0,"",_xlpm.result))</f>
        <v/>
      </c>
      <c r="H32" s="1" t="str" cm="1">
        <f t="array" ref="H32">_xlfn.LET(_xlpm.result,10*_xlfn.XLOOKUP($A32,$A$2:$A$26,_xlfn.XLOOKUP(H$1,$B$1:$K$1,$B$2:$K$26)),IF(_xlpm.result&lt;0,"",_xlpm.result))</f>
        <v/>
      </c>
      <c r="I32" s="1" t="str" cm="1">
        <f t="array" ref="I32">_xlfn.LET(_xlpm.result,10*_xlfn.XLOOKUP($A32,$A$2:$A$26,_xlfn.XLOOKUP(I$1,$B$1:$K$1,$B$2:$K$26)),IF(_xlpm.result&lt;0,"",_xlpm.result))</f>
        <v/>
      </c>
      <c r="J32" s="1" t="str" cm="1">
        <f t="array" ref="J32">_xlfn.LET(_xlpm.result,10*_xlfn.XLOOKUP($A32,$A$2:$A$26,_xlfn.XLOOKUP(J$1,$B$1:$K$1,$B$2:$K$26)),IF(_xlpm.result&lt;0,"",_xlpm.result))</f>
        <v/>
      </c>
      <c r="K32" s="1" t="str" cm="1">
        <f t="array" ref="K32">_xlfn.LET(_xlpm.result,10*_xlfn.XLOOKUP($A32,$A$2:$A$26,_xlfn.XLOOKUP(K$1,$B$1:$K$1,$B$2:$K$26)),IF(_xlpm.result&lt;0,"",_xlpm.result))</f>
        <v/>
      </c>
      <c r="L32" s="10">
        <f t="shared" si="1"/>
        <v>0</v>
      </c>
    </row>
    <row r="33" spans="1:13" s="16" customFormat="1" x14ac:dyDescent="0.25">
      <c r="A33" t="s">
        <v>41</v>
      </c>
      <c r="B33" s="1" t="str" cm="1">
        <f t="array" ref="B33">_xlfn.LET(_xlpm.result,10*_xlfn.XLOOKUP($A33,$A$2:$A$26,_xlfn.XLOOKUP(B$1,$B$1:$K$1,$B$2:$K$26)),IF(_xlpm.result&lt;0,"",_xlpm.result))</f>
        <v/>
      </c>
      <c r="C33" s="1" t="str" cm="1">
        <f t="array" ref="C33">_xlfn.LET(_xlpm.result,10*_xlfn.XLOOKUP($A33,$A$2:$A$26,_xlfn.XLOOKUP(C$1,$B$1:$K$1,$B$2:$K$26)),IF(_xlpm.result&lt;0,"",_xlpm.result))</f>
        <v/>
      </c>
      <c r="D33" s="1" cm="1">
        <f t="array" ref="D33">_xlfn.LET(_xlpm.result,10*_xlfn.XLOOKUP($A33,$A$2:$A$26,_xlfn.XLOOKUP(D$1,$B$1:$K$1,$B$2:$K$26)),IF(_xlpm.result&lt;0,"",_xlpm.result))</f>
        <v>0</v>
      </c>
      <c r="E33" s="1" t="str" cm="1">
        <f t="array" ref="E33">_xlfn.LET(_xlpm.result,10*_xlfn.XLOOKUP($A33,$A$2:$A$26,_xlfn.XLOOKUP(E$1,$B$1:$K$1,$B$2:$K$26)),IF(_xlpm.result&lt;0,"",_xlpm.result))</f>
        <v/>
      </c>
      <c r="F33" s="1" t="str" cm="1">
        <f t="array" ref="F33">_xlfn.LET(_xlpm.result,10*_xlfn.XLOOKUP($A33,$A$2:$A$26,_xlfn.XLOOKUP(F$1,$B$1:$K$1,$B$2:$K$26)),IF(_xlpm.result&lt;0,"",_xlpm.result))</f>
        <v/>
      </c>
      <c r="G33" s="1" t="str" cm="1">
        <f t="array" ref="G33">_xlfn.LET(_xlpm.result,10*_xlfn.XLOOKUP($A33,$A$2:$A$26,_xlfn.XLOOKUP(G$1,$B$1:$K$1,$B$2:$K$26)),IF(_xlpm.result&lt;0,"",_xlpm.result))</f>
        <v/>
      </c>
      <c r="H33" s="1" t="str" cm="1">
        <f t="array" ref="H33">_xlfn.LET(_xlpm.result,10*_xlfn.XLOOKUP($A33,$A$2:$A$26,_xlfn.XLOOKUP(H$1,$B$1:$K$1,$B$2:$K$26)),IF(_xlpm.result&lt;0,"",_xlpm.result))</f>
        <v/>
      </c>
      <c r="I33" s="1" t="str" cm="1">
        <f t="array" ref="I33">_xlfn.LET(_xlpm.result,10*_xlfn.XLOOKUP($A33,$A$2:$A$26,_xlfn.XLOOKUP(I$1,$B$1:$K$1,$B$2:$K$26)),IF(_xlpm.result&lt;0,"",_xlpm.result))</f>
        <v/>
      </c>
      <c r="J33" s="1" cm="1">
        <f t="array" ref="J33">_xlfn.LET(_xlpm.result,10*_xlfn.XLOOKUP($A33,$A$2:$A$26,_xlfn.XLOOKUP(J$1,$B$1:$K$1,$B$2:$K$26)),IF(_xlpm.result&lt;0,"",_xlpm.result))</f>
        <v>1.9999999999999902</v>
      </c>
      <c r="K33" s="1" t="str" cm="1">
        <f t="array" ref="K33">_xlfn.LET(_xlpm.result,10*_xlfn.XLOOKUP($A33,$A$2:$A$26,_xlfn.XLOOKUP(K$1,$B$1:$K$1,$B$2:$K$26)),IF(_xlpm.result&lt;0,"",_xlpm.result))</f>
        <v/>
      </c>
      <c r="L33" s="10">
        <f t="shared" si="1"/>
        <v>1.9999999999999902</v>
      </c>
    </row>
    <row r="34" spans="1:13" s="16" customFormat="1" x14ac:dyDescent="0.25">
      <c r="A34" t="s">
        <v>49</v>
      </c>
      <c r="B34" s="1" t="str" cm="1">
        <f t="array" ref="B34">_xlfn.LET(_xlpm.result,10*_xlfn.XLOOKUP($A34,$A$2:$A$26,_xlfn.XLOOKUP(B$1,$B$1:$K$1,$B$2:$K$26)),IF(_xlpm.result&lt;0,"",_xlpm.result))</f>
        <v/>
      </c>
      <c r="C34" s="1" cm="1">
        <f t="array" ref="C34">_xlfn.LET(_xlpm.result,10*_xlfn.XLOOKUP($A34,$A$2:$A$26,_xlfn.XLOOKUP(C$1,$B$1:$K$1,$B$2:$K$26)),IF(_xlpm.result&lt;0,"",_xlpm.result))</f>
        <v>0</v>
      </c>
      <c r="D34" s="1" t="str" cm="1">
        <f t="array" ref="D34">_xlfn.LET(_xlpm.result,10*_xlfn.XLOOKUP($A34,$A$2:$A$26,_xlfn.XLOOKUP(D$1,$B$1:$K$1,$B$2:$K$26)),IF(_xlpm.result&lt;0,"",_xlpm.result))</f>
        <v/>
      </c>
      <c r="E34" s="1" t="str" cm="1">
        <f t="array" ref="E34">_xlfn.LET(_xlpm.result,10*_xlfn.XLOOKUP($A34,$A$2:$A$26,_xlfn.XLOOKUP(E$1,$B$1:$K$1,$B$2:$K$26)),IF(_xlpm.result&lt;0,"",_xlpm.result))</f>
        <v/>
      </c>
      <c r="F34" s="1" t="str" cm="1">
        <f t="array" ref="F34">_xlfn.LET(_xlpm.result,10*_xlfn.XLOOKUP($A34,$A$2:$A$26,_xlfn.XLOOKUP(F$1,$B$1:$K$1,$B$2:$K$26)),IF(_xlpm.result&lt;0,"",_xlpm.result))</f>
        <v/>
      </c>
      <c r="G34" s="1" cm="1">
        <f t="array" ref="G34">_xlfn.LET(_xlpm.result,10*_xlfn.XLOOKUP($A34,$A$2:$A$26,_xlfn.XLOOKUP(G$1,$B$1:$K$1,$B$2:$K$26)),IF(_xlpm.result&lt;0,"",_xlpm.result))</f>
        <v>9</v>
      </c>
      <c r="H34" s="1" t="str" cm="1">
        <f t="array" ref="H34">_xlfn.LET(_xlpm.result,10*_xlfn.XLOOKUP($A34,$A$2:$A$26,_xlfn.XLOOKUP(H$1,$B$1:$K$1,$B$2:$K$26)),IF(_xlpm.result&lt;0,"",_xlpm.result))</f>
        <v/>
      </c>
      <c r="I34" s="1" t="str" cm="1">
        <f t="array" ref="I34">_xlfn.LET(_xlpm.result,10*_xlfn.XLOOKUP($A34,$A$2:$A$26,_xlfn.XLOOKUP(I$1,$B$1:$K$1,$B$2:$K$26)),IF(_xlpm.result&lt;0,"",_xlpm.result))</f>
        <v/>
      </c>
      <c r="J34" s="1" t="str" cm="1">
        <f t="array" ref="J34">_xlfn.LET(_xlpm.result,10*_xlfn.XLOOKUP($A34,$A$2:$A$26,_xlfn.XLOOKUP(J$1,$B$1:$K$1,$B$2:$K$26)),IF(_xlpm.result&lt;0,"",_xlpm.result))</f>
        <v/>
      </c>
      <c r="K34" s="1" t="str" cm="1">
        <f t="array" ref="K34">_xlfn.LET(_xlpm.result,10*_xlfn.XLOOKUP($A34,$A$2:$A$26,_xlfn.XLOOKUP(K$1,$B$1:$K$1,$B$2:$K$26)),IF(_xlpm.result&lt;0,"",_xlpm.result))</f>
        <v/>
      </c>
      <c r="L34" s="10">
        <f t="shared" si="1"/>
        <v>9</v>
      </c>
    </row>
    <row r="35" spans="1:13" x14ac:dyDescent="0.25">
      <c r="A35" t="s">
        <v>43</v>
      </c>
      <c r="B35" s="1" cm="1">
        <f t="array" ref="B35">_xlfn.LET(_xlpm.result,10*_xlfn.XLOOKUP($A35,$A$2:$A$26,_xlfn.XLOOKUP(B$1,$B$1:$K$1,$B$2:$K$26)),IF(_xlpm.result&lt;0,"",_xlpm.result))</f>
        <v>0</v>
      </c>
      <c r="C35" s="1" cm="1">
        <f t="array" ref="C35">_xlfn.LET(_xlpm.result,10*_xlfn.XLOOKUP($A35,$A$2:$A$26,_xlfn.XLOOKUP(C$1,$B$1:$K$1,$B$2:$K$26)),IF(_xlpm.result&lt;0,"",_xlpm.result))</f>
        <v>38</v>
      </c>
      <c r="D35" s="1" t="str" cm="1">
        <f t="array" ref="D35">_xlfn.LET(_xlpm.result,10*_xlfn.XLOOKUP($A35,$A$2:$A$26,_xlfn.XLOOKUP(D$1,$B$1:$K$1,$B$2:$K$26)),IF(_xlpm.result&lt;0,"",_xlpm.result))</f>
        <v/>
      </c>
      <c r="E35" s="1" t="str" cm="1">
        <f t="array" ref="E35">_xlfn.LET(_xlpm.result,10*_xlfn.XLOOKUP($A35,$A$2:$A$26,_xlfn.XLOOKUP(E$1,$B$1:$K$1,$B$2:$K$26)),IF(_xlpm.result&lt;0,"",_xlpm.result))</f>
        <v/>
      </c>
      <c r="F35" s="1" t="str" cm="1">
        <f t="array" ref="F35">_xlfn.LET(_xlpm.result,10*_xlfn.XLOOKUP($A35,$A$2:$A$26,_xlfn.XLOOKUP(F$1,$B$1:$K$1,$B$2:$K$26)),IF(_xlpm.result&lt;0,"",_xlpm.result))</f>
        <v/>
      </c>
      <c r="G35" s="1" t="str" cm="1">
        <f t="array" ref="G35">_xlfn.LET(_xlpm.result,10*_xlfn.XLOOKUP($A35,$A$2:$A$26,_xlfn.XLOOKUP(G$1,$B$1:$K$1,$B$2:$K$26)),IF(_xlpm.result&lt;0,"",_xlpm.result))</f>
        <v/>
      </c>
      <c r="H35" s="1" t="str" cm="1">
        <f t="array" ref="H35">_xlfn.LET(_xlpm.result,10*_xlfn.XLOOKUP($A35,$A$2:$A$26,_xlfn.XLOOKUP(H$1,$B$1:$K$1,$B$2:$K$26)),IF(_xlpm.result&lt;0,"",_xlpm.result))</f>
        <v/>
      </c>
      <c r="I35" s="1" cm="1">
        <f t="array" ref="I35">_xlfn.LET(_xlpm.result,10*_xlfn.XLOOKUP($A35,$A$2:$A$26,_xlfn.XLOOKUP(I$1,$B$1:$K$1,$B$2:$K$26)),IF(_xlpm.result&lt;0,"",_xlpm.result))</f>
        <v>27</v>
      </c>
      <c r="J35" s="1" t="str" cm="1">
        <f t="array" ref="J35">_xlfn.LET(_xlpm.result,10*_xlfn.XLOOKUP($A35,$A$2:$A$26,_xlfn.XLOOKUP(J$1,$B$1:$K$1,$B$2:$K$26)),IF(_xlpm.result&lt;0,"",_xlpm.result))</f>
        <v/>
      </c>
      <c r="K35" s="1" t="str" cm="1">
        <f t="array" ref="K35">_xlfn.LET(_xlpm.result,10*_xlfn.XLOOKUP($A35,$A$2:$A$26,_xlfn.XLOOKUP(K$1,$B$1:$K$1,$B$2:$K$26)),IF(_xlpm.result&lt;0,"",_xlpm.result))</f>
        <v/>
      </c>
      <c r="L35" s="10">
        <f t="shared" si="1"/>
        <v>38</v>
      </c>
    </row>
    <row r="36" spans="1:13" x14ac:dyDescent="0.25">
      <c r="A36" t="s">
        <v>19</v>
      </c>
      <c r="B36" s="1" t="str" cm="1">
        <f t="array" ref="B36">_xlfn.LET(_xlpm.result,10*_xlfn.XLOOKUP($A36,$A$2:$A$26,_xlfn.XLOOKUP(B$1,$B$1:$K$1,$B$2:$K$26)),IF(_xlpm.result&lt;0,"",_xlpm.result))</f>
        <v/>
      </c>
      <c r="C36" s="1" t="str" cm="1">
        <f t="array" ref="C36">_xlfn.LET(_xlpm.result,10*_xlfn.XLOOKUP($A36,$A$2:$A$26,_xlfn.XLOOKUP(C$1,$B$1:$K$1,$B$2:$K$26)),IF(_xlpm.result&lt;0,"",_xlpm.result))</f>
        <v/>
      </c>
      <c r="D36" s="1" t="str" cm="1">
        <f t="array" ref="D36">_xlfn.LET(_xlpm.result,10*_xlfn.XLOOKUP($A36,$A$2:$A$26,_xlfn.XLOOKUP(D$1,$B$1:$K$1,$B$2:$K$26)),IF(_xlpm.result&lt;0,"",_xlpm.result))</f>
        <v/>
      </c>
      <c r="E36" s="1" cm="1">
        <f t="array" ref="E36">_xlfn.LET(_xlpm.result,10*_xlfn.XLOOKUP($A36,$A$2:$A$26,_xlfn.XLOOKUP(E$1,$B$1:$K$1,$B$2:$K$26)),IF(_xlpm.result&lt;0,"",_xlpm.result))</f>
        <v>0</v>
      </c>
      <c r="F36" s="1" t="str" cm="1">
        <f t="array" ref="F36">_xlfn.LET(_xlpm.result,10*_xlfn.XLOOKUP($A36,$A$2:$A$26,_xlfn.XLOOKUP(F$1,$B$1:$K$1,$B$2:$K$26)),IF(_xlpm.result&lt;0,"",_xlpm.result))</f>
        <v/>
      </c>
      <c r="G36" s="1" t="str" cm="1">
        <f t="array" ref="G36">_xlfn.LET(_xlpm.result,10*_xlfn.XLOOKUP($A36,$A$2:$A$26,_xlfn.XLOOKUP(G$1,$B$1:$K$1,$B$2:$K$26)),IF(_xlpm.result&lt;0,"",_xlpm.result))</f>
        <v/>
      </c>
      <c r="H36" s="1" t="str" cm="1">
        <f t="array" ref="H36">_xlfn.LET(_xlpm.result,10*_xlfn.XLOOKUP($A36,$A$2:$A$26,_xlfn.XLOOKUP(H$1,$B$1:$K$1,$B$2:$K$26)),IF(_xlpm.result&lt;0,"",_xlpm.result))</f>
        <v/>
      </c>
      <c r="I36" s="1" cm="1">
        <f t="array" ref="I36">_xlfn.LET(_xlpm.result,10*_xlfn.XLOOKUP($A36,$A$2:$A$26,_xlfn.XLOOKUP(I$1,$B$1:$K$1,$B$2:$K$26)),IF(_xlpm.result&lt;0,"",_xlpm.result))</f>
        <v>25</v>
      </c>
      <c r="J36" s="1" cm="1">
        <f t="array" ref="J36">_xlfn.LET(_xlpm.result,10*_xlfn.XLOOKUP($A36,$A$2:$A$26,_xlfn.XLOOKUP(J$1,$B$1:$K$1,$B$2:$K$26)),IF(_xlpm.result&lt;0,"",_xlpm.result))</f>
        <v>39</v>
      </c>
      <c r="K36" s="1" t="str" cm="1">
        <f t="array" ref="K36">_xlfn.LET(_xlpm.result,10*_xlfn.XLOOKUP($A36,$A$2:$A$26,_xlfn.XLOOKUP(K$1,$B$1:$K$1,$B$2:$K$26)),IF(_xlpm.result&lt;0,"",_xlpm.result))</f>
        <v/>
      </c>
      <c r="L36" s="10">
        <f t="shared" si="1"/>
        <v>39</v>
      </c>
    </row>
    <row r="37" spans="1:13" x14ac:dyDescent="0.25">
      <c r="A37" t="s">
        <v>23</v>
      </c>
      <c r="B37" s="1" t="str" cm="1">
        <f t="array" ref="B37">_xlfn.LET(_xlpm.result,10*_xlfn.XLOOKUP($A37,$A$2:$A$26,_xlfn.XLOOKUP(B$1,$B$1:$K$1,$B$2:$K$26)),IF(_xlpm.result&lt;0,"",_xlpm.result))</f>
        <v/>
      </c>
      <c r="C37" s="1" cm="1">
        <f t="array" ref="C37">_xlfn.LET(_xlpm.result,10*_xlfn.XLOOKUP($A37,$A$2:$A$26,_xlfn.XLOOKUP(C$1,$B$1:$K$1,$B$2:$K$26)),IF(_xlpm.result&lt;0,"",_xlpm.result))</f>
        <v>43</v>
      </c>
      <c r="D37" s="1" t="str" cm="1">
        <f t="array" ref="D37">_xlfn.LET(_xlpm.result,10*_xlfn.XLOOKUP($A37,$A$2:$A$26,_xlfn.XLOOKUP(D$1,$B$1:$K$1,$B$2:$K$26)),IF(_xlpm.result&lt;0,"",_xlpm.result))</f>
        <v/>
      </c>
      <c r="E37" s="1" t="str" cm="1">
        <f t="array" ref="E37">_xlfn.LET(_xlpm.result,10*_xlfn.XLOOKUP($A37,$A$2:$A$26,_xlfn.XLOOKUP(E$1,$B$1:$K$1,$B$2:$K$26)),IF(_xlpm.result&lt;0,"",_xlpm.result))</f>
        <v/>
      </c>
      <c r="F37" s="1" t="str" cm="1">
        <f t="array" ref="F37">_xlfn.LET(_xlpm.result,10*_xlfn.XLOOKUP($A37,$A$2:$A$26,_xlfn.XLOOKUP(F$1,$B$1:$K$1,$B$2:$K$26)),IF(_xlpm.result&lt;0,"",_xlpm.result))</f>
        <v/>
      </c>
      <c r="G37" s="1" cm="1">
        <f t="array" ref="G37">_xlfn.LET(_xlpm.result,10*_xlfn.XLOOKUP($A37,$A$2:$A$26,_xlfn.XLOOKUP(G$1,$B$1:$K$1,$B$2:$K$26)),IF(_xlpm.result&lt;0,"",_xlpm.result))</f>
        <v>0</v>
      </c>
      <c r="H37" s="1" cm="1">
        <f t="array" ref="H37">_xlfn.LET(_xlpm.result,10*_xlfn.XLOOKUP($A37,$A$2:$A$26,_xlfn.XLOOKUP(H$1,$B$1:$K$1,$B$2:$K$26)),IF(_xlpm.result&lt;0,"",_xlpm.result))</f>
        <v>43</v>
      </c>
      <c r="I37" s="1" t="str" cm="1">
        <f t="array" ref="I37">_xlfn.LET(_xlpm.result,10*_xlfn.XLOOKUP($A37,$A$2:$A$26,_xlfn.XLOOKUP(I$1,$B$1:$K$1,$B$2:$K$26)),IF(_xlpm.result&lt;0,"",_xlpm.result))</f>
        <v/>
      </c>
      <c r="J37" s="1" t="str" cm="1">
        <f t="array" ref="J37">_xlfn.LET(_xlpm.result,10*_xlfn.XLOOKUP($A37,$A$2:$A$26,_xlfn.XLOOKUP(J$1,$B$1:$K$1,$B$2:$K$26)),IF(_xlpm.result&lt;0,"",_xlpm.result))</f>
        <v/>
      </c>
      <c r="K37" s="1" t="str" cm="1">
        <f t="array" ref="K37">_xlfn.LET(_xlpm.result,10*_xlfn.XLOOKUP($A37,$A$2:$A$26,_xlfn.XLOOKUP(K$1,$B$1:$K$1,$B$2:$K$26)),IF(_xlpm.result&lt;0,"",_xlpm.result))</f>
        <v/>
      </c>
      <c r="L37" s="10">
        <f t="shared" si="1"/>
        <v>43</v>
      </c>
    </row>
    <row r="38" spans="1:13" x14ac:dyDescent="0.25">
      <c r="A38" t="s">
        <v>35</v>
      </c>
      <c r="B38" s="1" t="str" cm="1">
        <f t="array" ref="B38">_xlfn.LET(_xlpm.result,10*_xlfn.XLOOKUP($A38,$A$2:$A$26,_xlfn.XLOOKUP(B$1,$B$1:$K$1,$B$2:$K$26)),IF(_xlpm.result&lt;0,"",_xlpm.result))</f>
        <v/>
      </c>
      <c r="C38" s="1" t="str" cm="1">
        <f t="array" ref="C38">_xlfn.LET(_xlpm.result,10*_xlfn.XLOOKUP($A38,$A$2:$A$26,_xlfn.XLOOKUP(C$1,$B$1:$K$1,$B$2:$K$26)),IF(_xlpm.result&lt;0,"",_xlpm.result))</f>
        <v/>
      </c>
      <c r="D38" s="1" t="str" cm="1">
        <f t="array" ref="D38">_xlfn.LET(_xlpm.result,10*_xlfn.XLOOKUP($A38,$A$2:$A$26,_xlfn.XLOOKUP(D$1,$B$1:$K$1,$B$2:$K$26)),IF(_xlpm.result&lt;0,"",_xlpm.result))</f>
        <v/>
      </c>
      <c r="E38" s="1" cm="1">
        <f t="array" ref="E38">_xlfn.LET(_xlpm.result,10*_xlfn.XLOOKUP($A38,$A$2:$A$26,_xlfn.XLOOKUP(E$1,$B$1:$K$1,$B$2:$K$26)),IF(_xlpm.result&lt;0,"",_xlpm.result))</f>
        <v>44</v>
      </c>
      <c r="F38" s="1" t="str" cm="1">
        <f t="array" ref="F38">_xlfn.LET(_xlpm.result,10*_xlfn.XLOOKUP($A38,$A$2:$A$26,_xlfn.XLOOKUP(F$1,$B$1:$K$1,$B$2:$K$26)),IF(_xlpm.result&lt;0,"",_xlpm.result))</f>
        <v/>
      </c>
      <c r="G38" s="1" t="str" cm="1">
        <f t="array" ref="G38">_xlfn.LET(_xlpm.result,10*_xlfn.XLOOKUP($A38,$A$2:$A$26,_xlfn.XLOOKUP(G$1,$B$1:$K$1,$B$2:$K$26)),IF(_xlpm.result&lt;0,"",_xlpm.result))</f>
        <v/>
      </c>
      <c r="H38" s="1" t="str" cm="1">
        <f t="array" ref="H38">_xlfn.LET(_xlpm.result,10*_xlfn.XLOOKUP($A38,$A$2:$A$26,_xlfn.XLOOKUP(H$1,$B$1:$K$1,$B$2:$K$26)),IF(_xlpm.result&lt;0,"",_xlpm.result))</f>
        <v/>
      </c>
      <c r="I38" s="1" t="str" cm="1">
        <f t="array" ref="I38">_xlfn.LET(_xlpm.result,10*_xlfn.XLOOKUP($A38,$A$2:$A$26,_xlfn.XLOOKUP(I$1,$B$1:$K$1,$B$2:$K$26)),IF(_xlpm.result&lt;0,"",_xlpm.result))</f>
        <v/>
      </c>
      <c r="J38" s="1" t="str" cm="1">
        <f t="array" ref="J38">_xlfn.LET(_xlpm.result,10*_xlfn.XLOOKUP($A38,$A$2:$A$26,_xlfn.XLOOKUP(J$1,$B$1:$K$1,$B$2:$K$26)),IF(_xlpm.result&lt;0,"",_xlpm.result))</f>
        <v/>
      </c>
      <c r="K38" s="1" t="str" cm="1">
        <f t="array" ref="K38">_xlfn.LET(_xlpm.result,10*_xlfn.XLOOKUP($A38,$A$2:$A$26,_xlfn.XLOOKUP(K$1,$B$1:$K$1,$B$2:$K$26)),IF(_xlpm.result&lt;0,"",_xlpm.result))</f>
        <v/>
      </c>
      <c r="L38" s="10">
        <f t="shared" si="1"/>
        <v>44</v>
      </c>
    </row>
    <row r="39" spans="1:13" s="16" customFormat="1" x14ac:dyDescent="0.25">
      <c r="A39" t="s">
        <v>25</v>
      </c>
      <c r="B39" s="1" t="str" cm="1">
        <f t="array" ref="B39">_xlfn.LET(_xlpm.result,10*_xlfn.XLOOKUP($A39,$A$2:$A$26,_xlfn.XLOOKUP(B$1,$B$1:$K$1,$B$2:$K$26)),IF(_xlpm.result&lt;0,"",_xlpm.result))</f>
        <v/>
      </c>
      <c r="C39" s="1" cm="1">
        <f t="array" ref="C39">_xlfn.LET(_xlpm.result,10*_xlfn.XLOOKUP($A39,$A$2:$A$26,_xlfn.XLOOKUP(C$1,$B$1:$K$1,$B$2:$K$26)),IF(_xlpm.result&lt;0,"",_xlpm.result))</f>
        <v>0</v>
      </c>
      <c r="D39" s="1" t="str" cm="1">
        <f t="array" ref="D39">_xlfn.LET(_xlpm.result,10*_xlfn.XLOOKUP($A39,$A$2:$A$26,_xlfn.XLOOKUP(D$1,$B$1:$K$1,$B$2:$K$26)),IF(_xlpm.result&lt;0,"",_xlpm.result))</f>
        <v/>
      </c>
      <c r="E39" s="1" t="str" cm="1">
        <f t="array" ref="E39">_xlfn.LET(_xlpm.result,10*_xlfn.XLOOKUP($A39,$A$2:$A$26,_xlfn.XLOOKUP(E$1,$B$1:$K$1,$B$2:$K$26)),IF(_xlpm.result&lt;0,"",_xlpm.result))</f>
        <v/>
      </c>
      <c r="F39" s="1" t="str" cm="1">
        <f t="array" ref="F39">_xlfn.LET(_xlpm.result,10*_xlfn.XLOOKUP($A39,$A$2:$A$26,_xlfn.XLOOKUP(F$1,$B$1:$K$1,$B$2:$K$26)),IF(_xlpm.result&lt;0,"",_xlpm.result))</f>
        <v/>
      </c>
      <c r="G39" s="1" t="str" cm="1">
        <f t="array" ref="G39">_xlfn.LET(_xlpm.result,10*_xlfn.XLOOKUP($A39,$A$2:$A$26,_xlfn.XLOOKUP(G$1,$B$1:$K$1,$B$2:$K$26)),IF(_xlpm.result&lt;0,"",_xlpm.result))</f>
        <v/>
      </c>
      <c r="H39" s="1" t="str" cm="1">
        <f t="array" ref="H39">_xlfn.LET(_xlpm.result,10*_xlfn.XLOOKUP($A39,$A$2:$A$26,_xlfn.XLOOKUP(H$1,$B$1:$K$1,$B$2:$K$26)),IF(_xlpm.result&lt;0,"",_xlpm.result))</f>
        <v/>
      </c>
      <c r="I39" s="1" t="str" cm="1">
        <f t="array" ref="I39">_xlfn.LET(_xlpm.result,10*_xlfn.XLOOKUP($A39,$A$2:$A$26,_xlfn.XLOOKUP(I$1,$B$1:$K$1,$B$2:$K$26)),IF(_xlpm.result&lt;0,"",_xlpm.result))</f>
        <v/>
      </c>
      <c r="J39" s="1" t="str" cm="1">
        <f t="array" ref="J39">_xlfn.LET(_xlpm.result,10*_xlfn.XLOOKUP($A39,$A$2:$A$26,_xlfn.XLOOKUP(J$1,$B$1:$K$1,$B$2:$K$26)),IF(_xlpm.result&lt;0,"",_xlpm.result))</f>
        <v/>
      </c>
      <c r="K39" s="1" cm="1">
        <f t="array" ref="K39">_xlfn.LET(_xlpm.result,10*_xlfn.XLOOKUP($A39,$A$2:$A$26,_xlfn.XLOOKUP(K$1,$B$1:$K$1,$B$2:$K$26)),IF(_xlpm.result&lt;0,"",_xlpm.result))</f>
        <v>49</v>
      </c>
      <c r="L39" s="10">
        <f t="shared" si="1"/>
        <v>49</v>
      </c>
    </row>
    <row r="40" spans="1:13" s="16" customFormat="1" x14ac:dyDescent="0.25">
      <c r="A40" t="s">
        <v>50</v>
      </c>
      <c r="B40" s="1" cm="1">
        <f t="array" ref="B40">_xlfn.LET(_xlpm.result,10*_xlfn.XLOOKUP($A40,$A$2:$A$26,_xlfn.XLOOKUP(B$1,$B$1:$K$1,$B$2:$K$26)),IF(_xlpm.result&lt;0,"",_xlpm.result))</f>
        <v>5.9999999999999893</v>
      </c>
      <c r="C40" s="1" t="str" cm="1">
        <f t="array" ref="C40">_xlfn.LET(_xlpm.result,10*_xlfn.XLOOKUP($A40,$A$2:$A$26,_xlfn.XLOOKUP(C$1,$B$1:$K$1,$B$2:$K$26)),IF(_xlpm.result&lt;0,"",_xlpm.result))</f>
        <v/>
      </c>
      <c r="D40" s="1" cm="1">
        <f t="array" ref="D40">_xlfn.LET(_xlpm.result,10*_xlfn.XLOOKUP($A40,$A$2:$A$26,_xlfn.XLOOKUP(D$1,$B$1:$K$1,$B$2:$K$26)),IF(_xlpm.result&lt;0,"",_xlpm.result))</f>
        <v>51.999999999999901</v>
      </c>
      <c r="E40" s="1" cm="1">
        <f t="array" ref="E40">_xlfn.LET(_xlpm.result,10*_xlfn.XLOOKUP($A40,$A$2:$A$26,_xlfn.XLOOKUP(E$1,$B$1:$K$1,$B$2:$K$26)),IF(_xlpm.result&lt;0,"",_xlpm.result))</f>
        <v>0</v>
      </c>
      <c r="F40" s="1" t="str" cm="1">
        <f t="array" ref="F40">_xlfn.LET(_xlpm.result,10*_xlfn.XLOOKUP($A40,$A$2:$A$26,_xlfn.XLOOKUP(F$1,$B$1:$K$1,$B$2:$K$26)),IF(_xlpm.result&lt;0,"",_xlpm.result))</f>
        <v/>
      </c>
      <c r="G40" s="1" cm="1">
        <f t="array" ref="G40">_xlfn.LET(_xlpm.result,10*_xlfn.XLOOKUP($A40,$A$2:$A$26,_xlfn.XLOOKUP(G$1,$B$1:$K$1,$B$2:$K$26)),IF(_xlpm.result&lt;0,"",_xlpm.result))</f>
        <v>51</v>
      </c>
      <c r="H40" s="1" cm="1">
        <f t="array" ref="H40">_xlfn.LET(_xlpm.result,10*_xlfn.XLOOKUP($A40,$A$2:$A$26,_xlfn.XLOOKUP(H$1,$B$1:$K$1,$B$2:$K$26)),IF(_xlpm.result&lt;0,"",_xlpm.result))</f>
        <v>12</v>
      </c>
      <c r="I40" s="1" t="str" cm="1">
        <f t="array" ref="I40">_xlfn.LET(_xlpm.result,10*_xlfn.XLOOKUP($A40,$A$2:$A$26,_xlfn.XLOOKUP(I$1,$B$1:$K$1,$B$2:$K$26)),IF(_xlpm.result&lt;0,"",_xlpm.result))</f>
        <v/>
      </c>
      <c r="J40" s="1" cm="1">
        <f t="array" ref="J40">_xlfn.LET(_xlpm.result,10*_xlfn.XLOOKUP($A40,$A$2:$A$26,_xlfn.XLOOKUP(J$1,$B$1:$K$1,$B$2:$K$26)),IF(_xlpm.result&lt;0,"",_xlpm.result))</f>
        <v>7</v>
      </c>
      <c r="K40" s="1" t="str" cm="1">
        <f t="array" ref="K40">_xlfn.LET(_xlpm.result,10*_xlfn.XLOOKUP($A40,$A$2:$A$26,_xlfn.XLOOKUP(K$1,$B$1:$K$1,$B$2:$K$26)),IF(_xlpm.result&lt;0,"",_xlpm.result))</f>
        <v/>
      </c>
      <c r="L40" s="10">
        <f t="shared" si="1"/>
        <v>51.999999999999901</v>
      </c>
    </row>
    <row r="41" spans="1:13" x14ac:dyDescent="0.25">
      <c r="A41" t="s">
        <v>20</v>
      </c>
      <c r="B41" s="1" t="str" cm="1">
        <f t="array" ref="B41">_xlfn.LET(_xlpm.result,10*_xlfn.XLOOKUP($A41,$A$2:$A$26,_xlfn.XLOOKUP(B$1,$B$1:$K$1,$B$2:$K$26)),IF(_xlpm.result&lt;0,"",_xlpm.result))</f>
        <v/>
      </c>
      <c r="C41" s="1" t="str" cm="1">
        <f t="array" ref="C41">_xlfn.LET(_xlpm.result,10*_xlfn.XLOOKUP($A41,$A$2:$A$26,_xlfn.XLOOKUP(C$1,$B$1:$K$1,$B$2:$K$26)),IF(_xlpm.result&lt;0,"",_xlpm.result))</f>
        <v/>
      </c>
      <c r="D41" s="1" cm="1">
        <f t="array" ref="D41">_xlfn.LET(_xlpm.result,10*_xlfn.XLOOKUP($A41,$A$2:$A$26,_xlfn.XLOOKUP(D$1,$B$1:$K$1,$B$2:$K$26)),IF(_xlpm.result&lt;0,"",_xlpm.result))</f>
        <v>8.9999999999999893</v>
      </c>
      <c r="E41" s="1" cm="1">
        <f t="array" ref="E41">_xlfn.LET(_xlpm.result,10*_xlfn.XLOOKUP($A41,$A$2:$A$26,_xlfn.XLOOKUP(E$1,$B$1:$K$1,$B$2:$K$26)),IF(_xlpm.result&lt;0,"",_xlpm.result))</f>
        <v>52</v>
      </c>
      <c r="F41" s="1" cm="1">
        <f t="array" ref="F41">_xlfn.LET(_xlpm.result,10*_xlfn.XLOOKUP($A41,$A$2:$A$26,_xlfn.XLOOKUP(F$1,$B$1:$K$1,$B$2:$K$26)),IF(_xlpm.result&lt;0,"",_xlpm.result))</f>
        <v>24.999999999999897</v>
      </c>
      <c r="G41" s="1" t="str" cm="1">
        <f t="array" ref="G41">_xlfn.LET(_xlpm.result,10*_xlfn.XLOOKUP($A41,$A$2:$A$26,_xlfn.XLOOKUP(G$1,$B$1:$K$1,$B$2:$K$26)),IF(_xlpm.result&lt;0,"",_xlpm.result))</f>
        <v/>
      </c>
      <c r="H41" s="1" t="str" cm="1">
        <f t="array" ref="H41">_xlfn.LET(_xlpm.result,10*_xlfn.XLOOKUP($A41,$A$2:$A$26,_xlfn.XLOOKUP(H$1,$B$1:$K$1,$B$2:$K$26)),IF(_xlpm.result&lt;0,"",_xlpm.result))</f>
        <v/>
      </c>
      <c r="I41" s="1" t="str" cm="1">
        <f t="array" ref="I41">_xlfn.LET(_xlpm.result,10*_xlfn.XLOOKUP($A41,$A$2:$A$26,_xlfn.XLOOKUP(I$1,$B$1:$K$1,$B$2:$K$26)),IF(_xlpm.result&lt;0,"",_xlpm.result))</f>
        <v/>
      </c>
      <c r="J41" s="1" t="str" cm="1">
        <f t="array" ref="J41">_xlfn.LET(_xlpm.result,10*_xlfn.XLOOKUP($A41,$A$2:$A$26,_xlfn.XLOOKUP(J$1,$B$1:$K$1,$B$2:$K$26)),IF(_xlpm.result&lt;0,"",_xlpm.result))</f>
        <v/>
      </c>
      <c r="K41" s="1" cm="1">
        <f t="array" ref="K41">_xlfn.LET(_xlpm.result,10*_xlfn.XLOOKUP($A41,$A$2:$A$26,_xlfn.XLOOKUP(K$1,$B$1:$K$1,$B$2:$K$26)),IF(_xlpm.result&lt;0,"",_xlpm.result))</f>
        <v>52</v>
      </c>
      <c r="L41" s="10">
        <f t="shared" si="1"/>
        <v>52</v>
      </c>
    </row>
    <row r="42" spans="1:13" s="16" customFormat="1" x14ac:dyDescent="0.25">
      <c r="A42" t="s">
        <v>38</v>
      </c>
      <c r="B42" s="1" t="str" cm="1">
        <f t="array" ref="B42">_xlfn.LET(_xlpm.result,10*_xlfn.XLOOKUP($A42,$A$2:$A$26,_xlfn.XLOOKUP(B$1,$B$1:$K$1,$B$2:$K$26)),IF(_xlpm.result&lt;0,"",_xlpm.result))</f>
        <v/>
      </c>
      <c r="C42" s="1" t="str" cm="1">
        <f t="array" ref="C42">_xlfn.LET(_xlpm.result,10*_xlfn.XLOOKUP($A42,$A$2:$A$26,_xlfn.XLOOKUP(C$1,$B$1:$K$1,$B$2:$K$26)),IF(_xlpm.result&lt;0,"",_xlpm.result))</f>
        <v/>
      </c>
      <c r="D42" s="1" t="str" cm="1">
        <f t="array" ref="D42">_xlfn.LET(_xlpm.result,10*_xlfn.XLOOKUP($A42,$A$2:$A$26,_xlfn.XLOOKUP(D$1,$B$1:$K$1,$B$2:$K$26)),IF(_xlpm.result&lt;0,"",_xlpm.result))</f>
        <v/>
      </c>
      <c r="E42" s="1" cm="1">
        <f t="array" ref="E42">_xlfn.LET(_xlpm.result,10*_xlfn.XLOOKUP($A42,$A$2:$A$26,_xlfn.XLOOKUP(E$1,$B$1:$K$1,$B$2:$K$26)),IF(_xlpm.result&lt;0,"",_xlpm.result))</f>
        <v>0</v>
      </c>
      <c r="F42" s="1" cm="1">
        <f t="array" ref="F42">_xlfn.LET(_xlpm.result,10*_xlfn.XLOOKUP($A42,$A$2:$A$26,_xlfn.XLOOKUP(F$1,$B$1:$K$1,$B$2:$K$26)),IF(_xlpm.result&lt;0,"",_xlpm.result))</f>
        <v>55</v>
      </c>
      <c r="G42" s="1" cm="1">
        <f t="array" ref="G42">_xlfn.LET(_xlpm.result,10*_xlfn.XLOOKUP($A42,$A$2:$A$26,_xlfn.XLOOKUP(G$1,$B$1:$K$1,$B$2:$K$26)),IF(_xlpm.result&lt;0,"",_xlpm.result))</f>
        <v>28</v>
      </c>
      <c r="H42" s="1" t="str" cm="1">
        <f t="array" ref="H42">_xlfn.LET(_xlpm.result,10*_xlfn.XLOOKUP($A42,$A$2:$A$26,_xlfn.XLOOKUP(H$1,$B$1:$K$1,$B$2:$K$26)),IF(_xlpm.result&lt;0,"",_xlpm.result))</f>
        <v/>
      </c>
      <c r="I42" s="1" cm="1">
        <f t="array" ref="I42">_xlfn.LET(_xlpm.result,10*_xlfn.XLOOKUP($A42,$A$2:$A$26,_xlfn.XLOOKUP(I$1,$B$1:$K$1,$B$2:$K$26)),IF(_xlpm.result&lt;0,"",_xlpm.result))</f>
        <v>17</v>
      </c>
      <c r="J42" s="1" t="str" cm="1">
        <f t="array" ref="J42">_xlfn.LET(_xlpm.result,10*_xlfn.XLOOKUP($A42,$A$2:$A$26,_xlfn.XLOOKUP(J$1,$B$1:$K$1,$B$2:$K$26)),IF(_xlpm.result&lt;0,"",_xlpm.result))</f>
        <v/>
      </c>
      <c r="K42" s="1" t="str" cm="1">
        <f t="array" ref="K42">_xlfn.LET(_xlpm.result,10*_xlfn.XLOOKUP($A42,$A$2:$A$26,_xlfn.XLOOKUP(K$1,$B$1:$K$1,$B$2:$K$26)),IF(_xlpm.result&lt;0,"",_xlpm.result))</f>
        <v/>
      </c>
      <c r="L42" s="10">
        <f t="shared" si="1"/>
        <v>55</v>
      </c>
    </row>
    <row r="43" spans="1:13" x14ac:dyDescent="0.25">
      <c r="A43" t="s">
        <v>42</v>
      </c>
      <c r="B43" s="1" cm="1">
        <f t="array" ref="B43">_xlfn.LET(_xlpm.result,10*_xlfn.XLOOKUP($A43,$A$2:$A$26,_xlfn.XLOOKUP(B$1,$B$1:$K$1,$B$2:$K$26)),IF(_xlpm.result&lt;0,"",_xlpm.result))</f>
        <v>10</v>
      </c>
      <c r="C43" s="1" cm="1">
        <f t="array" ref="C43">_xlfn.LET(_xlpm.result,10*_xlfn.XLOOKUP($A43,$A$2:$A$26,_xlfn.XLOOKUP(C$1,$B$1:$K$1,$B$2:$K$26)),IF(_xlpm.result&lt;0,"",_xlpm.result))</f>
        <v>25.999999999999901</v>
      </c>
      <c r="D43" s="1" t="str" cm="1">
        <f t="array" ref="D43">_xlfn.LET(_xlpm.result,10*_xlfn.XLOOKUP($A43,$A$2:$A$26,_xlfn.XLOOKUP(D$1,$B$1:$K$1,$B$2:$K$26)),IF(_xlpm.result&lt;0,"",_xlpm.result))</f>
        <v/>
      </c>
      <c r="E43" s="1" t="str" cm="1">
        <f t="array" ref="E43">_xlfn.LET(_xlpm.result,10*_xlfn.XLOOKUP($A43,$A$2:$A$26,_xlfn.XLOOKUP(E$1,$B$1:$K$1,$B$2:$K$26)),IF(_xlpm.result&lt;0,"",_xlpm.result))</f>
        <v/>
      </c>
      <c r="F43" s="1" cm="1">
        <f t="array" ref="F43">_xlfn.LET(_xlpm.result,10*_xlfn.XLOOKUP($A43,$A$2:$A$26,_xlfn.XLOOKUP(F$1,$B$1:$K$1,$B$2:$K$26)),IF(_xlpm.result&lt;0,"",_xlpm.result))</f>
        <v>2.9999999999999898</v>
      </c>
      <c r="G43" s="1" cm="1">
        <f t="array" ref="G43">_xlfn.LET(_xlpm.result,10*_xlfn.XLOOKUP($A43,$A$2:$A$26,_xlfn.XLOOKUP(G$1,$B$1:$K$1,$B$2:$K$26)),IF(_xlpm.result&lt;0,"",_xlpm.result))</f>
        <v>0</v>
      </c>
      <c r="H43" s="1" t="str" cm="1">
        <f t="array" ref="H43">_xlfn.LET(_xlpm.result,10*_xlfn.XLOOKUP($A43,$A$2:$A$26,_xlfn.XLOOKUP(H$1,$B$1:$K$1,$B$2:$K$26)),IF(_xlpm.result&lt;0,"",_xlpm.result))</f>
        <v/>
      </c>
      <c r="I43" s="1" cm="1">
        <f t="array" ref="I43">_xlfn.LET(_xlpm.result,10*_xlfn.XLOOKUP($A43,$A$2:$A$26,_xlfn.XLOOKUP(I$1,$B$1:$K$1,$B$2:$K$26)),IF(_xlpm.result&lt;0,"",_xlpm.result))</f>
        <v>39</v>
      </c>
      <c r="J43" s="1" cm="1">
        <f t="array" ref="J43">_xlfn.LET(_xlpm.result,10*_xlfn.XLOOKUP($A43,$A$2:$A$26,_xlfn.XLOOKUP(J$1,$B$1:$K$1,$B$2:$K$26)),IF(_xlpm.result&lt;0,"",_xlpm.result))</f>
        <v>62</v>
      </c>
      <c r="K43" s="1" t="str" cm="1">
        <f t="array" ref="K43">_xlfn.LET(_xlpm.result,10*_xlfn.XLOOKUP($A43,$A$2:$A$26,_xlfn.XLOOKUP(K$1,$B$1:$K$1,$B$2:$K$26)),IF(_xlpm.result&lt;0,"",_xlpm.result))</f>
        <v/>
      </c>
      <c r="L43" s="19">
        <f t="shared" si="1"/>
        <v>62</v>
      </c>
    </row>
    <row r="44" spans="1:13" s="16" customFormat="1" ht="21" x14ac:dyDescent="0.35">
      <c r="A44" s="16" t="s">
        <v>27</v>
      </c>
      <c r="B44" s="17" cm="1">
        <f t="array" ref="B44">_xlfn.LET(_xlpm.result,10*_xlfn.XLOOKUP($A44,$A$2:$A$26,_xlfn.XLOOKUP(B$1,$B$1:$K$1,$B$2:$K$26)),IF(_xlpm.result&lt;0,"",_xlpm.result))</f>
        <v>23</v>
      </c>
      <c r="C44" s="17" cm="1">
        <f t="array" ref="C44">_xlfn.LET(_xlpm.result,10*_xlfn.XLOOKUP($A44,$A$2:$A$26,_xlfn.XLOOKUP(C$1,$B$1:$K$1,$B$2:$K$26)),IF(_xlpm.result&lt;0,"",_xlpm.result))</f>
        <v>0</v>
      </c>
      <c r="D44" s="21" cm="1">
        <f t="array" ref="D44">_xlfn.LET(_xlpm.result,10*_xlfn.XLOOKUP($A44,$A$2:$A$26,_xlfn.XLOOKUP(D$1,$B$1:$K$1,$B$2:$K$26)),IF(_xlpm.result&lt;0,"",_xlpm.result))</f>
        <v>67</v>
      </c>
      <c r="E44" s="17" t="str" cm="1">
        <f t="array" ref="E44">_xlfn.LET(_xlpm.result,10*_xlfn.XLOOKUP($A44,$A$2:$A$26,_xlfn.XLOOKUP(E$1,$B$1:$K$1,$B$2:$K$26)),IF(_xlpm.result&lt;0,"",_xlpm.result))</f>
        <v/>
      </c>
      <c r="F44" s="17" t="str" cm="1">
        <f t="array" ref="F44">_xlfn.LET(_xlpm.result,10*_xlfn.XLOOKUP($A44,$A$2:$A$26,_xlfn.XLOOKUP(F$1,$B$1:$K$1,$B$2:$K$26)),IF(_xlpm.result&lt;0,"",_xlpm.result))</f>
        <v/>
      </c>
      <c r="G44" s="17" t="str" cm="1">
        <f t="array" ref="G44">_xlfn.LET(_xlpm.result,10*_xlfn.XLOOKUP($A44,$A$2:$A$26,_xlfn.XLOOKUP(G$1,$B$1:$K$1,$B$2:$K$26)),IF(_xlpm.result&lt;0,"",_xlpm.result))</f>
        <v/>
      </c>
      <c r="H44" s="17" cm="1">
        <f t="array" ref="H44">_xlfn.LET(_xlpm.result,10*_xlfn.XLOOKUP($A44,$A$2:$A$26,_xlfn.XLOOKUP(H$1,$B$1:$K$1,$B$2:$K$26)),IF(_xlpm.result&lt;0,"",_xlpm.result))</f>
        <v>44</v>
      </c>
      <c r="I44" s="17" t="str" cm="1">
        <f t="array" ref="I44">_xlfn.LET(_xlpm.result,10*_xlfn.XLOOKUP($A44,$A$2:$A$26,_xlfn.XLOOKUP(I$1,$B$1:$K$1,$B$2:$K$26)),IF(_xlpm.result&lt;0,"",_xlpm.result))</f>
        <v/>
      </c>
      <c r="J44" s="17" t="str" cm="1">
        <f t="array" ref="J44">_xlfn.LET(_xlpm.result,10*_xlfn.XLOOKUP($A44,$A$2:$A$26,_xlfn.XLOOKUP(J$1,$B$1:$K$1,$B$2:$K$26)),IF(_xlpm.result&lt;0,"",_xlpm.result))</f>
        <v/>
      </c>
      <c r="K44" s="17" cm="1">
        <f t="array" ref="K44">_xlfn.LET(_xlpm.result,10*_xlfn.XLOOKUP($A44,$A$2:$A$26,_xlfn.XLOOKUP(K$1,$B$1:$K$1,$B$2:$K$26)),IF(_xlpm.result&lt;0,"",_xlpm.result))</f>
        <v>5</v>
      </c>
      <c r="L44" s="19">
        <f t="shared" si="1"/>
        <v>67</v>
      </c>
    </row>
    <row r="45" spans="1:13" ht="21" x14ac:dyDescent="0.35">
      <c r="A45" t="s">
        <v>33</v>
      </c>
      <c r="B45" s="1" cm="1">
        <f t="array" ref="B45">_xlfn.LET(_xlpm.result,10*_xlfn.XLOOKUP($A45,$A$2:$A$26,_xlfn.XLOOKUP(B$1,$B$1:$K$1,$B$2:$K$26)),IF(_xlpm.result&lt;0,"",_xlpm.result))</f>
        <v>44</v>
      </c>
      <c r="C45" s="1" t="str" cm="1">
        <f t="array" ref="C45">_xlfn.LET(_xlpm.result,10*_xlfn.XLOOKUP($A45,$A$2:$A$26,_xlfn.XLOOKUP(C$1,$B$1:$K$1,$B$2:$K$26)),IF(_xlpm.result&lt;0,"",_xlpm.result))</f>
        <v/>
      </c>
      <c r="D45" s="1" t="str" cm="1">
        <f t="array" ref="D45">_xlfn.LET(_xlpm.result,10*_xlfn.XLOOKUP($A45,$A$2:$A$26,_xlfn.XLOOKUP(D$1,$B$1:$K$1,$B$2:$K$26)),IF(_xlpm.result&lt;0,"",_xlpm.result))</f>
        <v/>
      </c>
      <c r="E45" s="1" cm="1">
        <f t="array" ref="E45">_xlfn.LET(_xlpm.result,10*_xlfn.XLOOKUP($A45,$A$2:$A$26,_xlfn.XLOOKUP(E$1,$B$1:$K$1,$B$2:$K$26)),IF(_xlpm.result&lt;0,"",_xlpm.result))</f>
        <v>0</v>
      </c>
      <c r="F45" s="1" cm="1">
        <f t="array" ref="F45">_xlfn.LET(_xlpm.result,10*_xlfn.XLOOKUP($A45,$A$2:$A$26,_xlfn.XLOOKUP(F$1,$B$1:$K$1,$B$2:$K$26)),IF(_xlpm.result&lt;0,"",_xlpm.result))</f>
        <v>79</v>
      </c>
      <c r="G45" s="1" t="str" cm="1">
        <f t="array" ref="G45">_xlfn.LET(_xlpm.result,10*_xlfn.XLOOKUP($A45,$A$2:$A$26,_xlfn.XLOOKUP(G$1,$B$1:$K$1,$B$2:$K$26)),IF(_xlpm.result&lt;0,"",_xlpm.result))</f>
        <v/>
      </c>
      <c r="H45" s="1" cm="1">
        <f t="array" ref="H45">_xlfn.LET(_xlpm.result,10*_xlfn.XLOOKUP($A45,$A$2:$A$26,_xlfn.XLOOKUP(H$1,$B$1:$K$1,$B$2:$K$26)),IF(_xlpm.result&lt;0,"",_xlpm.result))</f>
        <v>50</v>
      </c>
      <c r="I45" s="1" t="str" cm="1">
        <f t="array" ref="I45">_xlfn.LET(_xlpm.result,10*_xlfn.XLOOKUP($A45,$A$2:$A$26,_xlfn.XLOOKUP(I$1,$B$1:$K$1,$B$2:$K$26)),IF(_xlpm.result&lt;0,"",_xlpm.result))</f>
        <v/>
      </c>
      <c r="J45" s="1" t="str" cm="1">
        <f t="array" ref="J45">_xlfn.LET(_xlpm.result,10*_xlfn.XLOOKUP($A45,$A$2:$A$26,_xlfn.XLOOKUP(J$1,$B$1:$K$1,$B$2:$K$26)),IF(_xlpm.result&lt;0,"",_xlpm.result))</f>
        <v/>
      </c>
      <c r="K45" s="21" cm="1">
        <f t="array" ref="K45">_xlfn.LET(_xlpm.result,10*_xlfn.XLOOKUP($A45,$A$2:$A$26,_xlfn.XLOOKUP(K$1,$B$1:$K$1,$B$2:$K$26)),IF(_xlpm.result&lt;0,"",_xlpm.result))</f>
        <v>79</v>
      </c>
      <c r="L45" s="10">
        <f t="shared" si="1"/>
        <v>79</v>
      </c>
      <c r="M45" s="16">
        <v>10</v>
      </c>
    </row>
    <row r="46" spans="1:13" x14ac:dyDescent="0.25">
      <c r="A46" t="s">
        <v>24</v>
      </c>
      <c r="B46" s="1" cm="1">
        <f t="array" ref="B46">_xlfn.LET(_xlpm.result,10*_xlfn.XLOOKUP($A46,$A$2:$A$26,_xlfn.XLOOKUP(B$1,$B$1:$K$1,$B$2:$K$26)),IF(_xlpm.result&lt;0,"",_xlpm.result))</f>
        <v>31</v>
      </c>
      <c r="C46" s="1" t="str" cm="1">
        <f t="array" ref="C46">_xlfn.LET(_xlpm.result,10*_xlfn.XLOOKUP($A46,$A$2:$A$26,_xlfn.XLOOKUP(C$1,$B$1:$K$1,$B$2:$K$26)),IF(_xlpm.result&lt;0,"",_xlpm.result))</f>
        <v/>
      </c>
      <c r="D46" s="1" cm="1">
        <f t="array" ref="D46">_xlfn.LET(_xlpm.result,10*_xlfn.XLOOKUP($A46,$A$2:$A$26,_xlfn.XLOOKUP(D$1,$B$1:$K$1,$B$2:$K$26)),IF(_xlpm.result&lt;0,"",_xlpm.result))</f>
        <v>13</v>
      </c>
      <c r="E46" s="1" t="str" cm="1">
        <f t="array" ref="E46">_xlfn.LET(_xlpm.result,10*_xlfn.XLOOKUP($A46,$A$2:$A$26,_xlfn.XLOOKUP(E$1,$B$1:$K$1,$B$2:$K$26)),IF(_xlpm.result&lt;0,"",_xlpm.result))</f>
        <v/>
      </c>
      <c r="F46" s="1" t="str" cm="1">
        <f t="array" ref="F46">_xlfn.LET(_xlpm.result,10*_xlfn.XLOOKUP($A46,$A$2:$A$26,_xlfn.XLOOKUP(F$1,$B$1:$K$1,$B$2:$K$26)),IF(_xlpm.result&lt;0,"",_xlpm.result))</f>
        <v/>
      </c>
      <c r="G46" s="1" t="str" cm="1">
        <f t="array" ref="G46">_xlfn.LET(_xlpm.result,10*_xlfn.XLOOKUP($A46,$A$2:$A$26,_xlfn.XLOOKUP(G$1,$B$1:$K$1,$B$2:$K$26)),IF(_xlpm.result&lt;0,"",_xlpm.result))</f>
        <v/>
      </c>
      <c r="H46" s="1" cm="1">
        <f t="array" ref="H46">_xlfn.LET(_xlpm.result,10*_xlfn.XLOOKUP($A46,$A$2:$A$26,_xlfn.XLOOKUP(H$1,$B$1:$K$1,$B$2:$K$26)),IF(_xlpm.result&lt;0,"",_xlpm.result))</f>
        <v>80</v>
      </c>
      <c r="I46" s="1" t="str" cm="1">
        <f t="array" ref="I46">_xlfn.LET(_xlpm.result,10*_xlfn.XLOOKUP($A46,$A$2:$A$26,_xlfn.XLOOKUP(I$1,$B$1:$K$1,$B$2:$K$26)),IF(_xlpm.result&lt;0,"",_xlpm.result))</f>
        <v/>
      </c>
      <c r="J46" s="1" t="str" cm="1">
        <f t="array" ref="J46">_xlfn.LET(_xlpm.result,10*_xlfn.XLOOKUP($A46,$A$2:$A$26,_xlfn.XLOOKUP(J$1,$B$1:$K$1,$B$2:$K$26)),IF(_xlpm.result&lt;0,"",_xlpm.result))</f>
        <v/>
      </c>
      <c r="K46" s="1" t="str" cm="1">
        <f t="array" ref="K46">_xlfn.LET(_xlpm.result,10*_xlfn.XLOOKUP($A46,$A$2:$A$26,_xlfn.XLOOKUP(K$1,$B$1:$K$1,$B$2:$K$26)),IF(_xlpm.result&lt;0,"",_xlpm.result))</f>
        <v/>
      </c>
      <c r="L46" s="10">
        <f t="shared" si="1"/>
        <v>80</v>
      </c>
      <c r="M46">
        <v>9</v>
      </c>
    </row>
    <row r="47" spans="1:13" ht="21" x14ac:dyDescent="0.35">
      <c r="A47" t="s">
        <v>48</v>
      </c>
      <c r="B47" s="1" cm="1">
        <f t="array" ref="B47">_xlfn.LET(_xlpm.result,10*_xlfn.XLOOKUP($A47,$A$2:$A$26,_xlfn.XLOOKUP(B$1,$B$1:$K$1,$B$2:$K$26)),IF(_xlpm.result&lt;0,"",_xlpm.result))</f>
        <v>0</v>
      </c>
      <c r="C47" s="1" cm="1">
        <f t="array" ref="C47">_xlfn.LET(_xlpm.result,10*_xlfn.XLOOKUP($A47,$A$2:$A$26,_xlfn.XLOOKUP(C$1,$B$1:$K$1,$B$2:$K$26)),IF(_xlpm.result&lt;0,"",_xlpm.result))</f>
        <v>4</v>
      </c>
      <c r="D47" s="1" t="str" cm="1">
        <f t="array" ref="D47">_xlfn.LET(_xlpm.result,10*_xlfn.XLOOKUP($A47,$A$2:$A$26,_xlfn.XLOOKUP(D$1,$B$1:$K$1,$B$2:$K$26)),IF(_xlpm.result&lt;0,"",_xlpm.result))</f>
        <v/>
      </c>
      <c r="E47" s="1" t="str" cm="1">
        <f t="array" ref="E47">_xlfn.LET(_xlpm.result,10*_xlfn.XLOOKUP($A47,$A$2:$A$26,_xlfn.XLOOKUP(E$1,$B$1:$K$1,$B$2:$K$26)),IF(_xlpm.result&lt;0,"",_xlpm.result))</f>
        <v/>
      </c>
      <c r="F47" s="1" cm="1">
        <f t="array" ref="F47">_xlfn.LET(_xlpm.result,10*_xlfn.XLOOKUP($A47,$A$2:$A$26,_xlfn.XLOOKUP(F$1,$B$1:$K$1,$B$2:$K$26)),IF(_xlpm.result&lt;0,"",_xlpm.result))</f>
        <v>19</v>
      </c>
      <c r="G47" s="21" cm="1">
        <f t="array" ref="G47">_xlfn.LET(_xlpm.result,10*_xlfn.XLOOKUP($A47,$A$2:$A$26,_xlfn.XLOOKUP(G$1,$B$1:$K$1,$B$2:$K$26)),IF(_xlpm.result&lt;0,"",_xlpm.result))</f>
        <v>96</v>
      </c>
      <c r="H47" s="1" cm="1">
        <f t="array" ref="H47">_xlfn.LET(_xlpm.result,10*_xlfn.XLOOKUP($A47,$A$2:$A$26,_xlfn.XLOOKUP(H$1,$B$1:$K$1,$B$2:$K$26)),IF(_xlpm.result&lt;0,"",_xlpm.result))</f>
        <v>44</v>
      </c>
      <c r="I47" s="1" cm="1">
        <f t="array" ref="I47">_xlfn.LET(_xlpm.result,10*_xlfn.XLOOKUP($A47,$A$2:$A$26,_xlfn.XLOOKUP(I$1,$B$1:$K$1,$B$2:$K$26)),IF(_xlpm.result&lt;0,"",_xlpm.result))</f>
        <v>53</v>
      </c>
      <c r="J47" s="1" cm="1">
        <f t="array" ref="J47">_xlfn.LET(_xlpm.result,10*_xlfn.XLOOKUP($A47,$A$2:$A$26,_xlfn.XLOOKUP(J$1,$B$1:$K$1,$B$2:$K$26)),IF(_xlpm.result&lt;0,"",_xlpm.result))</f>
        <v>41</v>
      </c>
      <c r="K47" s="1" cm="1">
        <f t="array" ref="K47">_xlfn.LET(_xlpm.result,10*_xlfn.XLOOKUP($A47,$A$2:$A$26,_xlfn.XLOOKUP(K$1,$B$1:$K$1,$B$2:$K$26)),IF(_xlpm.result&lt;0,"",_xlpm.result))</f>
        <v>53</v>
      </c>
      <c r="L47" s="10">
        <f t="shared" si="1"/>
        <v>96</v>
      </c>
      <c r="M47" s="16">
        <v>8</v>
      </c>
    </row>
    <row r="48" spans="1:13" ht="21" x14ac:dyDescent="0.35">
      <c r="A48" t="s">
        <v>46</v>
      </c>
      <c r="B48" s="1" t="str" cm="1">
        <f t="array" ref="B48">_xlfn.LET(_xlpm.result,10*_xlfn.XLOOKUP($A48,$A$2:$A$26,_xlfn.XLOOKUP(B$1,$B$1:$K$1,$B$2:$K$26)),IF(_xlpm.result&lt;0,"",_xlpm.result))</f>
        <v/>
      </c>
      <c r="C48" s="1" t="str" cm="1">
        <f t="array" ref="C48">_xlfn.LET(_xlpm.result,10*_xlfn.XLOOKUP($A48,$A$2:$A$26,_xlfn.XLOOKUP(C$1,$B$1:$K$1,$B$2:$K$26)),IF(_xlpm.result&lt;0,"",_xlpm.result))</f>
        <v/>
      </c>
      <c r="D48" s="1" cm="1">
        <f t="array" ref="D48">_xlfn.LET(_xlpm.result,10*_xlfn.XLOOKUP($A48,$A$2:$A$26,_xlfn.XLOOKUP(D$1,$B$1:$K$1,$B$2:$K$26)),IF(_xlpm.result&lt;0,"",_xlpm.result))</f>
        <v>8</v>
      </c>
      <c r="E48" s="1" cm="1">
        <f t="array" ref="E48">_xlfn.LET(_xlpm.result,10*_xlfn.XLOOKUP($A48,$A$2:$A$26,_xlfn.XLOOKUP(E$1,$B$1:$K$1,$B$2:$K$26)),IF(_xlpm.result&lt;0,"",_xlpm.result))</f>
        <v>42</v>
      </c>
      <c r="F48" s="21" cm="1">
        <f t="array" ref="F48">_xlfn.LET(_xlpm.result,10*_xlfn.XLOOKUP($A48,$A$2:$A$26,_xlfn.XLOOKUP(F$1,$B$1:$K$1,$B$2:$K$26)),IF(_xlpm.result&lt;0,"",_xlpm.result))</f>
        <v>96</v>
      </c>
      <c r="G48" s="1" cm="1">
        <f t="array" ref="G48">_xlfn.LET(_xlpm.result,10*_xlfn.XLOOKUP($A48,$A$2:$A$26,_xlfn.XLOOKUP(G$1,$B$1:$K$1,$B$2:$K$26)),IF(_xlpm.result&lt;0,"",_xlpm.result))</f>
        <v>0</v>
      </c>
      <c r="H48" s="1" cm="1">
        <f t="array" ref="H48">_xlfn.LET(_xlpm.result,10*_xlfn.XLOOKUP($A48,$A$2:$A$26,_xlfn.XLOOKUP(H$1,$B$1:$K$1,$B$2:$K$26)),IF(_xlpm.result&lt;0,"",_xlpm.result))</f>
        <v>87</v>
      </c>
      <c r="I48" s="1" t="str" cm="1">
        <f t="array" ref="I48">_xlfn.LET(_xlpm.result,10*_xlfn.XLOOKUP($A48,$A$2:$A$26,_xlfn.XLOOKUP(I$1,$B$1:$K$1,$B$2:$K$26)),IF(_xlpm.result&lt;0,"",_xlpm.result))</f>
        <v/>
      </c>
      <c r="J48" s="1" cm="1">
        <f t="array" ref="J48">_xlfn.LET(_xlpm.result,10*_xlfn.XLOOKUP($A48,$A$2:$A$26,_xlfn.XLOOKUP(J$1,$B$1:$K$1,$B$2:$K$26)),IF(_xlpm.result&lt;0,"",_xlpm.result))</f>
        <v>15.999999999999901</v>
      </c>
      <c r="K48" s="1" t="str" cm="1">
        <f t="array" ref="K48">_xlfn.LET(_xlpm.result,10*_xlfn.XLOOKUP($A48,$A$2:$A$26,_xlfn.XLOOKUP(K$1,$B$1:$K$1,$B$2:$K$26)),IF(_xlpm.result&lt;0,"",_xlpm.result))</f>
        <v/>
      </c>
      <c r="L48" s="10">
        <f t="shared" si="1"/>
        <v>96</v>
      </c>
      <c r="M48">
        <v>7</v>
      </c>
    </row>
    <row r="49" spans="1:14" s="16" customFormat="1" ht="21" x14ac:dyDescent="0.35">
      <c r="A49" s="16" t="s">
        <v>45</v>
      </c>
      <c r="B49" s="17" t="str" cm="1">
        <f t="array" ref="B49">_xlfn.LET(_xlpm.result,10*_xlfn.XLOOKUP($A49,$A$2:$A$26,_xlfn.XLOOKUP(B$1,$B$1:$K$1,$B$2:$K$26)),IF(_xlpm.result&lt;0,"",_xlpm.result))</f>
        <v/>
      </c>
      <c r="C49" s="17" t="str" cm="1">
        <f t="array" ref="C49">_xlfn.LET(_xlpm.result,10*_xlfn.XLOOKUP($A49,$A$2:$A$26,_xlfn.XLOOKUP(C$1,$B$1:$K$1,$B$2:$K$26)),IF(_xlpm.result&lt;0,"",_xlpm.result))</f>
        <v/>
      </c>
      <c r="D49" s="17" cm="1">
        <f t="array" ref="D49">_xlfn.LET(_xlpm.result,10*_xlfn.XLOOKUP($A49,$A$2:$A$26,_xlfn.XLOOKUP(D$1,$B$1:$K$1,$B$2:$K$26)),IF(_xlpm.result&lt;0,"",_xlpm.result))</f>
        <v>49</v>
      </c>
      <c r="E49" s="17" cm="1">
        <f t="array" ref="E49">_xlfn.LET(_xlpm.result,10*_xlfn.XLOOKUP($A49,$A$2:$A$26,_xlfn.XLOOKUP(E$1,$B$1:$K$1,$B$2:$K$26)),IF(_xlpm.result&lt;0,"",_xlpm.result))</f>
        <v>17.999999999999901</v>
      </c>
      <c r="F49" s="17" t="str" cm="1">
        <f t="array" ref="F49">_xlfn.LET(_xlpm.result,10*_xlfn.XLOOKUP($A49,$A$2:$A$26,_xlfn.XLOOKUP(F$1,$B$1:$K$1,$B$2:$K$26)),IF(_xlpm.result&lt;0,"",_xlpm.result))</f>
        <v/>
      </c>
      <c r="G49" s="17" t="str" cm="1">
        <f t="array" ref="G49">_xlfn.LET(_xlpm.result,10*_xlfn.XLOOKUP($A49,$A$2:$A$26,_xlfn.XLOOKUP(G$1,$B$1:$K$1,$B$2:$K$26)),IF(_xlpm.result&lt;0,"",_xlpm.result))</f>
        <v/>
      </c>
      <c r="H49" s="17" cm="1">
        <f t="array" ref="H49">_xlfn.LET(_xlpm.result,10*_xlfn.XLOOKUP($A49,$A$2:$A$26,_xlfn.XLOOKUP(H$1,$B$1:$K$1,$B$2:$K$26)),IF(_xlpm.result&lt;0,"",_xlpm.result))</f>
        <v>31.999999999999901</v>
      </c>
      <c r="I49" s="17" t="str" cm="1">
        <f t="array" ref="I49">_xlfn.LET(_xlpm.result,10*_xlfn.XLOOKUP($A49,$A$2:$A$26,_xlfn.XLOOKUP(I$1,$B$1:$K$1,$B$2:$K$26)),IF(_xlpm.result&lt;0,"",_xlpm.result))</f>
        <v/>
      </c>
      <c r="J49" s="21" cm="1">
        <f t="array" ref="J49">_xlfn.LET(_xlpm.result,10*_xlfn.XLOOKUP($A49,$A$2:$A$26,_xlfn.XLOOKUP(J$1,$B$1:$K$1,$B$2:$K$26)),IF(_xlpm.result&lt;0,"",_xlpm.result))</f>
        <v>98</v>
      </c>
      <c r="K49" s="17" t="str" cm="1">
        <f t="array" ref="K49">_xlfn.LET(_xlpm.result,10*_xlfn.XLOOKUP($A49,$A$2:$A$26,_xlfn.XLOOKUP(K$1,$B$1:$K$1,$B$2:$K$26)),IF(_xlpm.result&lt;0,"",_xlpm.result))</f>
        <v/>
      </c>
      <c r="L49" s="19">
        <f t="shared" si="1"/>
        <v>98</v>
      </c>
      <c r="M49" s="16">
        <v>6</v>
      </c>
    </row>
    <row r="50" spans="1:14" ht="21" x14ac:dyDescent="0.35">
      <c r="A50" t="s">
        <v>44</v>
      </c>
      <c r="B50" s="1" cm="1">
        <f t="array" ref="B50">_xlfn.LET(_xlpm.result,10*_xlfn.XLOOKUP($A50,$A$2:$A$26,_xlfn.XLOOKUP(B$1,$B$1:$K$1,$B$2:$K$26)),IF(_xlpm.result&lt;0,"",_xlpm.result))</f>
        <v>0</v>
      </c>
      <c r="C50" s="1" t="str" cm="1">
        <f t="array" ref="C50">_xlfn.LET(_xlpm.result,10*_xlfn.XLOOKUP($A50,$A$2:$A$26,_xlfn.XLOOKUP(C$1,$B$1:$K$1,$B$2:$K$26)),IF(_xlpm.result&lt;0,"",_xlpm.result))</f>
        <v/>
      </c>
      <c r="D50" s="1" t="str" cm="1">
        <f t="array" ref="D50">_xlfn.LET(_xlpm.result,10*_xlfn.XLOOKUP($A50,$A$2:$A$26,_xlfn.XLOOKUP(D$1,$B$1:$K$1,$B$2:$K$26)),IF(_xlpm.result&lt;0,"",_xlpm.result))</f>
        <v/>
      </c>
      <c r="E50" s="1" cm="1">
        <f t="array" ref="E50">_xlfn.LET(_xlpm.result,10*_xlfn.XLOOKUP($A50,$A$2:$A$26,_xlfn.XLOOKUP(E$1,$B$1:$K$1,$B$2:$K$26)),IF(_xlpm.result&lt;0,"",_xlpm.result))</f>
        <v>33.999999999999901</v>
      </c>
      <c r="F50" s="1" cm="1">
        <f t="array" ref="F50">_xlfn.LET(_xlpm.result,10*_xlfn.XLOOKUP($A50,$A$2:$A$26,_xlfn.XLOOKUP(F$1,$B$1:$K$1,$B$2:$K$26)),IF(_xlpm.result&lt;0,"",_xlpm.result))</f>
        <v>65</v>
      </c>
      <c r="G50" s="1" cm="1">
        <f t="array" ref="G50">_xlfn.LET(_xlpm.result,10*_xlfn.XLOOKUP($A50,$A$2:$A$26,_xlfn.XLOOKUP(G$1,$B$1:$K$1,$B$2:$K$26)),IF(_xlpm.result&lt;0,"",_xlpm.result))</f>
        <v>19.999999999999901</v>
      </c>
      <c r="H50" s="21" cm="1">
        <f t="array" ref="H50">_xlfn.LET(_xlpm.result,10*_xlfn.XLOOKUP($A50,$A$2:$A$26,_xlfn.XLOOKUP(H$1,$B$1:$K$1,$B$2:$K$26)),IF(_xlpm.result&lt;0,"",_xlpm.result))</f>
        <v>101</v>
      </c>
      <c r="I50" s="1" cm="1">
        <f t="array" ref="I50">_xlfn.LET(_xlpm.result,10*_xlfn.XLOOKUP($A50,$A$2:$A$26,_xlfn.XLOOKUP(I$1,$B$1:$K$1,$B$2:$K$26)),IF(_xlpm.result&lt;0,"",_xlpm.result))</f>
        <v>26.999999999999901</v>
      </c>
      <c r="J50" s="1" cm="1">
        <f t="array" ref="J50">_xlfn.LET(_xlpm.result,10*_xlfn.XLOOKUP($A50,$A$2:$A$26,_xlfn.XLOOKUP(J$1,$B$1:$K$1,$B$2:$K$26)),IF(_xlpm.result&lt;0,"",_xlpm.result))</f>
        <v>5.9999999999999893</v>
      </c>
      <c r="K50" s="1" cm="1">
        <f t="array" ref="K50">_xlfn.LET(_xlpm.result,10*_xlfn.XLOOKUP($A50,$A$2:$A$26,_xlfn.XLOOKUP(K$1,$B$1:$K$1,$B$2:$K$26)),IF(_xlpm.result&lt;0,"",_xlpm.result))</f>
        <v>26.999999999999901</v>
      </c>
      <c r="L50" s="10">
        <f t="shared" si="1"/>
        <v>101</v>
      </c>
      <c r="M50">
        <v>5</v>
      </c>
    </row>
    <row r="51" spans="1:14" s="16" customFormat="1" ht="21" x14ac:dyDescent="0.35">
      <c r="A51" s="16" t="s">
        <v>47</v>
      </c>
      <c r="B51" s="17" t="str" cm="1">
        <f t="array" ref="B51">_xlfn.LET(_xlpm.result,10*_xlfn.XLOOKUP($A51,$A$2:$A$26,_xlfn.XLOOKUP(B$1,$B$1:$K$1,$B$2:$K$26)),IF(_xlpm.result&lt;0,"",_xlpm.result))</f>
        <v/>
      </c>
      <c r="C51" s="17" cm="1">
        <f t="array" ref="C51">_xlfn.LET(_xlpm.result,10*_xlfn.XLOOKUP($A51,$A$2:$A$26,_xlfn.XLOOKUP(C$1,$B$1:$K$1,$B$2:$K$26)),IF(_xlpm.result&lt;0,"",_xlpm.result))</f>
        <v>24</v>
      </c>
      <c r="D51" s="17" t="str" cm="1">
        <f t="array" ref="D51">_xlfn.LET(_xlpm.result,10*_xlfn.XLOOKUP($A51,$A$2:$A$26,_xlfn.XLOOKUP(D$1,$B$1:$K$1,$B$2:$K$26)),IF(_xlpm.result&lt;0,"",_xlpm.result))</f>
        <v/>
      </c>
      <c r="E51" s="21" cm="1">
        <f t="array" ref="E51">_xlfn.LET(_xlpm.result,10*_xlfn.XLOOKUP($A51,$A$2:$A$26,_xlfn.XLOOKUP(E$1,$B$1:$K$1,$B$2:$K$26)),IF(_xlpm.result&lt;0,"",_xlpm.result))</f>
        <v>103</v>
      </c>
      <c r="F51" s="17" cm="1">
        <f t="array" ref="F51">_xlfn.LET(_xlpm.result,10*_xlfn.XLOOKUP($A51,$A$2:$A$26,_xlfn.XLOOKUP(F$1,$B$1:$K$1,$B$2:$K$26)),IF(_xlpm.result&lt;0,"",_xlpm.result))</f>
        <v>45</v>
      </c>
      <c r="G51" s="17" cm="1">
        <f t="array" ref="G51">_xlfn.LET(_xlpm.result,10*_xlfn.XLOOKUP($A51,$A$2:$A$26,_xlfn.XLOOKUP(G$1,$B$1:$K$1,$B$2:$K$26)),IF(_xlpm.result&lt;0,"",_xlpm.result))</f>
        <v>49</v>
      </c>
      <c r="H51" s="17" t="str" cm="1">
        <f t="array" ref="H51">_xlfn.LET(_xlpm.result,10*_xlfn.XLOOKUP($A51,$A$2:$A$26,_xlfn.XLOOKUP(H$1,$B$1:$K$1,$B$2:$K$26)),IF(_xlpm.result&lt;0,"",_xlpm.result))</f>
        <v/>
      </c>
      <c r="I51" s="17" t="str" cm="1">
        <f t="array" ref="I51">_xlfn.LET(_xlpm.result,10*_xlfn.XLOOKUP($A51,$A$2:$A$26,_xlfn.XLOOKUP(I$1,$B$1:$K$1,$B$2:$K$26)),IF(_xlpm.result&lt;0,"",_xlpm.result))</f>
        <v/>
      </c>
      <c r="J51" s="17" cm="1">
        <f t="array" ref="J51">_xlfn.LET(_xlpm.result,10*_xlfn.XLOOKUP($A51,$A$2:$A$26,_xlfn.XLOOKUP(J$1,$B$1:$K$1,$B$2:$K$26)),IF(_xlpm.result&lt;0,"",_xlpm.result))</f>
        <v>58</v>
      </c>
      <c r="K51" s="17" cm="1">
        <f t="array" ref="K51">_xlfn.LET(_xlpm.result,10*_xlfn.XLOOKUP($A51,$A$2:$A$26,_xlfn.XLOOKUP(K$1,$B$1:$K$1,$B$2:$K$26)),IF(_xlpm.result&lt;0,"",_xlpm.result))</f>
        <v>16</v>
      </c>
      <c r="L51" s="19">
        <f t="shared" si="1"/>
        <v>103</v>
      </c>
      <c r="M51" s="16">
        <v>4</v>
      </c>
    </row>
    <row r="52" spans="1:14" s="16" customFormat="1" ht="21" x14ac:dyDescent="0.35">
      <c r="A52" s="16" t="s">
        <v>36</v>
      </c>
      <c r="B52" s="21" cm="1">
        <f t="array" ref="B52">_xlfn.LET(_xlpm.result,10*_xlfn.XLOOKUP($A52,$A$2:$A$26,_xlfn.XLOOKUP(B$1,$B$1:$K$1,$B$2:$K$26)),IF(_xlpm.result&lt;0,"",_xlpm.result))</f>
        <v>116</v>
      </c>
      <c r="C52" s="17" cm="1">
        <f t="array" ref="C52">_xlfn.LET(_xlpm.result,10*_xlfn.XLOOKUP($A52,$A$2:$A$26,_xlfn.XLOOKUP(C$1,$B$1:$K$1,$B$2:$K$26)),IF(_xlpm.result&lt;0,"",_xlpm.result))</f>
        <v>27</v>
      </c>
      <c r="D52" s="17" cm="1">
        <f t="array" ref="D52">_xlfn.LET(_xlpm.result,10*_xlfn.XLOOKUP($A52,$A$2:$A$26,_xlfn.XLOOKUP(D$1,$B$1:$K$1,$B$2:$K$26)),IF(_xlpm.result&lt;0,"",_xlpm.result))</f>
        <v>37</v>
      </c>
      <c r="E52" s="17" cm="1">
        <f t="array" ref="E52">_xlfn.LET(_xlpm.result,10*_xlfn.XLOOKUP($A52,$A$2:$A$26,_xlfn.XLOOKUP(E$1,$B$1:$K$1,$B$2:$K$26)),IF(_xlpm.result&lt;0,"",_xlpm.result))</f>
        <v>0</v>
      </c>
      <c r="F52" s="17" cm="1">
        <f t="array" ref="F52">_xlfn.LET(_xlpm.result,10*_xlfn.XLOOKUP($A52,$A$2:$A$26,_xlfn.XLOOKUP(F$1,$B$1:$K$1,$B$2:$K$26)),IF(_xlpm.result&lt;0,"",_xlpm.result))</f>
        <v>81</v>
      </c>
      <c r="G52" s="17" t="str" cm="1">
        <f t="array" ref="G52">_xlfn.LET(_xlpm.result,10*_xlfn.XLOOKUP($A52,$A$2:$A$26,_xlfn.XLOOKUP(G$1,$B$1:$K$1,$B$2:$K$26)),IF(_xlpm.result&lt;0,"",_xlpm.result))</f>
        <v/>
      </c>
      <c r="H52" s="17" t="str" cm="1">
        <f t="array" ref="H52">_xlfn.LET(_xlpm.result,10*_xlfn.XLOOKUP($A52,$A$2:$A$26,_xlfn.XLOOKUP(H$1,$B$1:$K$1,$B$2:$K$26)),IF(_xlpm.result&lt;0,"",_xlpm.result))</f>
        <v/>
      </c>
      <c r="I52" s="17" cm="1">
        <f t="array" ref="I52">_xlfn.LET(_xlpm.result,10*_xlfn.XLOOKUP($A52,$A$2:$A$26,_xlfn.XLOOKUP(I$1,$B$1:$K$1,$B$2:$K$26)),IF(_xlpm.result&lt;0,"",_xlpm.result))</f>
        <v>14</v>
      </c>
      <c r="J52" s="17" cm="1">
        <f t="array" ref="J52">_xlfn.LET(_xlpm.result,10*_xlfn.XLOOKUP($A52,$A$2:$A$26,_xlfn.XLOOKUP(J$1,$B$1:$K$1,$B$2:$K$26)),IF(_xlpm.result&lt;0,"",_xlpm.result))</f>
        <v>12</v>
      </c>
      <c r="K52" s="17" t="str" cm="1">
        <f t="array" ref="K52">_xlfn.LET(_xlpm.result,10*_xlfn.XLOOKUP($A52,$A$2:$A$26,_xlfn.XLOOKUP(K$1,$B$1:$K$1,$B$2:$K$26)),IF(_xlpm.result&lt;0,"",_xlpm.result))</f>
        <v/>
      </c>
      <c r="L52" s="19">
        <f t="shared" si="1"/>
        <v>116</v>
      </c>
      <c r="M52">
        <v>3</v>
      </c>
    </row>
    <row r="53" spans="1:14" s="16" customFormat="1" ht="21" x14ac:dyDescent="0.35">
      <c r="A53" s="16" t="s">
        <v>21</v>
      </c>
      <c r="B53" s="17" cm="1">
        <f t="array" ref="B53">_xlfn.LET(_xlpm.result,10*_xlfn.XLOOKUP($A53,$A$2:$A$26,_xlfn.XLOOKUP(B$1,$B$1:$K$1,$B$2:$K$26)),IF(_xlpm.result&lt;0,"",_xlpm.result))</f>
        <v>65</v>
      </c>
      <c r="C53" s="21" cm="1">
        <f t="array" ref="C53">_xlfn.LET(_xlpm.result,10*_xlfn.XLOOKUP($A53,$A$2:$A$26,_xlfn.XLOOKUP(C$1,$B$1:$K$1,$B$2:$K$26)),IF(_xlpm.result&lt;0,"",_xlpm.result))</f>
        <v>64</v>
      </c>
      <c r="D53" s="17" cm="1">
        <f t="array" ref="D53">_xlfn.LET(_xlpm.result,10*_xlfn.XLOOKUP($A53,$A$2:$A$26,_xlfn.XLOOKUP(D$1,$B$1:$K$1,$B$2:$K$26)),IF(_xlpm.result&lt;0,"",_xlpm.result))</f>
        <v>131</v>
      </c>
      <c r="E53" s="17" cm="1">
        <f t="array" ref="E53">_xlfn.LET(_xlpm.result,10*_xlfn.XLOOKUP($A53,$A$2:$A$26,_xlfn.XLOOKUP(E$1,$B$1:$K$1,$B$2:$K$26)),IF(_xlpm.result&lt;0,"",_xlpm.result))</f>
        <v>93</v>
      </c>
      <c r="F53" s="17" cm="1">
        <f t="array" ref="F53">_xlfn.LET(_xlpm.result,10*_xlfn.XLOOKUP($A53,$A$2:$A$26,_xlfn.XLOOKUP(F$1,$B$1:$K$1,$B$2:$K$26)),IF(_xlpm.result&lt;0,"",_xlpm.result))</f>
        <v>82</v>
      </c>
      <c r="G53" s="17" cm="1">
        <f t="array" ref="G53">_xlfn.LET(_xlpm.result,10*_xlfn.XLOOKUP($A53,$A$2:$A$26,_xlfn.XLOOKUP(G$1,$B$1:$K$1,$B$2:$K$26)),IF(_xlpm.result&lt;0,"",_xlpm.result))</f>
        <v>33</v>
      </c>
      <c r="H53" s="17" cm="1">
        <f t="array" ref="H53">_xlfn.LET(_xlpm.result,10*_xlfn.XLOOKUP($A53,$A$2:$A$26,_xlfn.XLOOKUP(H$1,$B$1:$K$1,$B$2:$K$26)),IF(_xlpm.result&lt;0,"",_xlpm.result))</f>
        <v>82</v>
      </c>
      <c r="I53" s="17" cm="1">
        <f t="array" ref="I53">_xlfn.LET(_xlpm.result,10*_xlfn.XLOOKUP($A53,$A$2:$A$26,_xlfn.XLOOKUP(I$1,$B$1:$K$1,$B$2:$K$26)),IF(_xlpm.result&lt;0,"",_xlpm.result))</f>
        <v>28</v>
      </c>
      <c r="J53" s="17" t="str" cm="1">
        <f t="array" ref="J53">_xlfn.LET(_xlpm.result,10*_xlfn.XLOOKUP($A53,$A$2:$A$26,_xlfn.XLOOKUP(J$1,$B$1:$K$1,$B$2:$K$26)),IF(_xlpm.result&lt;0,"",_xlpm.result))</f>
        <v/>
      </c>
      <c r="K53" s="17" cm="1">
        <f t="array" ref="K53">_xlfn.LET(_xlpm.result,10*_xlfn.XLOOKUP($A53,$A$2:$A$26,_xlfn.XLOOKUP(K$1,$B$1:$K$1,$B$2:$K$26)),IF(_xlpm.result&lt;0,"",_xlpm.result))</f>
        <v>33</v>
      </c>
      <c r="L53" s="19">
        <f t="shared" si="1"/>
        <v>131</v>
      </c>
      <c r="M53" s="16">
        <v>2</v>
      </c>
    </row>
    <row r="54" spans="1:14" ht="21" x14ac:dyDescent="0.35">
      <c r="A54" t="s">
        <v>34</v>
      </c>
      <c r="B54" s="1" cm="1">
        <f t="array" ref="B54">_xlfn.LET(_xlpm.result,10*_xlfn.XLOOKUP($A54,$A$2:$A$26,_xlfn.XLOOKUP(B$1,$B$1:$K$1,$B$2:$K$26)),IF(_xlpm.result&lt;0,"",_xlpm.result))</f>
        <v>44</v>
      </c>
      <c r="C54" s="1" cm="1">
        <f t="array" ref="C54">_xlfn.LET(_xlpm.result,10*_xlfn.XLOOKUP($A54,$A$2:$A$26,_xlfn.XLOOKUP(C$1,$B$1:$K$1,$B$2:$K$26)),IF(_xlpm.result&lt;0,"",_xlpm.result))</f>
        <v>0</v>
      </c>
      <c r="D54" s="1" cm="1">
        <f t="array" ref="D54">_xlfn.LET(_xlpm.result,10*_xlfn.XLOOKUP($A54,$A$2:$A$26,_xlfn.XLOOKUP(D$1,$B$1:$K$1,$B$2:$K$26)),IF(_xlpm.result&lt;0,"",_xlpm.result))</f>
        <v>53</v>
      </c>
      <c r="E54" s="1" cm="1">
        <f t="array" ref="E54">_xlfn.LET(_xlpm.result,10*_xlfn.XLOOKUP($A54,$A$2:$A$26,_xlfn.XLOOKUP(E$1,$B$1:$K$1,$B$2:$K$26)),IF(_xlpm.result&lt;0,"",_xlpm.result))</f>
        <v>34</v>
      </c>
      <c r="F54" s="1" cm="1">
        <f t="array" ref="F54">_xlfn.LET(_xlpm.result,10*_xlfn.XLOOKUP($A54,$A$2:$A$26,_xlfn.XLOOKUP(F$1,$B$1:$K$1,$B$2:$K$26)),IF(_xlpm.result&lt;0,"",_xlpm.result))</f>
        <v>72</v>
      </c>
      <c r="G54" s="1" cm="1">
        <f t="array" ref="G54">_xlfn.LET(_xlpm.result,10*_xlfn.XLOOKUP($A54,$A$2:$A$26,_xlfn.XLOOKUP(G$1,$B$1:$K$1,$B$2:$K$26)),IF(_xlpm.result&lt;0,"",_xlpm.result))</f>
        <v>70</v>
      </c>
      <c r="H54" s="1" cm="1">
        <f t="array" ref="H54">_xlfn.LET(_xlpm.result,10*_xlfn.XLOOKUP($A54,$A$2:$A$26,_xlfn.XLOOKUP(H$1,$B$1:$K$1,$B$2:$K$26)),IF(_xlpm.result&lt;0,"",_xlpm.result))</f>
        <v>58</v>
      </c>
      <c r="I54" s="21" cm="1">
        <f t="array" ref="I54">_xlfn.LET(_xlpm.result,10*_xlfn.XLOOKUP($A54,$A$2:$A$26,_xlfn.XLOOKUP(I$1,$B$1:$K$1,$B$2:$K$26)),IF(_xlpm.result&lt;0,"",_xlpm.result))</f>
        <v>174</v>
      </c>
      <c r="J54" s="1" cm="1">
        <f t="array" ref="J54">_xlfn.LET(_xlpm.result,10*_xlfn.XLOOKUP($A54,$A$2:$A$26,_xlfn.XLOOKUP(J$1,$B$1:$K$1,$B$2:$K$26)),IF(_xlpm.result&lt;0,"",_xlpm.result))</f>
        <v>53</v>
      </c>
      <c r="K54" s="1" cm="1">
        <f t="array" ref="K54">_xlfn.LET(_xlpm.result,10*_xlfn.XLOOKUP($A54,$A$2:$A$26,_xlfn.XLOOKUP(K$1,$B$1:$K$1,$B$2:$K$26)),IF(_xlpm.result&lt;0,"",_xlpm.result))</f>
        <v>139</v>
      </c>
      <c r="L54" s="10">
        <f t="shared" si="1"/>
        <v>174</v>
      </c>
      <c r="M54">
        <v>1</v>
      </c>
    </row>
    <row r="55" spans="1:14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0"/>
    </row>
    <row r="56" spans="1:14" x14ac:dyDescent="0.25">
      <c r="A56" t="s">
        <v>60</v>
      </c>
      <c r="J56" s="3"/>
      <c r="L56" s="10">
        <f>SUM(B56:K56)</f>
        <v>0</v>
      </c>
      <c r="M56">
        <f>MIN(B56:K56)</f>
        <v>0</v>
      </c>
      <c r="N56" s="23" t="e">
        <f>AVERAGE(B56:K56)</f>
        <v>#DIV/0!</v>
      </c>
    </row>
    <row r="57" spans="1:14" x14ac:dyDescent="0.25">
      <c r="A57" t="s">
        <v>61</v>
      </c>
      <c r="L57" s="10">
        <f>SUM(B57:K57)</f>
        <v>0</v>
      </c>
      <c r="M57">
        <f>MIN(B57:K57)</f>
        <v>0</v>
      </c>
      <c r="N57" s="23" t="e">
        <f>AVERAGE(B57:K57)</f>
        <v>#DIV/0!</v>
      </c>
    </row>
    <row r="59" spans="1:14" x14ac:dyDescent="0.25">
      <c r="A59" t="s">
        <v>62</v>
      </c>
      <c r="B59">
        <f t="shared" ref="B59:N59" si="2">B57-B56</f>
        <v>0</v>
      </c>
      <c r="C59">
        <f t="shared" si="2"/>
        <v>0</v>
      </c>
      <c r="D59">
        <f t="shared" si="2"/>
        <v>0</v>
      </c>
      <c r="E59">
        <f t="shared" si="2"/>
        <v>0</v>
      </c>
      <c r="F59">
        <f t="shared" si="2"/>
        <v>0</v>
      </c>
      <c r="G59">
        <f t="shared" si="2"/>
        <v>0</v>
      </c>
      <c r="H59">
        <f t="shared" si="2"/>
        <v>0</v>
      </c>
      <c r="I59">
        <f t="shared" si="2"/>
        <v>0</v>
      </c>
      <c r="J59">
        <f t="shared" si="2"/>
        <v>0</v>
      </c>
      <c r="K59">
        <f t="shared" si="2"/>
        <v>0</v>
      </c>
      <c r="L59">
        <f t="shared" si="2"/>
        <v>0</v>
      </c>
      <c r="M59">
        <f t="shared" si="2"/>
        <v>0</v>
      </c>
      <c r="N59" s="22" t="e">
        <f t="shared" si="2"/>
        <v>#DIV/0!</v>
      </c>
    </row>
  </sheetData>
  <autoFilter ref="A30:L30" xr:uid="{54BE77A0-7D21-425B-A240-22D447E1FEA2}">
    <sortState xmlns:xlrd2="http://schemas.microsoft.com/office/spreadsheetml/2017/richdata2" ref="A31:L54">
      <sortCondition ref="L30"/>
    </sortState>
  </autoFilter>
  <conditionalFormatting sqref="B2:K2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K3"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K4"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K5"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K6"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K7"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K8"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K9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K10"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K11"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K12"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K13"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K14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K15"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K16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K17"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K18"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K19"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K20"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K21"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K22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K23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K24"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K26"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9:K29 B27:K27">
    <cfRule type="colorScale" priority="3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9:K29"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1:K54"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5:K55">
    <cfRule type="colorScale" priority="3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6:K56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7:K57"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2FB5-2E34-4580-A0C6-8AFF9195D093}">
  <dimension ref="A1:M57"/>
  <sheetViews>
    <sheetView topLeftCell="A16" zoomScale="85" zoomScaleNormal="85" workbookViewId="0">
      <selection activeCell="G44" sqref="G44"/>
    </sheetView>
  </sheetViews>
  <sheetFormatPr defaultRowHeight="15" x14ac:dyDescent="0.25"/>
  <cols>
    <col min="1" max="1" width="24.28515625" customWidth="1"/>
    <col min="2" max="8" width="10.42578125" bestFit="1" customWidth="1"/>
    <col min="9" max="9" width="10.7109375" bestFit="1" customWidth="1"/>
    <col min="10" max="10" width="10.42578125" bestFit="1" customWidth="1"/>
    <col min="11" max="11" width="10.5703125" bestFit="1" customWidth="1"/>
  </cols>
  <sheetData>
    <row r="1" spans="1:10" x14ac:dyDescent="0.25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19</v>
      </c>
      <c r="B2">
        <v>-6.6</v>
      </c>
      <c r="C2">
        <v>-7</v>
      </c>
      <c r="D2">
        <v>-2.69999999999999</v>
      </c>
      <c r="E2">
        <v>-4.5999999999999996</v>
      </c>
      <c r="F2">
        <v>-8.8000000000000007</v>
      </c>
      <c r="G2">
        <v>-5.0999999999999996</v>
      </c>
      <c r="H2">
        <v>-0.59999999999999898</v>
      </c>
      <c r="I2">
        <v>-0.5</v>
      </c>
      <c r="J2">
        <v>-8.8000000000000007</v>
      </c>
    </row>
    <row r="3" spans="1:10" x14ac:dyDescent="0.25">
      <c r="A3" t="s">
        <v>20</v>
      </c>
      <c r="B3">
        <v>-8</v>
      </c>
      <c r="C3">
        <v>0.79999999999999905</v>
      </c>
      <c r="D3">
        <v>5.8</v>
      </c>
      <c r="E3">
        <v>3.0999999999999899</v>
      </c>
      <c r="F3">
        <v>-6</v>
      </c>
      <c r="G3">
        <v>-4</v>
      </c>
      <c r="H3">
        <v>0.59999999999999898</v>
      </c>
      <c r="I3">
        <v>-8.1999999999999993</v>
      </c>
      <c r="J3">
        <v>5.8</v>
      </c>
    </row>
    <row r="4" spans="1:10" x14ac:dyDescent="0.25">
      <c r="A4" t="s">
        <v>21</v>
      </c>
      <c r="B4">
        <v>6.3</v>
      </c>
      <c r="C4">
        <v>14.6</v>
      </c>
      <c r="D4">
        <v>10.1</v>
      </c>
      <c r="E4">
        <v>7.1</v>
      </c>
      <c r="F4">
        <v>4.2</v>
      </c>
      <c r="G4">
        <v>7.1</v>
      </c>
      <c r="H4">
        <v>3.69999999999999</v>
      </c>
      <c r="I4">
        <v>-0.5</v>
      </c>
      <c r="J4">
        <v>4.2</v>
      </c>
    </row>
    <row r="5" spans="1:10" x14ac:dyDescent="0.25">
      <c r="A5" t="s">
        <v>23</v>
      </c>
      <c r="B5">
        <v>5</v>
      </c>
      <c r="C5">
        <v>-0.79999999999999905</v>
      </c>
      <c r="D5">
        <v>-7.2</v>
      </c>
      <c r="E5">
        <v>-9</v>
      </c>
      <c r="G5">
        <v>5</v>
      </c>
      <c r="H5">
        <v>-4.8</v>
      </c>
      <c r="I5">
        <v>-6.8</v>
      </c>
      <c r="J5">
        <v>-4.8</v>
      </c>
    </row>
    <row r="6" spans="1:10" x14ac:dyDescent="0.25">
      <c r="A6" t="s">
        <v>24</v>
      </c>
      <c r="B6">
        <v>-1.7</v>
      </c>
      <c r="C6">
        <v>0.8</v>
      </c>
      <c r="D6">
        <v>-1.2999999999999901</v>
      </c>
      <c r="E6">
        <v>-6.2</v>
      </c>
      <c r="F6">
        <v>-6</v>
      </c>
      <c r="G6">
        <v>9.1</v>
      </c>
      <c r="H6">
        <v>-6</v>
      </c>
      <c r="I6">
        <v>-4.9000000000000004</v>
      </c>
      <c r="J6">
        <v>-6.4</v>
      </c>
    </row>
    <row r="7" spans="1:10" x14ac:dyDescent="0.25">
      <c r="A7" t="s">
        <v>25</v>
      </c>
      <c r="C7">
        <v>-2.9</v>
      </c>
      <c r="D7">
        <v>-3.4</v>
      </c>
      <c r="E7">
        <v>-7.1</v>
      </c>
      <c r="F7">
        <v>-8</v>
      </c>
      <c r="G7">
        <v>-7.1</v>
      </c>
      <c r="H7">
        <v>0.79999999999999905</v>
      </c>
      <c r="I7">
        <v>0.5</v>
      </c>
      <c r="J7">
        <v>7.5</v>
      </c>
    </row>
    <row r="8" spans="1:10" x14ac:dyDescent="0.25">
      <c r="A8" t="s">
        <v>26</v>
      </c>
      <c r="B8">
        <v>-4.5</v>
      </c>
      <c r="C8">
        <v>-14.6</v>
      </c>
      <c r="D8">
        <v>-5.8</v>
      </c>
      <c r="E8">
        <v>-14</v>
      </c>
      <c r="F8">
        <v>-1.5</v>
      </c>
      <c r="G8">
        <v>-9.1</v>
      </c>
      <c r="H8">
        <v>-15.5</v>
      </c>
      <c r="I8">
        <v>-10.4</v>
      </c>
      <c r="J8">
        <v>-7.5</v>
      </c>
    </row>
    <row r="9" spans="1:10" x14ac:dyDescent="0.25">
      <c r="A9" t="s">
        <v>27</v>
      </c>
      <c r="C9">
        <v>6.1</v>
      </c>
      <c r="D9">
        <v>-3.4</v>
      </c>
      <c r="E9">
        <v>-6.6</v>
      </c>
      <c r="F9">
        <v>-3.6</v>
      </c>
      <c r="G9">
        <v>3.6</v>
      </c>
      <c r="H9">
        <v>-1.5</v>
      </c>
      <c r="I9">
        <v>3.9</v>
      </c>
      <c r="J9">
        <v>1.1000000000000001</v>
      </c>
    </row>
    <row r="10" spans="1:10" x14ac:dyDescent="0.25">
      <c r="A10" t="s">
        <v>33</v>
      </c>
      <c r="B10">
        <v>-2.4</v>
      </c>
      <c r="C10">
        <v>-3.7</v>
      </c>
      <c r="D10">
        <v>2.69999999999999</v>
      </c>
      <c r="E10">
        <v>8.1999999999999993</v>
      </c>
      <c r="F10">
        <v>-5.9</v>
      </c>
      <c r="G10">
        <v>5.1999999999999904</v>
      </c>
      <c r="H10">
        <v>-4.0999999999999996</v>
      </c>
      <c r="I10">
        <v>-5.9</v>
      </c>
      <c r="J10">
        <v>8.1999999999999993</v>
      </c>
    </row>
    <row r="11" spans="1:10" x14ac:dyDescent="0.25">
      <c r="A11" t="s">
        <v>34</v>
      </c>
      <c r="C11">
        <v>4.7</v>
      </c>
      <c r="D11">
        <v>2.9</v>
      </c>
      <c r="E11">
        <v>6.6</v>
      </c>
      <c r="F11">
        <v>6.4</v>
      </c>
      <c r="G11">
        <v>5.0999999999999996</v>
      </c>
      <c r="H11">
        <v>17</v>
      </c>
      <c r="I11">
        <v>4.7</v>
      </c>
      <c r="J11">
        <v>12.7</v>
      </c>
    </row>
    <row r="12" spans="1:10" x14ac:dyDescent="0.25">
      <c r="A12" t="s">
        <v>35</v>
      </c>
      <c r="B12">
        <v>-8</v>
      </c>
      <c r="C12">
        <v>-6.1</v>
      </c>
      <c r="D12">
        <v>5.8</v>
      </c>
      <c r="E12">
        <v>-7.6</v>
      </c>
      <c r="F12">
        <v>-8</v>
      </c>
      <c r="G12">
        <v>-9.5</v>
      </c>
      <c r="H12">
        <v>-6.3</v>
      </c>
      <c r="I12">
        <v>-5</v>
      </c>
      <c r="J12">
        <v>-12.7</v>
      </c>
    </row>
    <row r="13" spans="1:10" x14ac:dyDescent="0.25">
      <c r="A13" t="s">
        <v>38</v>
      </c>
      <c r="B13">
        <v>-8.8000000000000007</v>
      </c>
      <c r="C13">
        <v>-1.2999999999999901</v>
      </c>
      <c r="E13">
        <v>4.9000000000000004</v>
      </c>
      <c r="F13">
        <v>2.2000000000000002</v>
      </c>
      <c r="G13">
        <v>-3.69999999999999</v>
      </c>
      <c r="H13">
        <v>-0.79999999999999905</v>
      </c>
      <c r="I13">
        <v>-4.8999999999999897</v>
      </c>
      <c r="J13">
        <v>-4.1999999999999904</v>
      </c>
    </row>
    <row r="14" spans="1:10" x14ac:dyDescent="0.25">
      <c r="A14" t="s">
        <v>39</v>
      </c>
      <c r="B14">
        <v>-6.3</v>
      </c>
      <c r="C14">
        <v>-0.8</v>
      </c>
      <c r="D14">
        <v>-6.8</v>
      </c>
      <c r="E14">
        <v>-5.3</v>
      </c>
      <c r="F14">
        <v>0.29999999999999899</v>
      </c>
      <c r="G14">
        <v>-3.6</v>
      </c>
      <c r="H14">
        <v>-2.5</v>
      </c>
      <c r="I14">
        <v>-7.2</v>
      </c>
      <c r="J14">
        <v>-6.8</v>
      </c>
    </row>
    <row r="15" spans="1:10" x14ac:dyDescent="0.25">
      <c r="A15" t="s">
        <v>40</v>
      </c>
      <c r="B15">
        <v>-0.7</v>
      </c>
      <c r="C15">
        <v>6.3999999999999897</v>
      </c>
      <c r="D15">
        <v>3.4</v>
      </c>
      <c r="E15">
        <v>0.1</v>
      </c>
      <c r="G15">
        <v>-4.5999999999999996</v>
      </c>
      <c r="H15">
        <v>-3.69999999999999</v>
      </c>
      <c r="I15">
        <v>6.3999999999999897</v>
      </c>
      <c r="J15">
        <v>4.1999999999999904</v>
      </c>
    </row>
    <row r="16" spans="1:10" x14ac:dyDescent="0.25">
      <c r="A16" t="s">
        <v>41</v>
      </c>
      <c r="B16">
        <v>-5</v>
      </c>
      <c r="D16">
        <v>-5.8</v>
      </c>
      <c r="E16">
        <v>-4.9000000000000004</v>
      </c>
      <c r="F16">
        <v>-9.8000000000000007</v>
      </c>
      <c r="G16">
        <v>-5</v>
      </c>
      <c r="H16">
        <v>-2.7</v>
      </c>
      <c r="I16">
        <v>0.3</v>
      </c>
      <c r="J16">
        <v>-5.8</v>
      </c>
    </row>
    <row r="17" spans="1:12" x14ac:dyDescent="0.25">
      <c r="A17" t="s">
        <v>42</v>
      </c>
      <c r="B17">
        <v>1.7</v>
      </c>
      <c r="C17">
        <v>-4.3</v>
      </c>
      <c r="D17">
        <v>-4.7</v>
      </c>
      <c r="E17">
        <v>-0.1</v>
      </c>
      <c r="G17">
        <v>2.8</v>
      </c>
      <c r="H17">
        <v>2.5</v>
      </c>
      <c r="I17">
        <v>5</v>
      </c>
      <c r="J17">
        <v>-1.1000000000000001</v>
      </c>
    </row>
    <row r="18" spans="1:12" x14ac:dyDescent="0.25">
      <c r="A18" t="s">
        <v>43</v>
      </c>
      <c r="B18">
        <v>4.5</v>
      </c>
      <c r="C18">
        <v>-6.3999999999999897</v>
      </c>
      <c r="D18">
        <v>-10.1</v>
      </c>
      <c r="E18">
        <v>-3.0999999999999899</v>
      </c>
      <c r="F18">
        <v>-2.2000000000000002</v>
      </c>
      <c r="G18">
        <v>-5.1999999999999904</v>
      </c>
      <c r="H18">
        <v>2.7</v>
      </c>
      <c r="I18">
        <v>-6.3999999999999897</v>
      </c>
      <c r="J18">
        <v>-11</v>
      </c>
    </row>
    <row r="19" spans="1:12" x14ac:dyDescent="0.25">
      <c r="A19" t="s">
        <v>44</v>
      </c>
      <c r="B19">
        <v>0.2</v>
      </c>
      <c r="C19">
        <v>-0.2</v>
      </c>
      <c r="D19">
        <v>3.4</v>
      </c>
      <c r="E19">
        <v>6.2</v>
      </c>
      <c r="F19">
        <v>1.9</v>
      </c>
      <c r="G19">
        <v>9.5</v>
      </c>
      <c r="H19">
        <v>7.3</v>
      </c>
      <c r="I19">
        <v>-0.2</v>
      </c>
      <c r="J19">
        <v>7.3</v>
      </c>
    </row>
    <row r="20" spans="1:12" x14ac:dyDescent="0.25">
      <c r="A20" t="s">
        <v>45</v>
      </c>
      <c r="B20">
        <v>-3</v>
      </c>
      <c r="C20">
        <v>2.9</v>
      </c>
      <c r="D20">
        <v>1.2999999999999901</v>
      </c>
      <c r="E20">
        <v>-5.0999999999999996</v>
      </c>
      <c r="F20">
        <v>-4.2</v>
      </c>
      <c r="G20">
        <v>3.69999999999999</v>
      </c>
      <c r="H20">
        <v>-5.0999999999999996</v>
      </c>
      <c r="I20">
        <v>10.4</v>
      </c>
      <c r="J20">
        <v>-4.2</v>
      </c>
      <c r="L20" t="s">
        <v>59</v>
      </c>
    </row>
    <row r="21" spans="1:12" x14ac:dyDescent="0.25">
      <c r="A21" t="s">
        <v>46</v>
      </c>
      <c r="B21">
        <v>-1.7999999999999901</v>
      </c>
      <c r="C21">
        <v>7</v>
      </c>
      <c r="D21">
        <v>7.2</v>
      </c>
      <c r="E21">
        <v>14</v>
      </c>
      <c r="G21">
        <v>12.5</v>
      </c>
      <c r="H21">
        <v>-1.5999999999999901</v>
      </c>
      <c r="I21">
        <v>4.9000000000000004</v>
      </c>
      <c r="J21">
        <v>0.4</v>
      </c>
    </row>
    <row r="22" spans="1:12" x14ac:dyDescent="0.25">
      <c r="A22" t="s">
        <v>47</v>
      </c>
      <c r="B22">
        <v>6.6</v>
      </c>
      <c r="C22">
        <v>-2.2000000000000002</v>
      </c>
      <c r="D22">
        <v>12.1</v>
      </c>
      <c r="E22">
        <v>5.3</v>
      </c>
      <c r="F22">
        <v>6</v>
      </c>
      <c r="G22">
        <v>-2</v>
      </c>
      <c r="H22">
        <v>-2.2000000000000002</v>
      </c>
      <c r="I22">
        <v>6.8</v>
      </c>
      <c r="J22">
        <v>-0.4</v>
      </c>
    </row>
    <row r="23" spans="1:12" x14ac:dyDescent="0.25">
      <c r="A23" t="s">
        <v>48</v>
      </c>
      <c r="B23">
        <v>0.7</v>
      </c>
      <c r="C23">
        <v>-3.9</v>
      </c>
      <c r="D23">
        <v>-4.2</v>
      </c>
      <c r="E23">
        <v>4.5999999999999996</v>
      </c>
      <c r="F23">
        <v>9.8000000000000007</v>
      </c>
      <c r="G23">
        <v>4</v>
      </c>
      <c r="H23">
        <v>4.8</v>
      </c>
      <c r="I23">
        <v>4.8999999999999897</v>
      </c>
      <c r="J23">
        <v>4.8</v>
      </c>
    </row>
    <row r="24" spans="1:12" x14ac:dyDescent="0.25">
      <c r="A24" t="s">
        <v>49</v>
      </c>
      <c r="C24">
        <v>-10.6</v>
      </c>
      <c r="D24">
        <v>-12.1</v>
      </c>
      <c r="E24">
        <v>-8.1999999999999993</v>
      </c>
      <c r="F24">
        <v>1.5</v>
      </c>
      <c r="G24">
        <v>-12.5</v>
      </c>
      <c r="H24">
        <v>-17</v>
      </c>
      <c r="I24">
        <v>-0.3</v>
      </c>
      <c r="J24">
        <v>-8.1999999999999993</v>
      </c>
    </row>
    <row r="25" spans="1:12" x14ac:dyDescent="0.25">
      <c r="A25" t="s">
        <v>50</v>
      </c>
      <c r="B25">
        <v>-7.5</v>
      </c>
      <c r="C25">
        <v>1.2999999999999901</v>
      </c>
      <c r="E25">
        <v>-5.8</v>
      </c>
      <c r="F25">
        <v>-0.29999999999999899</v>
      </c>
      <c r="G25">
        <v>-2.8</v>
      </c>
      <c r="H25">
        <v>-7.3</v>
      </c>
      <c r="I25">
        <v>-3.9</v>
      </c>
      <c r="J25">
        <v>-7.3</v>
      </c>
    </row>
    <row r="26" spans="1:12" x14ac:dyDescent="0.25">
      <c r="B26" s="1" t="str" cm="1">
        <f t="array" ref="B26">IFERROR(_xlfn.LET(_xlpm.result,RANK(_xlfn.XLOOKUP($A26,$A$2:$A$24,_xlfn.XLOOKUP(#REF!,$B$1:$J$1,$B$2:$J$24)),$B$2:$J$24),IF(_xlpm.result&gt;150,"",_xlpm.result)),"")</f>
        <v/>
      </c>
      <c r="C26" s="1" t="str" cm="1">
        <f t="array" ref="C26">IFERROR(_xlfn.LET(_xlpm.result,RANK(_xlfn.XLOOKUP($A26,$A$2:$A$24,_xlfn.XLOOKUP(#REF!,$B$1:$J$1,$B$2:$J$24)),$B$2:$J$24),IF(_xlpm.result&gt;150,"",_xlpm.result)),"")</f>
        <v/>
      </c>
      <c r="D26" s="1" t="str" cm="1">
        <f t="array" ref="D26">IFERROR(_xlfn.LET(_xlpm.result,RANK(_xlfn.XLOOKUP($A26,$A$2:$A$24,_xlfn.XLOOKUP(#REF!,$B$1:$J$1,$B$2:$J$24)),$B$2:$J$24),IF(_xlpm.result&gt;150,"",_xlpm.result)),"")</f>
        <v/>
      </c>
      <c r="E26" s="1" t="str" cm="1">
        <f t="array" ref="E26">IFERROR(_xlfn.LET(_xlpm.result,RANK(_xlfn.XLOOKUP($A26,$A$2:$A$24,_xlfn.XLOOKUP(#REF!,$B$1:$J$1,$B$2:$J$24)),$B$2:$J$24),IF(_xlpm.result&gt;150,"",_xlpm.result)),"")</f>
        <v/>
      </c>
      <c r="F26" s="1" t="str" cm="1">
        <f t="array" ref="F26">IFERROR(_xlfn.LET(_xlpm.result,RANK(_xlfn.XLOOKUP($A26,$A$2:$A$24,_xlfn.XLOOKUP(#REF!,$B$1:$J$1,$B$2:$J$24)),$B$2:$J$24),IF(_xlpm.result&gt;150,"",_xlpm.result)),"")</f>
        <v/>
      </c>
      <c r="G26" s="1" t="str" cm="1">
        <f t="array" ref="G26">IFERROR(_xlfn.LET(_xlpm.result,RANK(_xlfn.XLOOKUP($A26,$A$2:$A$24,_xlfn.XLOOKUP(#REF!,$B$1:$J$1,$B$2:$J$24)),$B$2:$J$24),IF(_xlpm.result&gt;150,"",_xlpm.result)),"")</f>
        <v/>
      </c>
      <c r="H26" s="1" t="str" cm="1">
        <f t="array" ref="H26">IFERROR(_xlfn.LET(_xlpm.result,RANK(_xlfn.XLOOKUP($A26,$A$2:$A$24,_xlfn.XLOOKUP(#REF!,$B$1:$J$1,$B$2:$J$24)),$B$2:$J$24),IF(_xlpm.result&gt;150,"",_xlpm.result)),"")</f>
        <v/>
      </c>
      <c r="I26" s="1" t="str" cm="1">
        <f t="array" ref="I26">IFERROR(_xlfn.LET(_xlpm.result,RANK(_xlfn.XLOOKUP($A26,$A$2:$A$24,_xlfn.XLOOKUP(#REF!,$B$1:$J$1,$B$2:$J$24)),$B$2:$J$24),IF(_xlpm.result&gt;150,"",_xlpm.result)),"")</f>
        <v/>
      </c>
      <c r="J26" s="1" t="str" cm="1">
        <f t="array" ref="J26">IFERROR(_xlfn.LET(_xlpm.result,RANK(_xlfn.XLOOKUP($A26,$A$2:$A$24,_xlfn.XLOOKUP(#REF!,$B$1:$J$1,$B$2:$J$24)),$B$2:$J$24),IF(_xlpm.result&gt;150,"",_xlpm.result)),"")</f>
        <v/>
      </c>
      <c r="L26" s="10"/>
    </row>
    <row r="27" spans="1:12" s="24" customFormat="1" x14ac:dyDescent="0.25"/>
    <row r="28" spans="1:12" x14ac:dyDescent="0.25">
      <c r="B28" s="1">
        <f t="shared" ref="B28:J28" si="0">MAX(B29:B52)</f>
        <v>66</v>
      </c>
      <c r="C28" s="1">
        <f t="shared" si="0"/>
        <v>146</v>
      </c>
      <c r="D28" s="1">
        <f t="shared" si="0"/>
        <v>121</v>
      </c>
      <c r="E28" s="1">
        <f t="shared" si="0"/>
        <v>140</v>
      </c>
      <c r="F28" s="1">
        <f t="shared" si="0"/>
        <v>98</v>
      </c>
      <c r="G28" s="1">
        <f t="shared" si="0"/>
        <v>125</v>
      </c>
      <c r="H28" s="1">
        <f t="shared" si="0"/>
        <v>170</v>
      </c>
      <c r="I28" s="1">
        <f t="shared" si="0"/>
        <v>104</v>
      </c>
      <c r="J28" s="1">
        <f t="shared" si="0"/>
        <v>127</v>
      </c>
    </row>
    <row r="29" spans="1:12" x14ac:dyDescent="0.25">
      <c r="A29" t="s">
        <v>0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54</v>
      </c>
    </row>
    <row r="30" spans="1:12" x14ac:dyDescent="0.25">
      <c r="A30" t="s">
        <v>26</v>
      </c>
      <c r="B30" s="1" t="str" cm="1">
        <f t="array" ref="B30">_xlfn.LET(_xlpm.result,10*_xlfn.XLOOKUP($A30,$A$2:$A$25,_xlfn.XLOOKUP(B$1,$B$1:$J$1,$B$2:$J$25)),IF(_xlpm.result&lt;0,"",_xlpm.result))</f>
        <v/>
      </c>
      <c r="C30" s="1" t="str" cm="1">
        <f t="array" ref="C30">_xlfn.LET(_xlpm.result,10*_xlfn.XLOOKUP($A30,$A$2:$A$25,_xlfn.XLOOKUP(C$1,$B$1:$J$1,$B$2:$J$25)),IF(_xlpm.result&lt;0,"",_xlpm.result))</f>
        <v/>
      </c>
      <c r="D30" s="1" t="str" cm="1">
        <f t="array" ref="D30">_xlfn.LET(_xlpm.result,10*_xlfn.XLOOKUP($A30,$A$2:$A$25,_xlfn.XLOOKUP(D$1,$B$1:$J$1,$B$2:$J$25)),IF(_xlpm.result&lt;0,"",_xlpm.result))</f>
        <v/>
      </c>
      <c r="E30" s="1" t="str" cm="1">
        <f t="array" ref="E30">_xlfn.LET(_xlpm.result,10*_xlfn.XLOOKUP($A30,$A$2:$A$25,_xlfn.XLOOKUP(E$1,$B$1:$J$1,$B$2:$J$25)),IF(_xlpm.result&lt;0,"",_xlpm.result))</f>
        <v/>
      </c>
      <c r="F30" s="1" t="str" cm="1">
        <f t="array" ref="F30">_xlfn.LET(_xlpm.result,10*_xlfn.XLOOKUP($A30,$A$2:$A$25,_xlfn.XLOOKUP(F$1,$B$1:$J$1,$B$2:$J$25)),IF(_xlpm.result&lt;0,"",_xlpm.result))</f>
        <v/>
      </c>
      <c r="G30" s="1" t="str" cm="1">
        <f t="array" ref="G30">_xlfn.LET(_xlpm.result,10*_xlfn.XLOOKUP($A30,$A$2:$A$25,_xlfn.XLOOKUP(G$1,$B$1:$J$1,$B$2:$J$25)),IF(_xlpm.result&lt;0,"",_xlpm.result))</f>
        <v/>
      </c>
      <c r="H30" s="1" t="str" cm="1">
        <f t="array" ref="H30">_xlfn.LET(_xlpm.result,10*_xlfn.XLOOKUP($A30,$A$2:$A$25,_xlfn.XLOOKUP(H$1,$B$1:$J$1,$B$2:$J$25)),IF(_xlpm.result&lt;0,"",_xlpm.result))</f>
        <v/>
      </c>
      <c r="I30" s="1" t="str" cm="1">
        <f t="array" ref="I30">_xlfn.LET(_xlpm.result,10*_xlfn.XLOOKUP($A30,$A$2:$A$25,_xlfn.XLOOKUP(I$1,$B$1:$J$1,$B$2:$J$25)),IF(_xlpm.result&lt;0,"",_xlpm.result))</f>
        <v/>
      </c>
      <c r="J30" s="1" t="str" cm="1">
        <f t="array" ref="J30">_xlfn.LET(_xlpm.result,10*_xlfn.XLOOKUP($A30,$A$2:$A$25,_xlfn.XLOOKUP(J$1,$B$1:$J$1,$B$2:$J$25)),IF(_xlpm.result&lt;0,"",_xlpm.result))</f>
        <v/>
      </c>
      <c r="K30" s="10">
        <f>MAX(B30:J30)</f>
        <v>0</v>
      </c>
    </row>
    <row r="31" spans="1:12" x14ac:dyDescent="0.25">
      <c r="A31" t="s">
        <v>19</v>
      </c>
      <c r="B31" s="1" t="str" cm="1">
        <f t="array" ref="B31">_xlfn.LET(_xlpm.result,10*_xlfn.XLOOKUP($A31,$A$2:$A$25,_xlfn.XLOOKUP(B$1,$B$1:$J$1,$B$2:$J$25)),IF(_xlpm.result&lt;0,"",_xlpm.result))</f>
        <v/>
      </c>
      <c r="C31" s="1" t="str" cm="1">
        <f t="array" ref="C31">_xlfn.LET(_xlpm.result,10*_xlfn.XLOOKUP($A31,$A$2:$A$25,_xlfn.XLOOKUP(C$1,$B$1:$J$1,$B$2:$J$25)),IF(_xlpm.result&lt;0,"",_xlpm.result))</f>
        <v/>
      </c>
      <c r="D31" s="1" t="str" cm="1">
        <f t="array" ref="D31">_xlfn.LET(_xlpm.result,10*_xlfn.XLOOKUP($A31,$A$2:$A$25,_xlfn.XLOOKUP(D$1,$B$1:$J$1,$B$2:$J$25)),IF(_xlpm.result&lt;0,"",_xlpm.result))</f>
        <v/>
      </c>
      <c r="E31" s="1" t="str" cm="1">
        <f t="array" ref="E31">_xlfn.LET(_xlpm.result,10*_xlfn.XLOOKUP($A31,$A$2:$A$25,_xlfn.XLOOKUP(E$1,$B$1:$J$1,$B$2:$J$25)),IF(_xlpm.result&lt;0,"",_xlpm.result))</f>
        <v/>
      </c>
      <c r="F31" s="1" t="str" cm="1">
        <f t="array" ref="F31">_xlfn.LET(_xlpm.result,10*_xlfn.XLOOKUP($A31,$A$2:$A$25,_xlfn.XLOOKUP(F$1,$B$1:$J$1,$B$2:$J$25)),IF(_xlpm.result&lt;0,"",_xlpm.result))</f>
        <v/>
      </c>
      <c r="G31" s="1" t="str" cm="1">
        <f t="array" ref="G31">_xlfn.LET(_xlpm.result,10*_xlfn.XLOOKUP($A31,$A$2:$A$25,_xlfn.XLOOKUP(G$1,$B$1:$J$1,$B$2:$J$25)),IF(_xlpm.result&lt;0,"",_xlpm.result))</f>
        <v/>
      </c>
      <c r="H31" s="1" t="str" cm="1">
        <f t="array" ref="H31">_xlfn.LET(_xlpm.result,10*_xlfn.XLOOKUP($A31,$A$2:$A$25,_xlfn.XLOOKUP(H$1,$B$1:$J$1,$B$2:$J$25)),IF(_xlpm.result&lt;0,"",_xlpm.result))</f>
        <v/>
      </c>
      <c r="I31" s="1" t="str" cm="1">
        <f t="array" ref="I31">_xlfn.LET(_xlpm.result,10*_xlfn.XLOOKUP($A31,$A$2:$A$25,_xlfn.XLOOKUP(I$1,$B$1:$J$1,$B$2:$J$25)),IF(_xlpm.result&lt;0,"",_xlpm.result))</f>
        <v/>
      </c>
      <c r="J31" s="1" t="str" cm="1">
        <f t="array" ref="J31">_xlfn.LET(_xlpm.result,10*_xlfn.XLOOKUP($A31,$A$2:$A$25,_xlfn.XLOOKUP(J$1,$B$1:$J$1,$B$2:$J$25)),IF(_xlpm.result&lt;0,"",_xlpm.result))</f>
        <v/>
      </c>
      <c r="K31" s="10">
        <f>MAX(B31:J31)</f>
        <v>0</v>
      </c>
    </row>
    <row r="32" spans="1:12" s="16" customFormat="1" x14ac:dyDescent="0.25">
      <c r="A32" t="s">
        <v>39</v>
      </c>
      <c r="B32" s="1" t="str" cm="1">
        <f t="array" ref="B32">_xlfn.LET(_xlpm.result,10*_xlfn.XLOOKUP($A32,$A$2:$A$25,_xlfn.XLOOKUP(B$1,$B$1:$J$1,$B$2:$J$25)),IF(_xlpm.result&lt;0,"",_xlpm.result))</f>
        <v/>
      </c>
      <c r="C32" s="1" t="str" cm="1">
        <f t="array" ref="C32">_xlfn.LET(_xlpm.result,10*_xlfn.XLOOKUP($A32,$A$2:$A$25,_xlfn.XLOOKUP(C$1,$B$1:$J$1,$B$2:$J$25)),IF(_xlpm.result&lt;0,"",_xlpm.result))</f>
        <v/>
      </c>
      <c r="D32" s="1" t="str" cm="1">
        <f t="array" ref="D32">_xlfn.LET(_xlpm.result,10*_xlfn.XLOOKUP($A32,$A$2:$A$25,_xlfn.XLOOKUP(D$1,$B$1:$J$1,$B$2:$J$25)),IF(_xlpm.result&lt;0,"",_xlpm.result))</f>
        <v/>
      </c>
      <c r="E32" s="1" t="str" cm="1">
        <f t="array" ref="E32">_xlfn.LET(_xlpm.result,10*_xlfn.XLOOKUP($A32,$A$2:$A$25,_xlfn.XLOOKUP(E$1,$B$1:$J$1,$B$2:$J$25)),IF(_xlpm.result&lt;0,"",_xlpm.result))</f>
        <v/>
      </c>
      <c r="F32" s="1" cm="1">
        <f t="array" ref="F32">_xlfn.LET(_xlpm.result,10*_xlfn.XLOOKUP($A32,$A$2:$A$25,_xlfn.XLOOKUP(F$1,$B$1:$J$1,$B$2:$J$25)),IF(_xlpm.result&lt;0,"",_xlpm.result))</f>
        <v>2.9999999999999898</v>
      </c>
      <c r="G32" s="1" t="str" cm="1">
        <f t="array" ref="G32">_xlfn.LET(_xlpm.result,10*_xlfn.XLOOKUP($A32,$A$2:$A$25,_xlfn.XLOOKUP(G$1,$B$1:$J$1,$B$2:$J$25)),IF(_xlpm.result&lt;0,"",_xlpm.result))</f>
        <v/>
      </c>
      <c r="H32" s="1" t="str" cm="1">
        <f t="array" ref="H32">_xlfn.LET(_xlpm.result,10*_xlfn.XLOOKUP($A32,$A$2:$A$25,_xlfn.XLOOKUP(H$1,$B$1:$J$1,$B$2:$J$25)),IF(_xlpm.result&lt;0,"",_xlpm.result))</f>
        <v/>
      </c>
      <c r="I32" s="1" t="str" cm="1">
        <f t="array" ref="I32">_xlfn.LET(_xlpm.result,10*_xlfn.XLOOKUP($A32,$A$2:$A$25,_xlfn.XLOOKUP(I$1,$B$1:$J$1,$B$2:$J$25)),IF(_xlpm.result&lt;0,"",_xlpm.result))</f>
        <v/>
      </c>
      <c r="J32" s="1" t="str" cm="1">
        <f t="array" ref="J32">_xlfn.LET(_xlpm.result,10*_xlfn.XLOOKUP($A32,$A$2:$A$25,_xlfn.XLOOKUP(J$1,$B$1:$J$1,$B$2:$J$25)),IF(_xlpm.result&lt;0,"",_xlpm.result))</f>
        <v/>
      </c>
      <c r="K32" s="10">
        <f t="shared" ref="K32:K52" si="1">MAX(B32:J32)</f>
        <v>2.9999999999999898</v>
      </c>
    </row>
    <row r="33" spans="1:12" s="16" customFormat="1" x14ac:dyDescent="0.25">
      <c r="A33" t="s">
        <v>41</v>
      </c>
      <c r="B33" s="1" t="str" cm="1">
        <f t="array" ref="B33">_xlfn.LET(_xlpm.result,10*_xlfn.XLOOKUP($A33,$A$2:$A$25,_xlfn.XLOOKUP(B$1,$B$1:$J$1,$B$2:$J$25)),IF(_xlpm.result&lt;0,"",_xlpm.result))</f>
        <v/>
      </c>
      <c r="C33" s="1" cm="1">
        <f t="array" ref="C33">_xlfn.LET(_xlpm.result,10*_xlfn.XLOOKUP($A33,$A$2:$A$25,_xlfn.XLOOKUP(C$1,$B$1:$J$1,$B$2:$J$25)),IF(_xlpm.result&lt;0,"",_xlpm.result))</f>
        <v>0</v>
      </c>
      <c r="D33" s="1" t="str" cm="1">
        <f t="array" ref="D33">_xlfn.LET(_xlpm.result,10*_xlfn.XLOOKUP($A33,$A$2:$A$25,_xlfn.XLOOKUP(D$1,$B$1:$J$1,$B$2:$J$25)),IF(_xlpm.result&lt;0,"",_xlpm.result))</f>
        <v/>
      </c>
      <c r="E33" s="1" t="str" cm="1">
        <f t="array" ref="E33">_xlfn.LET(_xlpm.result,10*_xlfn.XLOOKUP($A33,$A$2:$A$25,_xlfn.XLOOKUP(E$1,$B$1:$J$1,$B$2:$J$25)),IF(_xlpm.result&lt;0,"",_xlpm.result))</f>
        <v/>
      </c>
      <c r="F33" s="1" t="str" cm="1">
        <f t="array" ref="F33">_xlfn.LET(_xlpm.result,10*_xlfn.XLOOKUP($A33,$A$2:$A$25,_xlfn.XLOOKUP(F$1,$B$1:$J$1,$B$2:$J$25)),IF(_xlpm.result&lt;0,"",_xlpm.result))</f>
        <v/>
      </c>
      <c r="G33" s="1" t="str" cm="1">
        <f t="array" ref="G33">_xlfn.LET(_xlpm.result,10*_xlfn.XLOOKUP($A33,$A$2:$A$25,_xlfn.XLOOKUP(G$1,$B$1:$J$1,$B$2:$J$25)),IF(_xlpm.result&lt;0,"",_xlpm.result))</f>
        <v/>
      </c>
      <c r="H33" s="1" t="str" cm="1">
        <f t="array" ref="H33">_xlfn.LET(_xlpm.result,10*_xlfn.XLOOKUP($A33,$A$2:$A$25,_xlfn.XLOOKUP(H$1,$B$1:$J$1,$B$2:$J$25)),IF(_xlpm.result&lt;0,"",_xlpm.result))</f>
        <v/>
      </c>
      <c r="I33" s="1" cm="1">
        <f t="array" ref="I33">_xlfn.LET(_xlpm.result,10*_xlfn.XLOOKUP($A33,$A$2:$A$25,_xlfn.XLOOKUP(I$1,$B$1:$J$1,$B$2:$J$25)),IF(_xlpm.result&lt;0,"",_xlpm.result))</f>
        <v>3</v>
      </c>
      <c r="J33" s="1" t="str" cm="1">
        <f t="array" ref="J33">_xlfn.LET(_xlpm.result,10*_xlfn.XLOOKUP($A33,$A$2:$A$25,_xlfn.XLOOKUP(J$1,$B$1:$J$1,$B$2:$J$25)),IF(_xlpm.result&lt;0,"",_xlpm.result))</f>
        <v/>
      </c>
      <c r="K33" s="10">
        <f t="shared" si="1"/>
        <v>3</v>
      </c>
    </row>
    <row r="34" spans="1:12" x14ac:dyDescent="0.25">
      <c r="A34" t="s">
        <v>50</v>
      </c>
      <c r="B34" s="1" t="str" cm="1">
        <f t="array" ref="B34">_xlfn.LET(_xlpm.result,10*_xlfn.XLOOKUP($A34,$A$2:$A$25,_xlfn.XLOOKUP(B$1,$B$1:$J$1,$B$2:$J$25)),IF(_xlpm.result&lt;0,"",_xlpm.result))</f>
        <v/>
      </c>
      <c r="C34" s="1" cm="1">
        <f t="array" ref="C34">_xlfn.LET(_xlpm.result,10*_xlfn.XLOOKUP($A34,$A$2:$A$25,_xlfn.XLOOKUP(C$1,$B$1:$J$1,$B$2:$J$25)),IF(_xlpm.result&lt;0,"",_xlpm.result))</f>
        <v>12.999999999999901</v>
      </c>
      <c r="D34" s="1" cm="1">
        <f t="array" ref="D34">_xlfn.LET(_xlpm.result,10*_xlfn.XLOOKUP($A34,$A$2:$A$25,_xlfn.XLOOKUP(D$1,$B$1:$J$1,$B$2:$J$25)),IF(_xlpm.result&lt;0,"",_xlpm.result))</f>
        <v>0</v>
      </c>
      <c r="E34" s="1" t="str" cm="1">
        <f t="array" ref="E34">_xlfn.LET(_xlpm.result,10*_xlfn.XLOOKUP($A34,$A$2:$A$25,_xlfn.XLOOKUP(E$1,$B$1:$J$1,$B$2:$J$25)),IF(_xlpm.result&lt;0,"",_xlpm.result))</f>
        <v/>
      </c>
      <c r="F34" s="1" t="str" cm="1">
        <f t="array" ref="F34">_xlfn.LET(_xlpm.result,10*_xlfn.XLOOKUP($A34,$A$2:$A$25,_xlfn.XLOOKUP(F$1,$B$1:$J$1,$B$2:$J$25)),IF(_xlpm.result&lt;0,"",_xlpm.result))</f>
        <v/>
      </c>
      <c r="G34" s="1" t="str" cm="1">
        <f t="array" ref="G34">_xlfn.LET(_xlpm.result,10*_xlfn.XLOOKUP($A34,$A$2:$A$25,_xlfn.XLOOKUP(G$1,$B$1:$J$1,$B$2:$J$25)),IF(_xlpm.result&lt;0,"",_xlpm.result))</f>
        <v/>
      </c>
      <c r="H34" s="1" t="str" cm="1">
        <f t="array" ref="H34">_xlfn.LET(_xlpm.result,10*_xlfn.XLOOKUP($A34,$A$2:$A$25,_xlfn.XLOOKUP(H$1,$B$1:$J$1,$B$2:$J$25)),IF(_xlpm.result&lt;0,"",_xlpm.result))</f>
        <v/>
      </c>
      <c r="I34" s="1" t="str" cm="1">
        <f t="array" ref="I34">_xlfn.LET(_xlpm.result,10*_xlfn.XLOOKUP($A34,$A$2:$A$25,_xlfn.XLOOKUP(I$1,$B$1:$J$1,$B$2:$J$25)),IF(_xlpm.result&lt;0,"",_xlpm.result))</f>
        <v/>
      </c>
      <c r="J34" s="1" t="str" cm="1">
        <f t="array" ref="J34">_xlfn.LET(_xlpm.result,10*_xlfn.XLOOKUP($A34,$A$2:$A$25,_xlfn.XLOOKUP(J$1,$B$1:$J$1,$B$2:$J$25)),IF(_xlpm.result&lt;0,"",_xlpm.result))</f>
        <v/>
      </c>
      <c r="K34" s="10">
        <f t="shared" si="1"/>
        <v>12.999999999999901</v>
      </c>
    </row>
    <row r="35" spans="1:12" x14ac:dyDescent="0.25">
      <c r="A35" t="s">
        <v>49</v>
      </c>
      <c r="B35" s="1" cm="1">
        <f t="array" ref="B35">_xlfn.LET(_xlpm.result,10*_xlfn.XLOOKUP($A35,$A$2:$A$25,_xlfn.XLOOKUP(B$1,$B$1:$J$1,$B$2:$J$25)),IF(_xlpm.result&lt;0,"",_xlpm.result))</f>
        <v>0</v>
      </c>
      <c r="C35" s="1" t="str" cm="1">
        <f t="array" ref="C35">_xlfn.LET(_xlpm.result,10*_xlfn.XLOOKUP($A35,$A$2:$A$25,_xlfn.XLOOKUP(C$1,$B$1:$J$1,$B$2:$J$25)),IF(_xlpm.result&lt;0,"",_xlpm.result))</f>
        <v/>
      </c>
      <c r="D35" s="1" t="str" cm="1">
        <f t="array" ref="D35">_xlfn.LET(_xlpm.result,10*_xlfn.XLOOKUP($A35,$A$2:$A$25,_xlfn.XLOOKUP(D$1,$B$1:$J$1,$B$2:$J$25)),IF(_xlpm.result&lt;0,"",_xlpm.result))</f>
        <v/>
      </c>
      <c r="E35" s="1" t="str" cm="1">
        <f t="array" ref="E35">_xlfn.LET(_xlpm.result,10*_xlfn.XLOOKUP($A35,$A$2:$A$25,_xlfn.XLOOKUP(E$1,$B$1:$J$1,$B$2:$J$25)),IF(_xlpm.result&lt;0,"",_xlpm.result))</f>
        <v/>
      </c>
      <c r="F35" s="1" cm="1">
        <f t="array" ref="F35">_xlfn.LET(_xlpm.result,10*_xlfn.XLOOKUP($A35,$A$2:$A$25,_xlfn.XLOOKUP(F$1,$B$1:$J$1,$B$2:$J$25)),IF(_xlpm.result&lt;0,"",_xlpm.result))</f>
        <v>15</v>
      </c>
      <c r="G35" s="1" t="str" cm="1">
        <f t="array" ref="G35">_xlfn.LET(_xlpm.result,10*_xlfn.XLOOKUP($A35,$A$2:$A$25,_xlfn.XLOOKUP(G$1,$B$1:$J$1,$B$2:$J$25)),IF(_xlpm.result&lt;0,"",_xlpm.result))</f>
        <v/>
      </c>
      <c r="H35" s="1" t="str" cm="1">
        <f t="array" ref="H35">_xlfn.LET(_xlpm.result,10*_xlfn.XLOOKUP($A35,$A$2:$A$25,_xlfn.XLOOKUP(H$1,$B$1:$J$1,$B$2:$J$25)),IF(_xlpm.result&lt;0,"",_xlpm.result))</f>
        <v/>
      </c>
      <c r="I35" s="1" t="str" cm="1">
        <f t="array" ref="I35">_xlfn.LET(_xlpm.result,10*_xlfn.XLOOKUP($A35,$A$2:$A$25,_xlfn.XLOOKUP(I$1,$B$1:$J$1,$B$2:$J$25)),IF(_xlpm.result&lt;0,"",_xlpm.result))</f>
        <v/>
      </c>
      <c r="J35" s="1" t="str" cm="1">
        <f t="array" ref="J35">_xlfn.LET(_xlpm.result,10*_xlfn.XLOOKUP($A35,$A$2:$A$25,_xlfn.XLOOKUP(J$1,$B$1:$J$1,$B$2:$J$25)),IF(_xlpm.result&lt;0,"",_xlpm.result))</f>
        <v/>
      </c>
      <c r="K35" s="10">
        <f t="shared" si="1"/>
        <v>15</v>
      </c>
    </row>
    <row r="36" spans="1:12" x14ac:dyDescent="0.25">
      <c r="A36" t="s">
        <v>43</v>
      </c>
      <c r="B36" s="1" cm="1">
        <f t="array" ref="B36">_xlfn.LET(_xlpm.result,10*_xlfn.XLOOKUP($A36,$A$2:$A$25,_xlfn.XLOOKUP(B$1,$B$1:$J$1,$B$2:$J$25)),IF(_xlpm.result&lt;0,"",_xlpm.result))</f>
        <v>45</v>
      </c>
      <c r="C36" s="1" t="str" cm="1">
        <f t="array" ref="C36">_xlfn.LET(_xlpm.result,10*_xlfn.XLOOKUP($A36,$A$2:$A$25,_xlfn.XLOOKUP(C$1,$B$1:$J$1,$B$2:$J$25)),IF(_xlpm.result&lt;0,"",_xlpm.result))</f>
        <v/>
      </c>
      <c r="D36" s="1" t="str" cm="1">
        <f t="array" ref="D36">_xlfn.LET(_xlpm.result,10*_xlfn.XLOOKUP($A36,$A$2:$A$25,_xlfn.XLOOKUP(D$1,$B$1:$J$1,$B$2:$J$25)),IF(_xlpm.result&lt;0,"",_xlpm.result))</f>
        <v/>
      </c>
      <c r="E36" s="1" t="str" cm="1">
        <f t="array" ref="E36">_xlfn.LET(_xlpm.result,10*_xlfn.XLOOKUP($A36,$A$2:$A$25,_xlfn.XLOOKUP(E$1,$B$1:$J$1,$B$2:$J$25)),IF(_xlpm.result&lt;0,"",_xlpm.result))</f>
        <v/>
      </c>
      <c r="F36" s="1" t="str" cm="1">
        <f t="array" ref="F36">_xlfn.LET(_xlpm.result,10*_xlfn.XLOOKUP($A36,$A$2:$A$25,_xlfn.XLOOKUP(F$1,$B$1:$J$1,$B$2:$J$25)),IF(_xlpm.result&lt;0,"",_xlpm.result))</f>
        <v/>
      </c>
      <c r="G36" s="1" t="str" cm="1">
        <f t="array" ref="G36">_xlfn.LET(_xlpm.result,10*_xlfn.XLOOKUP($A36,$A$2:$A$25,_xlfn.XLOOKUP(G$1,$B$1:$J$1,$B$2:$J$25)),IF(_xlpm.result&lt;0,"",_xlpm.result))</f>
        <v/>
      </c>
      <c r="H36" s="1" cm="1">
        <f t="array" ref="H36">_xlfn.LET(_xlpm.result,10*_xlfn.XLOOKUP($A36,$A$2:$A$25,_xlfn.XLOOKUP(H$1,$B$1:$J$1,$B$2:$J$25)),IF(_xlpm.result&lt;0,"",_xlpm.result))</f>
        <v>27</v>
      </c>
      <c r="I36" s="1" t="str" cm="1">
        <f t="array" ref="I36">_xlfn.LET(_xlpm.result,10*_xlfn.XLOOKUP($A36,$A$2:$A$25,_xlfn.XLOOKUP(I$1,$B$1:$J$1,$B$2:$J$25)),IF(_xlpm.result&lt;0,"",_xlpm.result))</f>
        <v/>
      </c>
      <c r="J36" s="1" t="str" cm="1">
        <f t="array" ref="J36">_xlfn.LET(_xlpm.result,10*_xlfn.XLOOKUP($A36,$A$2:$A$25,_xlfn.XLOOKUP(J$1,$B$1:$J$1,$B$2:$J$25)),IF(_xlpm.result&lt;0,"",_xlpm.result))</f>
        <v/>
      </c>
      <c r="K36" s="10">
        <f t="shared" si="1"/>
        <v>45</v>
      </c>
    </row>
    <row r="37" spans="1:12" x14ac:dyDescent="0.25">
      <c r="A37" t="s">
        <v>38</v>
      </c>
      <c r="B37" s="1" t="str" cm="1">
        <f t="array" ref="B37">_xlfn.LET(_xlpm.result,10*_xlfn.XLOOKUP($A37,$A$2:$A$25,_xlfn.XLOOKUP(B$1,$B$1:$J$1,$B$2:$J$25)),IF(_xlpm.result&lt;0,"",_xlpm.result))</f>
        <v/>
      </c>
      <c r="C37" s="1" t="str" cm="1">
        <f t="array" ref="C37">_xlfn.LET(_xlpm.result,10*_xlfn.XLOOKUP($A37,$A$2:$A$25,_xlfn.XLOOKUP(C$1,$B$1:$J$1,$B$2:$J$25)),IF(_xlpm.result&lt;0,"",_xlpm.result))</f>
        <v/>
      </c>
      <c r="D37" s="1" cm="1">
        <f t="array" ref="D37">_xlfn.LET(_xlpm.result,10*_xlfn.XLOOKUP($A37,$A$2:$A$25,_xlfn.XLOOKUP(D$1,$B$1:$J$1,$B$2:$J$25)),IF(_xlpm.result&lt;0,"",_xlpm.result))</f>
        <v>0</v>
      </c>
      <c r="E37" s="1" cm="1">
        <f t="array" ref="E37">_xlfn.LET(_xlpm.result,10*_xlfn.XLOOKUP($A37,$A$2:$A$25,_xlfn.XLOOKUP(E$1,$B$1:$J$1,$B$2:$J$25)),IF(_xlpm.result&lt;0,"",_xlpm.result))</f>
        <v>49</v>
      </c>
      <c r="F37" s="1" cm="1">
        <f t="array" ref="F37">_xlfn.LET(_xlpm.result,10*_xlfn.XLOOKUP($A37,$A$2:$A$25,_xlfn.XLOOKUP(F$1,$B$1:$J$1,$B$2:$J$25)),IF(_xlpm.result&lt;0,"",_xlpm.result))</f>
        <v>22</v>
      </c>
      <c r="G37" s="1" t="str" cm="1">
        <f t="array" ref="G37">_xlfn.LET(_xlpm.result,10*_xlfn.XLOOKUP($A37,$A$2:$A$25,_xlfn.XLOOKUP(G$1,$B$1:$J$1,$B$2:$J$25)),IF(_xlpm.result&lt;0,"",_xlpm.result))</f>
        <v/>
      </c>
      <c r="H37" s="1" t="str" cm="1">
        <f t="array" ref="H37">_xlfn.LET(_xlpm.result,10*_xlfn.XLOOKUP($A37,$A$2:$A$25,_xlfn.XLOOKUP(H$1,$B$1:$J$1,$B$2:$J$25)),IF(_xlpm.result&lt;0,"",_xlpm.result))</f>
        <v/>
      </c>
      <c r="I37" s="1" t="str" cm="1">
        <f t="array" ref="I37">_xlfn.LET(_xlpm.result,10*_xlfn.XLOOKUP($A37,$A$2:$A$25,_xlfn.XLOOKUP(I$1,$B$1:$J$1,$B$2:$J$25)),IF(_xlpm.result&lt;0,"",_xlpm.result))</f>
        <v/>
      </c>
      <c r="J37" s="1" t="str" cm="1">
        <f t="array" ref="J37">_xlfn.LET(_xlpm.result,10*_xlfn.XLOOKUP($A37,$A$2:$A$25,_xlfn.XLOOKUP(J$1,$B$1:$J$1,$B$2:$J$25)),IF(_xlpm.result&lt;0,"",_xlpm.result))</f>
        <v/>
      </c>
      <c r="K37" s="10">
        <f t="shared" si="1"/>
        <v>49</v>
      </c>
    </row>
    <row r="38" spans="1:12" s="16" customFormat="1" x14ac:dyDescent="0.25">
      <c r="A38" t="s">
        <v>23</v>
      </c>
      <c r="B38" s="1" cm="1">
        <f t="array" ref="B38">_xlfn.LET(_xlpm.result,10*_xlfn.XLOOKUP($A38,$A$2:$A$25,_xlfn.XLOOKUP(B$1,$B$1:$J$1,$B$2:$J$25)),IF(_xlpm.result&lt;0,"",_xlpm.result))</f>
        <v>50</v>
      </c>
      <c r="C38" s="1" t="str" cm="1">
        <f t="array" ref="C38">_xlfn.LET(_xlpm.result,10*_xlfn.XLOOKUP($A38,$A$2:$A$25,_xlfn.XLOOKUP(C$1,$B$1:$J$1,$B$2:$J$25)),IF(_xlpm.result&lt;0,"",_xlpm.result))</f>
        <v/>
      </c>
      <c r="D38" s="1" t="str" cm="1">
        <f t="array" ref="D38">_xlfn.LET(_xlpm.result,10*_xlfn.XLOOKUP($A38,$A$2:$A$25,_xlfn.XLOOKUP(D$1,$B$1:$J$1,$B$2:$J$25)),IF(_xlpm.result&lt;0,"",_xlpm.result))</f>
        <v/>
      </c>
      <c r="E38" s="1" t="str" cm="1">
        <f t="array" ref="E38">_xlfn.LET(_xlpm.result,10*_xlfn.XLOOKUP($A38,$A$2:$A$25,_xlfn.XLOOKUP(E$1,$B$1:$J$1,$B$2:$J$25)),IF(_xlpm.result&lt;0,"",_xlpm.result))</f>
        <v/>
      </c>
      <c r="F38" s="1" cm="1">
        <f t="array" ref="F38">_xlfn.LET(_xlpm.result,10*_xlfn.XLOOKUP($A38,$A$2:$A$25,_xlfn.XLOOKUP(F$1,$B$1:$J$1,$B$2:$J$25)),IF(_xlpm.result&lt;0,"",_xlpm.result))</f>
        <v>0</v>
      </c>
      <c r="G38" s="1" cm="1">
        <f t="array" ref="G38">_xlfn.LET(_xlpm.result,10*_xlfn.XLOOKUP($A38,$A$2:$A$25,_xlfn.XLOOKUP(G$1,$B$1:$J$1,$B$2:$J$25)),IF(_xlpm.result&lt;0,"",_xlpm.result))</f>
        <v>50</v>
      </c>
      <c r="H38" s="1" t="str" cm="1">
        <f t="array" ref="H38">_xlfn.LET(_xlpm.result,10*_xlfn.XLOOKUP($A38,$A$2:$A$25,_xlfn.XLOOKUP(H$1,$B$1:$J$1,$B$2:$J$25)),IF(_xlpm.result&lt;0,"",_xlpm.result))</f>
        <v/>
      </c>
      <c r="I38" s="1" t="str" cm="1">
        <f t="array" ref="I38">_xlfn.LET(_xlpm.result,10*_xlfn.XLOOKUP($A38,$A$2:$A$25,_xlfn.XLOOKUP(I$1,$B$1:$J$1,$B$2:$J$25)),IF(_xlpm.result&lt;0,"",_xlpm.result))</f>
        <v/>
      </c>
      <c r="J38" s="1" t="str" cm="1">
        <f t="array" ref="J38">_xlfn.LET(_xlpm.result,10*_xlfn.XLOOKUP($A38,$A$2:$A$25,_xlfn.XLOOKUP(J$1,$B$1:$J$1,$B$2:$J$25)),IF(_xlpm.result&lt;0,"",_xlpm.result))</f>
        <v/>
      </c>
      <c r="K38" s="10">
        <f t="shared" si="1"/>
        <v>50</v>
      </c>
    </row>
    <row r="39" spans="1:12" s="16" customFormat="1" x14ac:dyDescent="0.25">
      <c r="A39" t="s">
        <v>42</v>
      </c>
      <c r="B39" s="1" cm="1">
        <f t="array" ref="B39">_xlfn.LET(_xlpm.result,10*_xlfn.XLOOKUP($A39,$A$2:$A$25,_xlfn.XLOOKUP(B$1,$B$1:$J$1,$B$2:$J$25)),IF(_xlpm.result&lt;0,"",_xlpm.result))</f>
        <v>17</v>
      </c>
      <c r="C39" s="1" t="str" cm="1">
        <f t="array" ref="C39">_xlfn.LET(_xlpm.result,10*_xlfn.XLOOKUP($A39,$A$2:$A$25,_xlfn.XLOOKUP(C$1,$B$1:$J$1,$B$2:$J$25)),IF(_xlpm.result&lt;0,"",_xlpm.result))</f>
        <v/>
      </c>
      <c r="D39" s="1" t="str" cm="1">
        <f t="array" ref="D39">_xlfn.LET(_xlpm.result,10*_xlfn.XLOOKUP($A39,$A$2:$A$25,_xlfn.XLOOKUP(D$1,$B$1:$J$1,$B$2:$J$25)),IF(_xlpm.result&lt;0,"",_xlpm.result))</f>
        <v/>
      </c>
      <c r="E39" s="1" t="str" cm="1">
        <f t="array" ref="E39">_xlfn.LET(_xlpm.result,10*_xlfn.XLOOKUP($A39,$A$2:$A$25,_xlfn.XLOOKUP(E$1,$B$1:$J$1,$B$2:$J$25)),IF(_xlpm.result&lt;0,"",_xlpm.result))</f>
        <v/>
      </c>
      <c r="F39" s="1" cm="1">
        <f t="array" ref="F39">_xlfn.LET(_xlpm.result,10*_xlfn.XLOOKUP($A39,$A$2:$A$25,_xlfn.XLOOKUP(F$1,$B$1:$J$1,$B$2:$J$25)),IF(_xlpm.result&lt;0,"",_xlpm.result))</f>
        <v>0</v>
      </c>
      <c r="G39" s="1" cm="1">
        <f t="array" ref="G39">_xlfn.LET(_xlpm.result,10*_xlfn.XLOOKUP($A39,$A$2:$A$25,_xlfn.XLOOKUP(G$1,$B$1:$J$1,$B$2:$J$25)),IF(_xlpm.result&lt;0,"",_xlpm.result))</f>
        <v>28</v>
      </c>
      <c r="H39" s="1" cm="1">
        <f t="array" ref="H39">_xlfn.LET(_xlpm.result,10*_xlfn.XLOOKUP($A39,$A$2:$A$25,_xlfn.XLOOKUP(H$1,$B$1:$J$1,$B$2:$J$25)),IF(_xlpm.result&lt;0,"",_xlpm.result))</f>
        <v>25</v>
      </c>
      <c r="I39" s="1" cm="1">
        <f t="array" ref="I39">_xlfn.LET(_xlpm.result,10*_xlfn.XLOOKUP($A39,$A$2:$A$25,_xlfn.XLOOKUP(I$1,$B$1:$J$1,$B$2:$J$25)),IF(_xlpm.result&lt;0,"",_xlpm.result))</f>
        <v>50</v>
      </c>
      <c r="J39" s="1" t="str" cm="1">
        <f t="array" ref="J39">_xlfn.LET(_xlpm.result,10*_xlfn.XLOOKUP($A39,$A$2:$A$25,_xlfn.XLOOKUP(J$1,$B$1:$J$1,$B$2:$J$25)),IF(_xlpm.result&lt;0,"",_xlpm.result))</f>
        <v/>
      </c>
      <c r="K39" s="10">
        <f t="shared" si="1"/>
        <v>50</v>
      </c>
    </row>
    <row r="40" spans="1:12" x14ac:dyDescent="0.25">
      <c r="A40" t="s">
        <v>35</v>
      </c>
      <c r="B40" s="1" t="str" cm="1">
        <f t="array" ref="B40">_xlfn.LET(_xlpm.result,10*_xlfn.XLOOKUP($A40,$A$2:$A$25,_xlfn.XLOOKUP(B$1,$B$1:$J$1,$B$2:$J$25)),IF(_xlpm.result&lt;0,"",_xlpm.result))</f>
        <v/>
      </c>
      <c r="C40" s="1" t="str" cm="1">
        <f t="array" ref="C40">_xlfn.LET(_xlpm.result,10*_xlfn.XLOOKUP($A40,$A$2:$A$25,_xlfn.XLOOKUP(C$1,$B$1:$J$1,$B$2:$J$25)),IF(_xlpm.result&lt;0,"",_xlpm.result))</f>
        <v/>
      </c>
      <c r="D40" s="1" cm="1">
        <f t="array" ref="D40">_xlfn.LET(_xlpm.result,10*_xlfn.XLOOKUP($A40,$A$2:$A$25,_xlfn.XLOOKUP(D$1,$B$1:$J$1,$B$2:$J$25)),IF(_xlpm.result&lt;0,"",_xlpm.result))</f>
        <v>58</v>
      </c>
      <c r="E40" s="1" t="str" cm="1">
        <f t="array" ref="E40">_xlfn.LET(_xlpm.result,10*_xlfn.XLOOKUP($A40,$A$2:$A$25,_xlfn.XLOOKUP(E$1,$B$1:$J$1,$B$2:$J$25)),IF(_xlpm.result&lt;0,"",_xlpm.result))</f>
        <v/>
      </c>
      <c r="F40" s="1" t="str" cm="1">
        <f t="array" ref="F40">_xlfn.LET(_xlpm.result,10*_xlfn.XLOOKUP($A40,$A$2:$A$25,_xlfn.XLOOKUP(F$1,$B$1:$J$1,$B$2:$J$25)),IF(_xlpm.result&lt;0,"",_xlpm.result))</f>
        <v/>
      </c>
      <c r="G40" s="1" t="str" cm="1">
        <f t="array" ref="G40">_xlfn.LET(_xlpm.result,10*_xlfn.XLOOKUP($A40,$A$2:$A$25,_xlfn.XLOOKUP(G$1,$B$1:$J$1,$B$2:$J$25)),IF(_xlpm.result&lt;0,"",_xlpm.result))</f>
        <v/>
      </c>
      <c r="H40" s="1" t="str" cm="1">
        <f t="array" ref="H40">_xlfn.LET(_xlpm.result,10*_xlfn.XLOOKUP($A40,$A$2:$A$25,_xlfn.XLOOKUP(H$1,$B$1:$J$1,$B$2:$J$25)),IF(_xlpm.result&lt;0,"",_xlpm.result))</f>
        <v/>
      </c>
      <c r="I40" s="1" t="str" cm="1">
        <f t="array" ref="I40">_xlfn.LET(_xlpm.result,10*_xlfn.XLOOKUP($A40,$A$2:$A$25,_xlfn.XLOOKUP(I$1,$B$1:$J$1,$B$2:$J$25)),IF(_xlpm.result&lt;0,"",_xlpm.result))</f>
        <v/>
      </c>
      <c r="J40" s="1" t="str" cm="1">
        <f t="array" ref="J40">_xlfn.LET(_xlpm.result,10*_xlfn.XLOOKUP($A40,$A$2:$A$25,_xlfn.XLOOKUP(J$1,$B$1:$J$1,$B$2:$J$25)),IF(_xlpm.result&lt;0,"",_xlpm.result))</f>
        <v/>
      </c>
      <c r="K40" s="10">
        <f t="shared" si="1"/>
        <v>58</v>
      </c>
    </row>
    <row r="41" spans="1:12" s="16" customFormat="1" x14ac:dyDescent="0.25">
      <c r="A41" t="s">
        <v>20</v>
      </c>
      <c r="B41" s="1" t="str" cm="1">
        <f t="array" ref="B41">_xlfn.LET(_xlpm.result,10*_xlfn.XLOOKUP($A41,$A$2:$A$25,_xlfn.XLOOKUP(B$1,$B$1:$J$1,$B$2:$J$25)),IF(_xlpm.result&lt;0,"",_xlpm.result))</f>
        <v/>
      </c>
      <c r="C41" s="1" cm="1">
        <f t="array" ref="C41">_xlfn.LET(_xlpm.result,10*_xlfn.XLOOKUP($A41,$A$2:$A$25,_xlfn.XLOOKUP(C$1,$B$1:$J$1,$B$2:$J$25)),IF(_xlpm.result&lt;0,"",_xlpm.result))</f>
        <v>7.9999999999999902</v>
      </c>
      <c r="D41" s="1" cm="1">
        <f t="array" ref="D41">_xlfn.LET(_xlpm.result,10*_xlfn.XLOOKUP($A41,$A$2:$A$25,_xlfn.XLOOKUP(D$1,$B$1:$J$1,$B$2:$J$25)),IF(_xlpm.result&lt;0,"",_xlpm.result))</f>
        <v>58</v>
      </c>
      <c r="E41" s="1" cm="1">
        <f t="array" ref="E41">_xlfn.LET(_xlpm.result,10*_xlfn.XLOOKUP($A41,$A$2:$A$25,_xlfn.XLOOKUP(E$1,$B$1:$J$1,$B$2:$J$25)),IF(_xlpm.result&lt;0,"",_xlpm.result))</f>
        <v>30.999999999999901</v>
      </c>
      <c r="F41" s="1" t="str" cm="1">
        <f t="array" ref="F41">_xlfn.LET(_xlpm.result,10*_xlfn.XLOOKUP($A41,$A$2:$A$25,_xlfn.XLOOKUP(F$1,$B$1:$J$1,$B$2:$J$25)),IF(_xlpm.result&lt;0,"",_xlpm.result))</f>
        <v/>
      </c>
      <c r="G41" s="1" t="str" cm="1">
        <f t="array" ref="G41">_xlfn.LET(_xlpm.result,10*_xlfn.XLOOKUP($A41,$A$2:$A$25,_xlfn.XLOOKUP(G$1,$B$1:$J$1,$B$2:$J$25)),IF(_xlpm.result&lt;0,"",_xlpm.result))</f>
        <v/>
      </c>
      <c r="H41" s="1" cm="1">
        <f t="array" ref="H41">_xlfn.LET(_xlpm.result,10*_xlfn.XLOOKUP($A41,$A$2:$A$25,_xlfn.XLOOKUP(H$1,$B$1:$J$1,$B$2:$J$25)),IF(_xlpm.result&lt;0,"",_xlpm.result))</f>
        <v>5.9999999999999893</v>
      </c>
      <c r="I41" s="1" t="str" cm="1">
        <f t="array" ref="I41">_xlfn.LET(_xlpm.result,10*_xlfn.XLOOKUP($A41,$A$2:$A$25,_xlfn.XLOOKUP(I$1,$B$1:$J$1,$B$2:$J$25)),IF(_xlpm.result&lt;0,"",_xlpm.result))</f>
        <v/>
      </c>
      <c r="J41" s="1" cm="1">
        <f t="array" ref="J41">_xlfn.LET(_xlpm.result,10*_xlfn.XLOOKUP($A41,$A$2:$A$25,_xlfn.XLOOKUP(J$1,$B$1:$J$1,$B$2:$J$25)),IF(_xlpm.result&lt;0,"",_xlpm.result))</f>
        <v>58</v>
      </c>
      <c r="K41" s="10">
        <f t="shared" si="1"/>
        <v>58</v>
      </c>
    </row>
    <row r="42" spans="1:12" x14ac:dyDescent="0.25">
      <c r="A42" t="s">
        <v>27</v>
      </c>
      <c r="B42" s="1" cm="1">
        <f t="array" ref="B42">_xlfn.LET(_xlpm.result,10*_xlfn.XLOOKUP($A42,$A$2:$A$25,_xlfn.XLOOKUP(B$1,$B$1:$J$1,$B$2:$J$25)),IF(_xlpm.result&lt;0,"",_xlpm.result))</f>
        <v>0</v>
      </c>
      <c r="C42" s="1" cm="1">
        <f t="array" ref="C42">_xlfn.LET(_xlpm.result,10*_xlfn.XLOOKUP($A42,$A$2:$A$25,_xlfn.XLOOKUP(C$1,$B$1:$J$1,$B$2:$J$25)),IF(_xlpm.result&lt;0,"",_xlpm.result))</f>
        <v>61</v>
      </c>
      <c r="D42" s="1" t="str" cm="1">
        <f t="array" ref="D42">_xlfn.LET(_xlpm.result,10*_xlfn.XLOOKUP($A42,$A$2:$A$25,_xlfn.XLOOKUP(D$1,$B$1:$J$1,$B$2:$J$25)),IF(_xlpm.result&lt;0,"",_xlpm.result))</f>
        <v/>
      </c>
      <c r="E42" s="1" t="str" cm="1">
        <f t="array" ref="E42">_xlfn.LET(_xlpm.result,10*_xlfn.XLOOKUP($A42,$A$2:$A$25,_xlfn.XLOOKUP(E$1,$B$1:$J$1,$B$2:$J$25)),IF(_xlpm.result&lt;0,"",_xlpm.result))</f>
        <v/>
      </c>
      <c r="F42" s="1" t="str" cm="1">
        <f t="array" ref="F42">_xlfn.LET(_xlpm.result,10*_xlfn.XLOOKUP($A42,$A$2:$A$25,_xlfn.XLOOKUP(F$1,$B$1:$J$1,$B$2:$J$25)),IF(_xlpm.result&lt;0,"",_xlpm.result))</f>
        <v/>
      </c>
      <c r="G42" s="1" cm="1">
        <f t="array" ref="G42">_xlfn.LET(_xlpm.result,10*_xlfn.XLOOKUP($A42,$A$2:$A$25,_xlfn.XLOOKUP(G$1,$B$1:$J$1,$B$2:$J$25)),IF(_xlpm.result&lt;0,"",_xlpm.result))</f>
        <v>36</v>
      </c>
      <c r="H42" s="1" t="str" cm="1">
        <f t="array" ref="H42">_xlfn.LET(_xlpm.result,10*_xlfn.XLOOKUP($A42,$A$2:$A$25,_xlfn.XLOOKUP(H$1,$B$1:$J$1,$B$2:$J$25)),IF(_xlpm.result&lt;0,"",_xlpm.result))</f>
        <v/>
      </c>
      <c r="I42" s="1" cm="1">
        <f t="array" ref="I42">_xlfn.LET(_xlpm.result,10*_xlfn.XLOOKUP($A42,$A$2:$A$25,_xlfn.XLOOKUP(I$1,$B$1:$J$1,$B$2:$J$25)),IF(_xlpm.result&lt;0,"",_xlpm.result))</f>
        <v>39</v>
      </c>
      <c r="J42" s="1" cm="1">
        <f t="array" ref="J42">_xlfn.LET(_xlpm.result,10*_xlfn.XLOOKUP($A42,$A$2:$A$25,_xlfn.XLOOKUP(J$1,$B$1:$J$1,$B$2:$J$25)),IF(_xlpm.result&lt;0,"",_xlpm.result))</f>
        <v>11</v>
      </c>
      <c r="K42" s="10">
        <f t="shared" si="1"/>
        <v>61</v>
      </c>
    </row>
    <row r="43" spans="1:12" s="16" customFormat="1" x14ac:dyDescent="0.25">
      <c r="A43" t="s">
        <v>25</v>
      </c>
      <c r="B43" s="1" cm="1">
        <f t="array" ref="B43">_xlfn.LET(_xlpm.result,10*_xlfn.XLOOKUP($A43,$A$2:$A$25,_xlfn.XLOOKUP(B$1,$B$1:$J$1,$B$2:$J$25)),IF(_xlpm.result&lt;0,"",_xlpm.result))</f>
        <v>0</v>
      </c>
      <c r="C43" s="1" t="str" cm="1">
        <f t="array" ref="C43">_xlfn.LET(_xlpm.result,10*_xlfn.XLOOKUP($A43,$A$2:$A$25,_xlfn.XLOOKUP(C$1,$B$1:$J$1,$B$2:$J$25)),IF(_xlpm.result&lt;0,"",_xlpm.result))</f>
        <v/>
      </c>
      <c r="D43" s="1" t="str" cm="1">
        <f t="array" ref="D43">_xlfn.LET(_xlpm.result,10*_xlfn.XLOOKUP($A43,$A$2:$A$25,_xlfn.XLOOKUP(D$1,$B$1:$J$1,$B$2:$J$25)),IF(_xlpm.result&lt;0,"",_xlpm.result))</f>
        <v/>
      </c>
      <c r="E43" s="1" t="str" cm="1">
        <f t="array" ref="E43">_xlfn.LET(_xlpm.result,10*_xlfn.XLOOKUP($A43,$A$2:$A$25,_xlfn.XLOOKUP(E$1,$B$1:$J$1,$B$2:$J$25)),IF(_xlpm.result&lt;0,"",_xlpm.result))</f>
        <v/>
      </c>
      <c r="F43" s="1" t="str" cm="1">
        <f t="array" ref="F43">_xlfn.LET(_xlpm.result,10*_xlfn.XLOOKUP($A43,$A$2:$A$25,_xlfn.XLOOKUP(F$1,$B$1:$J$1,$B$2:$J$25)),IF(_xlpm.result&lt;0,"",_xlpm.result))</f>
        <v/>
      </c>
      <c r="G43" s="1" t="str" cm="1">
        <f t="array" ref="G43">_xlfn.LET(_xlpm.result,10*_xlfn.XLOOKUP($A43,$A$2:$A$25,_xlfn.XLOOKUP(G$1,$B$1:$J$1,$B$2:$J$25)),IF(_xlpm.result&lt;0,"",_xlpm.result))</f>
        <v/>
      </c>
      <c r="H43" s="1" cm="1">
        <f t="array" ref="H43">_xlfn.LET(_xlpm.result,10*_xlfn.XLOOKUP($A43,$A$2:$A$25,_xlfn.XLOOKUP(H$1,$B$1:$J$1,$B$2:$J$25)),IF(_xlpm.result&lt;0,"",_xlpm.result))</f>
        <v>7.9999999999999902</v>
      </c>
      <c r="I43" s="1" cm="1">
        <f t="array" ref="I43">_xlfn.LET(_xlpm.result,10*_xlfn.XLOOKUP($A43,$A$2:$A$25,_xlfn.XLOOKUP(I$1,$B$1:$J$1,$B$2:$J$25)),IF(_xlpm.result&lt;0,"",_xlpm.result))</f>
        <v>5</v>
      </c>
      <c r="J43" s="1" cm="1">
        <f t="array" ref="J43">_xlfn.LET(_xlpm.result,10*_xlfn.XLOOKUP($A43,$A$2:$A$25,_xlfn.XLOOKUP(J$1,$B$1:$J$1,$B$2:$J$25)),IF(_xlpm.result&lt;0,"",_xlpm.result))</f>
        <v>75</v>
      </c>
      <c r="K43" s="10">
        <f t="shared" si="1"/>
        <v>75</v>
      </c>
    </row>
    <row r="44" spans="1:12" s="16" customFormat="1" ht="18.75" x14ac:dyDescent="0.3">
      <c r="A44" s="16" t="s">
        <v>33</v>
      </c>
      <c r="B44" s="17" t="str" cm="1">
        <f t="array" ref="B44">_xlfn.LET(_xlpm.result,10*_xlfn.XLOOKUP($A44,$A$2:$A$25,_xlfn.XLOOKUP(B$1,$B$1:$J$1,$B$2:$J$25)),IF(_xlpm.result&lt;0,"",_xlpm.result))</f>
        <v/>
      </c>
      <c r="C44" s="17" t="str" cm="1">
        <f t="array" ref="C44">_xlfn.LET(_xlpm.result,10*_xlfn.XLOOKUP($A44,$A$2:$A$25,_xlfn.XLOOKUP(C$1,$B$1:$J$1,$B$2:$J$25)),IF(_xlpm.result&lt;0,"",_xlpm.result))</f>
        <v/>
      </c>
      <c r="D44" s="17" cm="1">
        <f t="array" ref="D44">_xlfn.LET(_xlpm.result,10*_xlfn.XLOOKUP($A44,$A$2:$A$25,_xlfn.XLOOKUP(D$1,$B$1:$J$1,$B$2:$J$25)),IF(_xlpm.result&lt;0,"",_xlpm.result))</f>
        <v>26.999999999999901</v>
      </c>
      <c r="E44" s="20" cm="1">
        <f t="array" ref="E44">_xlfn.LET(_xlpm.result,10*_xlfn.XLOOKUP($A44,$A$2:$A$25,_xlfn.XLOOKUP(E$1,$B$1:$J$1,$B$2:$J$25)),IF(_xlpm.result&lt;0,"",_xlpm.result))</f>
        <v>82</v>
      </c>
      <c r="F44" s="17" t="str" cm="1">
        <f t="array" ref="F44">_xlfn.LET(_xlpm.result,10*_xlfn.XLOOKUP($A44,$A$2:$A$25,_xlfn.XLOOKUP(F$1,$B$1:$J$1,$B$2:$J$25)),IF(_xlpm.result&lt;0,"",_xlpm.result))</f>
        <v/>
      </c>
      <c r="G44" s="17" cm="1">
        <f t="array" ref="G44">_xlfn.LET(_xlpm.result,10*_xlfn.XLOOKUP($A44,$A$2:$A$25,_xlfn.XLOOKUP(G$1,$B$1:$J$1,$B$2:$J$25)),IF(_xlpm.result&lt;0,"",_xlpm.result))</f>
        <v>51.999999999999901</v>
      </c>
      <c r="H44" s="17" t="str" cm="1">
        <f t="array" ref="H44">_xlfn.LET(_xlpm.result,10*_xlfn.XLOOKUP($A44,$A$2:$A$25,_xlfn.XLOOKUP(H$1,$B$1:$J$1,$B$2:$J$25)),IF(_xlpm.result&lt;0,"",_xlpm.result))</f>
        <v/>
      </c>
      <c r="I44" s="17" t="str" cm="1">
        <f t="array" ref="I44">_xlfn.LET(_xlpm.result,10*_xlfn.XLOOKUP($A44,$A$2:$A$25,_xlfn.XLOOKUP(I$1,$B$1:$J$1,$B$2:$J$25)),IF(_xlpm.result&lt;0,"",_xlpm.result))</f>
        <v/>
      </c>
      <c r="J44" s="17" cm="1">
        <f t="array" ref="J44">_xlfn.LET(_xlpm.result,10*_xlfn.XLOOKUP($A44,$A$2:$A$25,_xlfn.XLOOKUP(J$1,$B$1:$J$1,$B$2:$J$25)),IF(_xlpm.result&lt;0,"",_xlpm.result))</f>
        <v>82</v>
      </c>
      <c r="K44" s="19">
        <f t="shared" si="1"/>
        <v>82</v>
      </c>
      <c r="L44" s="16">
        <v>9</v>
      </c>
    </row>
    <row r="45" spans="1:12" s="25" customFormat="1" ht="18.75" x14ac:dyDescent="0.3">
      <c r="A45" s="16" t="s">
        <v>24</v>
      </c>
      <c r="B45" s="26" t="str" cm="1">
        <f t="array" ref="B45">_xlfn.LET(_xlpm.result,10*_xlfn.XLOOKUP($A45,$A$2:$A$25,_xlfn.XLOOKUP(B$1,$B$1:$J$1,$B$2:$J$25)),IF(_xlpm.result&lt;0,"",_xlpm.result))</f>
        <v/>
      </c>
      <c r="C45" s="26" cm="1">
        <f t="array" ref="C45">_xlfn.LET(_xlpm.result,10*_xlfn.XLOOKUP($A45,$A$2:$A$25,_xlfn.XLOOKUP(C$1,$B$1:$J$1,$B$2:$J$25)),IF(_xlpm.result&lt;0,"",_xlpm.result))</f>
        <v>8</v>
      </c>
      <c r="D45" s="26" t="str" cm="1">
        <f t="array" ref="D45">_xlfn.LET(_xlpm.result,10*_xlfn.XLOOKUP($A45,$A$2:$A$25,_xlfn.XLOOKUP(D$1,$B$1:$J$1,$B$2:$J$25)),IF(_xlpm.result&lt;0,"",_xlpm.result))</f>
        <v/>
      </c>
      <c r="E45" s="26" t="str" cm="1">
        <f t="array" ref="E45">_xlfn.LET(_xlpm.result,10*_xlfn.XLOOKUP($A45,$A$2:$A$25,_xlfn.XLOOKUP(E$1,$B$1:$J$1,$B$2:$J$25)),IF(_xlpm.result&lt;0,"",_xlpm.result))</f>
        <v/>
      </c>
      <c r="F45" s="26" t="str" cm="1">
        <f t="array" ref="F45">_xlfn.LET(_xlpm.result,10*_xlfn.XLOOKUP($A45,$A$2:$A$25,_xlfn.XLOOKUP(F$1,$B$1:$J$1,$B$2:$J$25)),IF(_xlpm.result&lt;0,"",_xlpm.result))</f>
        <v/>
      </c>
      <c r="G45" s="20" cm="1">
        <f t="array" ref="G45">_xlfn.LET(_xlpm.result,10*_xlfn.XLOOKUP($A45,$A$2:$A$25,_xlfn.XLOOKUP(G$1,$B$1:$J$1,$B$2:$J$25)),IF(_xlpm.result&lt;0,"",_xlpm.result))</f>
        <v>91</v>
      </c>
      <c r="H45" s="26" t="str" cm="1">
        <f t="array" ref="H45">_xlfn.LET(_xlpm.result,10*_xlfn.XLOOKUP($A45,$A$2:$A$25,_xlfn.XLOOKUP(H$1,$B$1:$J$1,$B$2:$J$25)),IF(_xlpm.result&lt;0,"",_xlpm.result))</f>
        <v/>
      </c>
      <c r="I45" s="26" t="str" cm="1">
        <f t="array" ref="I45">_xlfn.LET(_xlpm.result,10*_xlfn.XLOOKUP($A45,$A$2:$A$25,_xlfn.XLOOKUP(I$1,$B$1:$J$1,$B$2:$J$25)),IF(_xlpm.result&lt;0,"",_xlpm.result))</f>
        <v/>
      </c>
      <c r="J45" s="26" t="str" cm="1">
        <f t="array" ref="J45">_xlfn.LET(_xlpm.result,10*_xlfn.XLOOKUP($A45,$A$2:$A$25,_xlfn.XLOOKUP(J$1,$B$1:$J$1,$B$2:$J$25)),IF(_xlpm.result&lt;0,"",_xlpm.result))</f>
        <v/>
      </c>
      <c r="K45" s="27">
        <f t="shared" si="1"/>
        <v>91</v>
      </c>
      <c r="L45" s="25">
        <v>8</v>
      </c>
    </row>
    <row r="46" spans="1:12" ht="18.75" x14ac:dyDescent="0.3">
      <c r="A46" t="s">
        <v>44</v>
      </c>
      <c r="B46" s="1" cm="1">
        <f t="array" ref="B46">_xlfn.LET(_xlpm.result,10*_xlfn.XLOOKUP($A46,$A$2:$A$25,_xlfn.XLOOKUP(B$1,$B$1:$J$1,$B$2:$J$25)),IF(_xlpm.result&lt;0,"",_xlpm.result))</f>
        <v>2</v>
      </c>
      <c r="C46" s="1" t="str" cm="1">
        <f t="array" ref="C46">_xlfn.LET(_xlpm.result,10*_xlfn.XLOOKUP($A46,$A$2:$A$25,_xlfn.XLOOKUP(C$1,$B$1:$J$1,$B$2:$J$25)),IF(_xlpm.result&lt;0,"",_xlpm.result))</f>
        <v/>
      </c>
      <c r="D46" s="1" cm="1">
        <f t="array" ref="D46">_xlfn.LET(_xlpm.result,10*_xlfn.XLOOKUP($A46,$A$2:$A$25,_xlfn.XLOOKUP(D$1,$B$1:$J$1,$B$2:$J$25)),IF(_xlpm.result&lt;0,"",_xlpm.result))</f>
        <v>34</v>
      </c>
      <c r="E46" s="1" cm="1">
        <f t="array" ref="E46">_xlfn.LET(_xlpm.result,10*_xlfn.XLOOKUP($A46,$A$2:$A$25,_xlfn.XLOOKUP(E$1,$B$1:$J$1,$B$2:$J$25)),IF(_xlpm.result&lt;0,"",_xlpm.result))</f>
        <v>62</v>
      </c>
      <c r="F46" s="1" cm="1">
        <f t="array" ref="F46">_xlfn.LET(_xlpm.result,10*_xlfn.XLOOKUP($A46,$A$2:$A$25,_xlfn.XLOOKUP(F$1,$B$1:$J$1,$B$2:$J$25)),IF(_xlpm.result&lt;0,"",_xlpm.result))</f>
        <v>19</v>
      </c>
      <c r="G46" s="1" cm="1">
        <f t="array" ref="G46">_xlfn.LET(_xlpm.result,10*_xlfn.XLOOKUP($A46,$A$2:$A$25,_xlfn.XLOOKUP(G$1,$B$1:$J$1,$B$2:$J$25)),IF(_xlpm.result&lt;0,"",_xlpm.result))</f>
        <v>95</v>
      </c>
      <c r="H46" s="1" cm="1">
        <f t="array" ref="H46">_xlfn.LET(_xlpm.result,10*_xlfn.XLOOKUP($A46,$A$2:$A$25,_xlfn.XLOOKUP(H$1,$B$1:$J$1,$B$2:$J$25)),IF(_xlpm.result&lt;0,"",_xlpm.result))</f>
        <v>73</v>
      </c>
      <c r="I46" s="1" t="str" cm="1">
        <f t="array" ref="I46">_xlfn.LET(_xlpm.result,10*_xlfn.XLOOKUP($A46,$A$2:$A$25,_xlfn.XLOOKUP(I$1,$B$1:$J$1,$B$2:$J$25)),IF(_xlpm.result&lt;0,"",_xlpm.result))</f>
        <v/>
      </c>
      <c r="J46" s="20" cm="1">
        <f t="array" ref="J46">_xlfn.LET(_xlpm.result,10*_xlfn.XLOOKUP($A46,$A$2:$A$25,_xlfn.XLOOKUP(J$1,$B$1:$J$1,$B$2:$J$25)),IF(_xlpm.result&lt;0,"",_xlpm.result))</f>
        <v>73</v>
      </c>
      <c r="K46" s="10">
        <f t="shared" si="1"/>
        <v>95</v>
      </c>
      <c r="L46">
        <v>7</v>
      </c>
    </row>
    <row r="47" spans="1:12" ht="18.75" x14ac:dyDescent="0.3">
      <c r="A47" t="s">
        <v>48</v>
      </c>
      <c r="B47" s="1" cm="1">
        <f t="array" ref="B47">_xlfn.LET(_xlpm.result,10*_xlfn.XLOOKUP($A47,$A$2:$A$25,_xlfn.XLOOKUP(B$1,$B$1:$J$1,$B$2:$J$25)),IF(_xlpm.result&lt;0,"",_xlpm.result))</f>
        <v>7</v>
      </c>
      <c r="C47" s="1" t="str" cm="1">
        <f t="array" ref="C47">_xlfn.LET(_xlpm.result,10*_xlfn.XLOOKUP($A47,$A$2:$A$25,_xlfn.XLOOKUP(C$1,$B$1:$J$1,$B$2:$J$25)),IF(_xlpm.result&lt;0,"",_xlpm.result))</f>
        <v/>
      </c>
      <c r="D47" s="1" t="str" cm="1">
        <f t="array" ref="D47">_xlfn.LET(_xlpm.result,10*_xlfn.XLOOKUP($A47,$A$2:$A$25,_xlfn.XLOOKUP(D$1,$B$1:$J$1,$B$2:$J$25)),IF(_xlpm.result&lt;0,"",_xlpm.result))</f>
        <v/>
      </c>
      <c r="E47" s="1" cm="1">
        <f t="array" ref="E47">_xlfn.LET(_xlpm.result,10*_xlfn.XLOOKUP($A47,$A$2:$A$25,_xlfn.XLOOKUP(E$1,$B$1:$J$1,$B$2:$J$25)),IF(_xlpm.result&lt;0,"",_xlpm.result))</f>
        <v>46</v>
      </c>
      <c r="F47" s="20" cm="1">
        <f t="array" ref="F47">_xlfn.LET(_xlpm.result,10*_xlfn.XLOOKUP($A47,$A$2:$A$25,_xlfn.XLOOKUP(F$1,$B$1:$J$1,$B$2:$J$25)),IF(_xlpm.result&lt;0,"",_xlpm.result))</f>
        <v>98</v>
      </c>
      <c r="G47" s="1" cm="1">
        <f t="array" ref="G47">_xlfn.LET(_xlpm.result,10*_xlfn.XLOOKUP($A47,$A$2:$A$25,_xlfn.XLOOKUP(G$1,$B$1:$J$1,$B$2:$J$25)),IF(_xlpm.result&lt;0,"",_xlpm.result))</f>
        <v>40</v>
      </c>
      <c r="H47" s="1" cm="1">
        <f t="array" ref="H47">_xlfn.LET(_xlpm.result,10*_xlfn.XLOOKUP($A47,$A$2:$A$25,_xlfn.XLOOKUP(H$1,$B$1:$J$1,$B$2:$J$25)),IF(_xlpm.result&lt;0,"",_xlpm.result))</f>
        <v>48</v>
      </c>
      <c r="I47" s="1" cm="1">
        <f t="array" ref="I47">_xlfn.LET(_xlpm.result,10*_xlfn.XLOOKUP($A47,$A$2:$A$25,_xlfn.XLOOKUP(I$1,$B$1:$J$1,$B$2:$J$25)),IF(_xlpm.result&lt;0,"",_xlpm.result))</f>
        <v>48.999999999999901</v>
      </c>
      <c r="J47" s="1" cm="1">
        <f t="array" ref="J47">_xlfn.LET(_xlpm.result,10*_xlfn.XLOOKUP($A47,$A$2:$A$25,_xlfn.XLOOKUP(J$1,$B$1:$J$1,$B$2:$J$25)),IF(_xlpm.result&lt;0,"",_xlpm.result))</f>
        <v>48</v>
      </c>
      <c r="K47" s="10">
        <f t="shared" si="1"/>
        <v>98</v>
      </c>
      <c r="L47" s="16">
        <v>6</v>
      </c>
    </row>
    <row r="48" spans="1:12" s="16" customFormat="1" ht="18.75" x14ac:dyDescent="0.3">
      <c r="A48" s="16" t="s">
        <v>45</v>
      </c>
      <c r="B48" s="17" t="str" cm="1">
        <f t="array" ref="B48">_xlfn.LET(_xlpm.result,10*_xlfn.XLOOKUP($A48,$A$2:$A$25,_xlfn.XLOOKUP(B$1,$B$1:$J$1,$B$2:$J$25)),IF(_xlpm.result&lt;0,"",_xlpm.result))</f>
        <v/>
      </c>
      <c r="C48" s="17" cm="1">
        <f t="array" ref="C48">_xlfn.LET(_xlpm.result,10*_xlfn.XLOOKUP($A48,$A$2:$A$25,_xlfn.XLOOKUP(C$1,$B$1:$J$1,$B$2:$J$25)),IF(_xlpm.result&lt;0,"",_xlpm.result))</f>
        <v>29</v>
      </c>
      <c r="D48" s="17" cm="1">
        <f t="array" ref="D48">_xlfn.LET(_xlpm.result,10*_xlfn.XLOOKUP($A48,$A$2:$A$25,_xlfn.XLOOKUP(D$1,$B$1:$J$1,$B$2:$J$25)),IF(_xlpm.result&lt;0,"",_xlpm.result))</f>
        <v>12.999999999999901</v>
      </c>
      <c r="E48" s="17" t="str" cm="1">
        <f t="array" ref="E48">_xlfn.LET(_xlpm.result,10*_xlfn.XLOOKUP($A48,$A$2:$A$25,_xlfn.XLOOKUP(E$1,$B$1:$J$1,$B$2:$J$25)),IF(_xlpm.result&lt;0,"",_xlpm.result))</f>
        <v/>
      </c>
      <c r="F48" s="17" t="str" cm="1">
        <f t="array" ref="F48">_xlfn.LET(_xlpm.result,10*_xlfn.XLOOKUP($A48,$A$2:$A$25,_xlfn.XLOOKUP(F$1,$B$1:$J$1,$B$2:$J$25)),IF(_xlpm.result&lt;0,"",_xlpm.result))</f>
        <v/>
      </c>
      <c r="G48" s="17" cm="1">
        <f t="array" ref="G48">_xlfn.LET(_xlpm.result,10*_xlfn.XLOOKUP($A48,$A$2:$A$25,_xlfn.XLOOKUP(G$1,$B$1:$J$1,$B$2:$J$25)),IF(_xlpm.result&lt;0,"",_xlpm.result))</f>
        <v>36.999999999999901</v>
      </c>
      <c r="H48" s="17" t="str" cm="1">
        <f t="array" ref="H48">_xlfn.LET(_xlpm.result,10*_xlfn.XLOOKUP($A48,$A$2:$A$25,_xlfn.XLOOKUP(H$1,$B$1:$J$1,$B$2:$J$25)),IF(_xlpm.result&lt;0,"",_xlpm.result))</f>
        <v/>
      </c>
      <c r="I48" s="20" cm="1">
        <f t="array" ref="I48">_xlfn.LET(_xlpm.result,10*_xlfn.XLOOKUP($A48,$A$2:$A$25,_xlfn.XLOOKUP(I$1,$B$1:$J$1,$B$2:$J$25)),IF(_xlpm.result&lt;0,"",_xlpm.result))</f>
        <v>104</v>
      </c>
      <c r="J48" s="17" t="str" cm="1">
        <f t="array" ref="J48">_xlfn.LET(_xlpm.result,10*_xlfn.XLOOKUP($A48,$A$2:$A$25,_xlfn.XLOOKUP(J$1,$B$1:$J$1,$B$2:$J$25)),IF(_xlpm.result&lt;0,"",_xlpm.result))</f>
        <v/>
      </c>
      <c r="K48" s="19">
        <f t="shared" si="1"/>
        <v>104</v>
      </c>
      <c r="L48" s="16">
        <v>5</v>
      </c>
    </row>
    <row r="49" spans="1:13" s="16" customFormat="1" ht="18.75" x14ac:dyDescent="0.3">
      <c r="A49" s="16" t="s">
        <v>47</v>
      </c>
      <c r="B49" s="20" cm="1">
        <f t="array" ref="B49">_xlfn.LET(_xlpm.result,10*_xlfn.XLOOKUP($A49,$A$2:$A$25,_xlfn.XLOOKUP(B$1,$B$1:$J$1,$B$2:$J$25)),IF(_xlpm.result&lt;0,"",_xlpm.result))</f>
        <v>66</v>
      </c>
      <c r="C49" s="17" t="str" cm="1">
        <f t="array" ref="C49">_xlfn.LET(_xlpm.result,10*_xlfn.XLOOKUP($A49,$A$2:$A$25,_xlfn.XLOOKUP(C$1,$B$1:$J$1,$B$2:$J$25)),IF(_xlpm.result&lt;0,"",_xlpm.result))</f>
        <v/>
      </c>
      <c r="D49" s="17" cm="1">
        <f t="array" ref="D49">_xlfn.LET(_xlpm.result,10*_xlfn.XLOOKUP($A49,$A$2:$A$25,_xlfn.XLOOKUP(D$1,$B$1:$J$1,$B$2:$J$25)),IF(_xlpm.result&lt;0,"",_xlpm.result))</f>
        <v>121</v>
      </c>
      <c r="E49" s="17" cm="1">
        <f t="array" ref="E49">_xlfn.LET(_xlpm.result,10*_xlfn.XLOOKUP($A49,$A$2:$A$25,_xlfn.XLOOKUP(E$1,$B$1:$J$1,$B$2:$J$25)),IF(_xlpm.result&lt;0,"",_xlpm.result))</f>
        <v>53</v>
      </c>
      <c r="F49" s="17" cm="1">
        <f t="array" ref="F49">_xlfn.LET(_xlpm.result,10*_xlfn.XLOOKUP($A49,$A$2:$A$25,_xlfn.XLOOKUP(F$1,$B$1:$J$1,$B$2:$J$25)),IF(_xlpm.result&lt;0,"",_xlpm.result))</f>
        <v>60</v>
      </c>
      <c r="G49" s="17" t="str" cm="1">
        <f t="array" ref="G49">_xlfn.LET(_xlpm.result,10*_xlfn.XLOOKUP($A49,$A$2:$A$25,_xlfn.XLOOKUP(G$1,$B$1:$J$1,$B$2:$J$25)),IF(_xlpm.result&lt;0,"",_xlpm.result))</f>
        <v/>
      </c>
      <c r="H49" s="17" t="str" cm="1">
        <f t="array" ref="H49">_xlfn.LET(_xlpm.result,10*_xlfn.XLOOKUP($A49,$A$2:$A$25,_xlfn.XLOOKUP(H$1,$B$1:$J$1,$B$2:$J$25)),IF(_xlpm.result&lt;0,"",_xlpm.result))</f>
        <v/>
      </c>
      <c r="I49" s="17" cm="1">
        <f t="array" ref="I49">_xlfn.LET(_xlpm.result,10*_xlfn.XLOOKUP($A49,$A$2:$A$25,_xlfn.XLOOKUP(I$1,$B$1:$J$1,$B$2:$J$25)),IF(_xlpm.result&lt;0,"",_xlpm.result))</f>
        <v>68</v>
      </c>
      <c r="J49" s="17" t="str" cm="1">
        <f t="array" ref="J49">_xlfn.LET(_xlpm.result,10*_xlfn.XLOOKUP($A49,$A$2:$A$25,_xlfn.XLOOKUP(J$1,$B$1:$J$1,$B$2:$J$25)),IF(_xlpm.result&lt;0,"",_xlpm.result))</f>
        <v/>
      </c>
      <c r="K49" s="19">
        <f t="shared" si="1"/>
        <v>121</v>
      </c>
      <c r="L49" s="16">
        <v>4</v>
      </c>
    </row>
    <row r="50" spans="1:13" s="16" customFormat="1" ht="18.75" x14ac:dyDescent="0.3">
      <c r="A50" s="16" t="s">
        <v>46</v>
      </c>
      <c r="B50" s="17" t="str" cm="1">
        <f t="array" ref="B50">_xlfn.LET(_xlpm.result,10*_xlfn.XLOOKUP($A50,$A$2:$A$25,_xlfn.XLOOKUP(B$1,$B$1:$J$1,$B$2:$J$25)),IF(_xlpm.result&lt;0,"",_xlpm.result))</f>
        <v/>
      </c>
      <c r="C50" s="17" cm="1">
        <f t="array" ref="C50">_xlfn.LET(_xlpm.result,10*_xlfn.XLOOKUP($A50,$A$2:$A$25,_xlfn.XLOOKUP(C$1,$B$1:$J$1,$B$2:$J$25)),IF(_xlpm.result&lt;0,"",_xlpm.result))</f>
        <v>70</v>
      </c>
      <c r="D50" s="20" cm="1">
        <f t="array" ref="D50">_xlfn.LET(_xlpm.result,10*_xlfn.XLOOKUP($A50,$A$2:$A$25,_xlfn.XLOOKUP(D$1,$B$1:$J$1,$B$2:$J$25)),IF(_xlpm.result&lt;0,"",_xlpm.result))</f>
        <v>72</v>
      </c>
      <c r="E50" s="17" cm="1">
        <f t="array" ref="E50">_xlfn.LET(_xlpm.result,10*_xlfn.XLOOKUP($A50,$A$2:$A$25,_xlfn.XLOOKUP(E$1,$B$1:$J$1,$B$2:$J$25)),IF(_xlpm.result&lt;0,"",_xlpm.result))</f>
        <v>140</v>
      </c>
      <c r="F50" s="17" cm="1">
        <f t="array" ref="F50">_xlfn.LET(_xlpm.result,10*_xlfn.XLOOKUP($A50,$A$2:$A$25,_xlfn.XLOOKUP(F$1,$B$1:$J$1,$B$2:$J$25)),IF(_xlpm.result&lt;0,"",_xlpm.result))</f>
        <v>0</v>
      </c>
      <c r="G50" s="17" cm="1">
        <f t="array" ref="G50">_xlfn.LET(_xlpm.result,10*_xlfn.XLOOKUP($A50,$A$2:$A$25,_xlfn.XLOOKUP(G$1,$B$1:$J$1,$B$2:$J$25)),IF(_xlpm.result&lt;0,"",_xlpm.result))</f>
        <v>125</v>
      </c>
      <c r="H50" s="17" t="str" cm="1">
        <f t="array" ref="H50">_xlfn.LET(_xlpm.result,10*_xlfn.XLOOKUP($A50,$A$2:$A$25,_xlfn.XLOOKUP(H$1,$B$1:$J$1,$B$2:$J$25)),IF(_xlpm.result&lt;0,"",_xlpm.result))</f>
        <v/>
      </c>
      <c r="I50" s="17" cm="1">
        <f t="array" ref="I50">_xlfn.LET(_xlpm.result,10*_xlfn.XLOOKUP($A50,$A$2:$A$25,_xlfn.XLOOKUP(I$1,$B$1:$J$1,$B$2:$J$25)),IF(_xlpm.result&lt;0,"",_xlpm.result))</f>
        <v>49</v>
      </c>
      <c r="J50" s="17" cm="1">
        <f t="array" ref="J50">_xlfn.LET(_xlpm.result,10*_xlfn.XLOOKUP($A50,$A$2:$A$25,_xlfn.XLOOKUP(J$1,$B$1:$J$1,$B$2:$J$25)),IF(_xlpm.result&lt;0,"",_xlpm.result))</f>
        <v>4</v>
      </c>
      <c r="K50" s="19">
        <f t="shared" si="1"/>
        <v>140</v>
      </c>
      <c r="L50" s="16">
        <v>3</v>
      </c>
    </row>
    <row r="51" spans="1:13" s="16" customFormat="1" ht="18.75" x14ac:dyDescent="0.3">
      <c r="A51" s="16" t="s">
        <v>21</v>
      </c>
      <c r="B51" s="17" cm="1">
        <f t="array" ref="B51">_xlfn.LET(_xlpm.result,10*_xlfn.XLOOKUP($A51,$A$2:$A$25,_xlfn.XLOOKUP(B$1,$B$1:$J$1,$B$2:$J$25)),IF(_xlpm.result&lt;0,"",_xlpm.result))</f>
        <v>63</v>
      </c>
      <c r="C51" s="20" cm="1">
        <f t="array" ref="C51">_xlfn.LET(_xlpm.result,10*_xlfn.XLOOKUP($A51,$A$2:$A$25,_xlfn.XLOOKUP(C$1,$B$1:$J$1,$B$2:$J$25)),IF(_xlpm.result&lt;0,"",_xlpm.result))</f>
        <v>146</v>
      </c>
      <c r="D51" s="17" cm="1">
        <f t="array" ref="D51">_xlfn.LET(_xlpm.result,10*_xlfn.XLOOKUP($A51,$A$2:$A$25,_xlfn.XLOOKUP(D$1,$B$1:$J$1,$B$2:$J$25)),IF(_xlpm.result&lt;0,"",_xlpm.result))</f>
        <v>101</v>
      </c>
      <c r="E51" s="17" cm="1">
        <f t="array" ref="E51">_xlfn.LET(_xlpm.result,10*_xlfn.XLOOKUP($A51,$A$2:$A$25,_xlfn.XLOOKUP(E$1,$B$1:$J$1,$B$2:$J$25)),IF(_xlpm.result&lt;0,"",_xlpm.result))</f>
        <v>71</v>
      </c>
      <c r="F51" s="17" cm="1">
        <f t="array" ref="F51">_xlfn.LET(_xlpm.result,10*_xlfn.XLOOKUP($A51,$A$2:$A$25,_xlfn.XLOOKUP(F$1,$B$1:$J$1,$B$2:$J$25)),IF(_xlpm.result&lt;0,"",_xlpm.result))</f>
        <v>42</v>
      </c>
      <c r="G51" s="17" cm="1">
        <f t="array" ref="G51">_xlfn.LET(_xlpm.result,10*_xlfn.XLOOKUP($A51,$A$2:$A$25,_xlfn.XLOOKUP(G$1,$B$1:$J$1,$B$2:$J$25)),IF(_xlpm.result&lt;0,"",_xlpm.result))</f>
        <v>71</v>
      </c>
      <c r="H51" s="17" cm="1">
        <f t="array" ref="H51">_xlfn.LET(_xlpm.result,10*_xlfn.XLOOKUP($A51,$A$2:$A$25,_xlfn.XLOOKUP(H$1,$B$1:$J$1,$B$2:$J$25)),IF(_xlpm.result&lt;0,"",_xlpm.result))</f>
        <v>36.999999999999901</v>
      </c>
      <c r="I51" s="17" t="str" cm="1">
        <f t="array" ref="I51">_xlfn.LET(_xlpm.result,10*_xlfn.XLOOKUP($A51,$A$2:$A$25,_xlfn.XLOOKUP(I$1,$B$1:$J$1,$B$2:$J$25)),IF(_xlpm.result&lt;0,"",_xlpm.result))</f>
        <v/>
      </c>
      <c r="J51" s="17" cm="1">
        <f t="array" ref="J51">_xlfn.LET(_xlpm.result,10*_xlfn.XLOOKUP($A51,$A$2:$A$25,_xlfn.XLOOKUP(J$1,$B$1:$J$1,$B$2:$J$25)),IF(_xlpm.result&lt;0,"",_xlpm.result))</f>
        <v>42</v>
      </c>
      <c r="K51" s="19">
        <f t="shared" si="1"/>
        <v>146</v>
      </c>
      <c r="L51" s="16">
        <v>2</v>
      </c>
    </row>
    <row r="52" spans="1:13" ht="18.75" x14ac:dyDescent="0.3">
      <c r="A52" t="s">
        <v>34</v>
      </c>
      <c r="B52" s="1" cm="1">
        <f t="array" ref="B52">_xlfn.LET(_xlpm.result,10*_xlfn.XLOOKUP($A52,$A$2:$A$25,_xlfn.XLOOKUP(B$1,$B$1:$J$1,$B$2:$J$25)),IF(_xlpm.result&lt;0,"",_xlpm.result))</f>
        <v>0</v>
      </c>
      <c r="C52" s="1" cm="1">
        <f t="array" ref="C52">_xlfn.LET(_xlpm.result,10*_xlfn.XLOOKUP($A52,$A$2:$A$25,_xlfn.XLOOKUP(C$1,$B$1:$J$1,$B$2:$J$25)),IF(_xlpm.result&lt;0,"",_xlpm.result))</f>
        <v>47</v>
      </c>
      <c r="D52" s="1" cm="1">
        <f t="array" ref="D52">_xlfn.LET(_xlpm.result,10*_xlfn.XLOOKUP($A52,$A$2:$A$25,_xlfn.XLOOKUP(D$1,$B$1:$J$1,$B$2:$J$25)),IF(_xlpm.result&lt;0,"",_xlpm.result))</f>
        <v>29</v>
      </c>
      <c r="E52" s="1" cm="1">
        <f t="array" ref="E52">_xlfn.LET(_xlpm.result,10*_xlfn.XLOOKUP($A52,$A$2:$A$25,_xlfn.XLOOKUP(E$1,$B$1:$J$1,$B$2:$J$25)),IF(_xlpm.result&lt;0,"",_xlpm.result))</f>
        <v>66</v>
      </c>
      <c r="F52" s="1" cm="1">
        <f t="array" ref="F52">_xlfn.LET(_xlpm.result,10*_xlfn.XLOOKUP($A52,$A$2:$A$25,_xlfn.XLOOKUP(F$1,$B$1:$J$1,$B$2:$J$25)),IF(_xlpm.result&lt;0,"",_xlpm.result))</f>
        <v>64</v>
      </c>
      <c r="G52" s="1" cm="1">
        <f t="array" ref="G52">_xlfn.LET(_xlpm.result,10*_xlfn.XLOOKUP($A52,$A$2:$A$25,_xlfn.XLOOKUP(G$1,$B$1:$J$1,$B$2:$J$25)),IF(_xlpm.result&lt;0,"",_xlpm.result))</f>
        <v>51</v>
      </c>
      <c r="H52" s="20" cm="1">
        <f t="array" ref="H52">_xlfn.LET(_xlpm.result,10*_xlfn.XLOOKUP($A52,$A$2:$A$25,_xlfn.XLOOKUP(H$1,$B$1:$J$1,$B$2:$J$25)),IF(_xlpm.result&lt;0,"",_xlpm.result))</f>
        <v>170</v>
      </c>
      <c r="I52" s="1" cm="1">
        <f t="array" ref="I52">_xlfn.LET(_xlpm.result,10*_xlfn.XLOOKUP($A52,$A$2:$A$25,_xlfn.XLOOKUP(I$1,$B$1:$J$1,$B$2:$J$25)),IF(_xlpm.result&lt;0,"",_xlpm.result))</f>
        <v>47</v>
      </c>
      <c r="J52" s="1" cm="1">
        <f t="array" ref="J52">_xlfn.LET(_xlpm.result,10*_xlfn.XLOOKUP($A52,$A$2:$A$25,_xlfn.XLOOKUP(J$1,$B$1:$J$1,$B$2:$J$25)),IF(_xlpm.result&lt;0,"",_xlpm.result))</f>
        <v>127</v>
      </c>
      <c r="K52" s="10">
        <f t="shared" si="1"/>
        <v>170</v>
      </c>
      <c r="L52">
        <v>1</v>
      </c>
    </row>
    <row r="53" spans="1:13" x14ac:dyDescent="0.25">
      <c r="B53" s="1"/>
      <c r="C53" s="1"/>
      <c r="D53" s="1"/>
      <c r="E53" s="1"/>
      <c r="F53" s="1"/>
      <c r="G53" s="1"/>
      <c r="H53" s="1"/>
      <c r="I53" s="1"/>
      <c r="J53" s="1"/>
      <c r="K53" s="10"/>
    </row>
    <row r="54" spans="1:13" x14ac:dyDescent="0.25">
      <c r="A54" t="s">
        <v>60</v>
      </c>
      <c r="I54" s="3"/>
      <c r="K54" s="10">
        <f>SUM(B54:J54)</f>
        <v>0</v>
      </c>
      <c r="L54">
        <f>MIN(B54:J54)</f>
        <v>0</v>
      </c>
      <c r="M54" s="23" t="e">
        <f>AVERAGE(B54:J54)</f>
        <v>#DIV/0!</v>
      </c>
    </row>
    <row r="55" spans="1:13" x14ac:dyDescent="0.25">
      <c r="A55" t="s">
        <v>61</v>
      </c>
      <c r="K55" s="10">
        <f>SUM(B55:J55)</f>
        <v>0</v>
      </c>
      <c r="L55">
        <f>MIN(B55:J55)</f>
        <v>0</v>
      </c>
      <c r="M55" s="23" t="e">
        <f>AVERAGE(B55:J55)</f>
        <v>#DIV/0!</v>
      </c>
    </row>
    <row r="57" spans="1:13" x14ac:dyDescent="0.25">
      <c r="A57" t="s">
        <v>62</v>
      </c>
      <c r="B57">
        <f t="shared" ref="B57:M57" si="2">B55-B54</f>
        <v>0</v>
      </c>
      <c r="C57">
        <f t="shared" si="2"/>
        <v>0</v>
      </c>
      <c r="D57">
        <f t="shared" si="2"/>
        <v>0</v>
      </c>
      <c r="E57">
        <f t="shared" si="2"/>
        <v>0</v>
      </c>
      <c r="F57">
        <f t="shared" si="2"/>
        <v>0</v>
      </c>
      <c r="G57">
        <f t="shared" si="2"/>
        <v>0</v>
      </c>
      <c r="H57">
        <f t="shared" si="2"/>
        <v>0</v>
      </c>
      <c r="I57">
        <f t="shared" si="2"/>
        <v>0</v>
      </c>
      <c r="J57">
        <f t="shared" si="2"/>
        <v>0</v>
      </c>
      <c r="K57">
        <f t="shared" si="2"/>
        <v>0</v>
      </c>
      <c r="L57">
        <f t="shared" si="2"/>
        <v>0</v>
      </c>
      <c r="M57" s="22" t="e">
        <f t="shared" si="2"/>
        <v>#DIV/0!</v>
      </c>
    </row>
  </sheetData>
  <autoFilter ref="A29:K29" xr:uid="{54BE77A0-7D21-425B-A240-22D447E1FEA2}">
    <sortState xmlns:xlrd2="http://schemas.microsoft.com/office/spreadsheetml/2017/richdata2" ref="A30:K52">
      <sortCondition ref="K29"/>
    </sortState>
  </autoFilter>
  <conditionalFormatting sqref="B2:J2"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J3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J4"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J5"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J6"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J7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J8"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J9"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J10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J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J12"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J13"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J14"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J15"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J16"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J17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J18"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J19"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J20"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J21"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J22"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J23"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J25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J28 B26:J26">
    <cfRule type="colorScale" priority="3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8:J28"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J52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3:J53">
    <cfRule type="colorScale" priority="34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4:J54"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5:J55"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5C33-F27C-46AA-B9A1-06930DF5C474}">
  <dimension ref="A1:Q54"/>
  <sheetViews>
    <sheetView topLeftCell="A19" zoomScaleNormal="100" workbookViewId="0">
      <selection activeCell="F43" sqref="F43"/>
    </sheetView>
  </sheetViews>
  <sheetFormatPr defaultRowHeight="15" x14ac:dyDescent="0.25"/>
  <cols>
    <col min="1" max="1" width="24.28515625" customWidth="1"/>
    <col min="2" max="7" width="10.42578125" bestFit="1" customWidth="1"/>
    <col min="8" max="8" width="10.7109375" bestFit="1" customWidth="1"/>
    <col min="9" max="9" width="10.42578125" bestFit="1" customWidth="1"/>
    <col min="10" max="10" width="10.5703125" bestFit="1" customWidth="1"/>
  </cols>
  <sheetData>
    <row r="1" spans="1:9" x14ac:dyDescent="0.25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5">
      <c r="A2" t="s">
        <v>19</v>
      </c>
      <c r="B2">
        <v>-4.3</v>
      </c>
      <c r="C2">
        <v>-2.2000000000000002</v>
      </c>
      <c r="D2">
        <v>-4.7</v>
      </c>
      <c r="E2">
        <v>-9.3000000000000007</v>
      </c>
      <c r="F2">
        <v>-3.3</v>
      </c>
      <c r="G2">
        <v>-0.8</v>
      </c>
      <c r="H2">
        <v>-0.5</v>
      </c>
      <c r="I2">
        <v>-9.3000000000000007</v>
      </c>
    </row>
    <row r="3" spans="1:9" x14ac:dyDescent="0.25">
      <c r="A3" t="s">
        <v>20</v>
      </c>
      <c r="B3">
        <v>1.9</v>
      </c>
      <c r="C3">
        <v>3.6</v>
      </c>
      <c r="D3">
        <v>3.9</v>
      </c>
      <c r="E3">
        <v>-6</v>
      </c>
      <c r="F3">
        <v>-3.9</v>
      </c>
      <c r="G3">
        <v>0.8</v>
      </c>
      <c r="H3">
        <v>-8.5</v>
      </c>
      <c r="I3">
        <v>3.6</v>
      </c>
    </row>
    <row r="4" spans="1:9" x14ac:dyDescent="0.25">
      <c r="A4" t="s">
        <v>21</v>
      </c>
      <c r="B4">
        <v>14.3</v>
      </c>
      <c r="C4">
        <v>11</v>
      </c>
      <c r="D4">
        <v>7.4</v>
      </c>
      <c r="E4">
        <v>5.2</v>
      </c>
      <c r="F4">
        <v>7.4</v>
      </c>
      <c r="G4">
        <v>3.9</v>
      </c>
      <c r="H4">
        <v>0.4</v>
      </c>
      <c r="I4">
        <v>5.2</v>
      </c>
    </row>
    <row r="5" spans="1:9" x14ac:dyDescent="0.25">
      <c r="A5" t="s">
        <v>23</v>
      </c>
      <c r="B5">
        <v>-1.9</v>
      </c>
      <c r="C5">
        <v>-5.3999999999999897</v>
      </c>
      <c r="D5">
        <v>-10.399999999999901</v>
      </c>
      <c r="F5">
        <v>1.7</v>
      </c>
      <c r="G5">
        <v>-5.8</v>
      </c>
      <c r="H5">
        <v>-7.9</v>
      </c>
      <c r="I5">
        <v>-5.8</v>
      </c>
    </row>
    <row r="6" spans="1:9" x14ac:dyDescent="0.25">
      <c r="A6" t="s">
        <v>24</v>
      </c>
      <c r="B6">
        <v>1.1000000000000001</v>
      </c>
      <c r="C6">
        <v>-0.6</v>
      </c>
      <c r="D6">
        <v>-6.1999999999999904</v>
      </c>
      <c r="E6">
        <v>-5.4</v>
      </c>
      <c r="F6">
        <v>8.5</v>
      </c>
      <c r="G6">
        <v>-5.4</v>
      </c>
      <c r="H6">
        <v>-2.2000000000000002</v>
      </c>
      <c r="I6">
        <v>-7.1999999999999904</v>
      </c>
    </row>
    <row r="7" spans="1:9" x14ac:dyDescent="0.25">
      <c r="A7" t="s">
        <v>25</v>
      </c>
      <c r="B7">
        <v>-2.2000000000000002</v>
      </c>
      <c r="C7">
        <v>-3.5</v>
      </c>
      <c r="D7">
        <v>-7.4</v>
      </c>
      <c r="E7">
        <v>-6.8</v>
      </c>
      <c r="F7">
        <v>-7.4</v>
      </c>
      <c r="G7">
        <v>-0.1</v>
      </c>
      <c r="H7">
        <v>0.5</v>
      </c>
      <c r="I7">
        <v>6.8999999999999897</v>
      </c>
    </row>
    <row r="8" spans="1:9" x14ac:dyDescent="0.25">
      <c r="A8" t="s">
        <v>26</v>
      </c>
      <c r="B8">
        <v>-14.3</v>
      </c>
      <c r="C8">
        <v>-5.0999999999999996</v>
      </c>
      <c r="D8">
        <v>-10.7</v>
      </c>
      <c r="E8">
        <v>-0.9</v>
      </c>
      <c r="F8">
        <v>-8.5</v>
      </c>
      <c r="G8">
        <v>-13.7</v>
      </c>
      <c r="H8">
        <v>-9.1</v>
      </c>
      <c r="I8">
        <v>-6.8999999999999897</v>
      </c>
    </row>
    <row r="9" spans="1:9" x14ac:dyDescent="0.25">
      <c r="A9" t="s">
        <v>27</v>
      </c>
      <c r="B9">
        <v>4.8</v>
      </c>
      <c r="C9">
        <v>-4.8</v>
      </c>
      <c r="D9">
        <v>-7.8</v>
      </c>
      <c r="E9">
        <v>-5.8</v>
      </c>
      <c r="F9">
        <v>2.5</v>
      </c>
      <c r="G9">
        <v>-3</v>
      </c>
      <c r="H9">
        <v>2.19999999999999</v>
      </c>
      <c r="I9">
        <v>1.3</v>
      </c>
    </row>
    <row r="10" spans="1:9" x14ac:dyDescent="0.25">
      <c r="A10" t="s">
        <v>33</v>
      </c>
      <c r="B10">
        <v>-4.3</v>
      </c>
      <c r="C10">
        <v>2.2000000000000002</v>
      </c>
      <c r="D10">
        <v>7.6999999999999904</v>
      </c>
      <c r="E10">
        <v>-6.2</v>
      </c>
      <c r="F10">
        <v>5.3</v>
      </c>
      <c r="G10">
        <v>-3.7</v>
      </c>
      <c r="H10">
        <v>-6.2</v>
      </c>
      <c r="I10">
        <v>7.6999999999999904</v>
      </c>
    </row>
    <row r="11" spans="1:9" x14ac:dyDescent="0.25">
      <c r="A11" t="s">
        <v>34</v>
      </c>
      <c r="B11">
        <v>5.3999999999999897</v>
      </c>
      <c r="C11">
        <v>2.8999999999999901</v>
      </c>
      <c r="D11">
        <v>7.8</v>
      </c>
      <c r="E11">
        <v>8</v>
      </c>
      <c r="F11">
        <v>4.8</v>
      </c>
      <c r="G11">
        <v>16.799999999999901</v>
      </c>
      <c r="H11">
        <v>5.3999999999999897</v>
      </c>
      <c r="I11">
        <v>12.6</v>
      </c>
    </row>
    <row r="12" spans="1:9" x14ac:dyDescent="0.25">
      <c r="A12" t="s">
        <v>35</v>
      </c>
      <c r="B12">
        <v>-4.8</v>
      </c>
      <c r="C12">
        <v>5.0999999999999996</v>
      </c>
      <c r="D12">
        <v>-7.8</v>
      </c>
      <c r="E12">
        <v>-7.2</v>
      </c>
      <c r="F12">
        <v>-9.6</v>
      </c>
      <c r="G12">
        <v>-4.5999999999999996</v>
      </c>
      <c r="H12">
        <v>-3.5</v>
      </c>
      <c r="I12">
        <v>-12.6</v>
      </c>
    </row>
    <row r="13" spans="1:9" x14ac:dyDescent="0.25">
      <c r="A13" t="s">
        <v>38</v>
      </c>
      <c r="B13">
        <v>-0.7</v>
      </c>
      <c r="D13">
        <v>3.4</v>
      </c>
      <c r="E13">
        <v>3.69999999999999</v>
      </c>
      <c r="F13">
        <v>-2.1</v>
      </c>
      <c r="G13">
        <v>0.1</v>
      </c>
      <c r="H13">
        <v>-4.0999999999999996</v>
      </c>
      <c r="I13">
        <v>-3.4</v>
      </c>
    </row>
    <row r="14" spans="1:9" x14ac:dyDescent="0.25">
      <c r="A14" t="s">
        <v>39</v>
      </c>
      <c r="B14">
        <v>-1.1000000000000001</v>
      </c>
      <c r="C14">
        <v>-6.5</v>
      </c>
      <c r="D14">
        <v>-5.8</v>
      </c>
      <c r="E14">
        <v>-0.3</v>
      </c>
      <c r="F14">
        <v>-2.5</v>
      </c>
      <c r="G14">
        <v>-1.2</v>
      </c>
      <c r="H14">
        <v>-8.3000000000000007</v>
      </c>
      <c r="I14">
        <v>-6.5</v>
      </c>
    </row>
    <row r="15" spans="1:9" x14ac:dyDescent="0.25">
      <c r="A15" t="s">
        <v>41</v>
      </c>
      <c r="C15">
        <v>-3.6</v>
      </c>
      <c r="D15">
        <v>-3.4</v>
      </c>
      <c r="E15">
        <v>-7.5</v>
      </c>
      <c r="F15">
        <v>-1.7</v>
      </c>
      <c r="G15">
        <v>0.29999999999999899</v>
      </c>
      <c r="H15">
        <v>2.69999999999999</v>
      </c>
      <c r="I15">
        <v>-3.6</v>
      </c>
    </row>
    <row r="16" spans="1:9" x14ac:dyDescent="0.25">
      <c r="A16" t="s">
        <v>42</v>
      </c>
      <c r="B16">
        <v>-5.3</v>
      </c>
      <c r="C16">
        <v>-7.1</v>
      </c>
      <c r="D16">
        <v>-1.8</v>
      </c>
      <c r="F16">
        <v>0.89999999999999902</v>
      </c>
      <c r="G16">
        <v>1.2</v>
      </c>
      <c r="H16">
        <v>3.5</v>
      </c>
      <c r="I16">
        <v>-1.3</v>
      </c>
    </row>
    <row r="17" spans="1:17" x14ac:dyDescent="0.25">
      <c r="A17" t="s">
        <v>43</v>
      </c>
      <c r="B17">
        <v>-7.1</v>
      </c>
      <c r="C17">
        <v>-11</v>
      </c>
      <c r="D17">
        <v>-3.9</v>
      </c>
      <c r="E17">
        <v>-3.69999999999999</v>
      </c>
      <c r="F17">
        <v>-5.3</v>
      </c>
      <c r="G17">
        <v>-0.29999999999999899</v>
      </c>
      <c r="H17">
        <v>-7.1</v>
      </c>
      <c r="I17">
        <v>-10.4</v>
      </c>
    </row>
    <row r="18" spans="1:17" x14ac:dyDescent="0.25">
      <c r="A18" t="s">
        <v>44</v>
      </c>
      <c r="B18">
        <v>-1</v>
      </c>
      <c r="C18">
        <v>4.8</v>
      </c>
      <c r="D18">
        <v>6.1999999999999904</v>
      </c>
      <c r="E18">
        <v>1.7999999999999901</v>
      </c>
      <c r="F18">
        <v>9.6</v>
      </c>
      <c r="G18">
        <v>7</v>
      </c>
      <c r="H18">
        <v>0.999999999999999</v>
      </c>
      <c r="I18">
        <v>7</v>
      </c>
    </row>
    <row r="19" spans="1:17" x14ac:dyDescent="0.25">
      <c r="A19" t="s">
        <v>45</v>
      </c>
      <c r="B19">
        <v>2.2000000000000002</v>
      </c>
      <c r="C19">
        <v>0.6</v>
      </c>
      <c r="D19">
        <v>-4.5999999999999996</v>
      </c>
      <c r="E19">
        <v>-5.2</v>
      </c>
      <c r="F19">
        <v>2.1</v>
      </c>
      <c r="G19">
        <v>-6.6</v>
      </c>
      <c r="H19">
        <v>9.1</v>
      </c>
      <c r="I19">
        <v>-5.2</v>
      </c>
    </row>
    <row r="20" spans="1:17" x14ac:dyDescent="0.25">
      <c r="A20" t="s">
        <v>46</v>
      </c>
      <c r="B20">
        <v>4.3</v>
      </c>
      <c r="C20">
        <v>5.3999999999999897</v>
      </c>
      <c r="D20">
        <v>10.7</v>
      </c>
      <c r="F20">
        <v>9.7999999999999901</v>
      </c>
      <c r="G20">
        <v>-4.0999999999999996</v>
      </c>
      <c r="H20">
        <v>2.2000000000000002</v>
      </c>
      <c r="I20">
        <v>-2.5</v>
      </c>
    </row>
    <row r="21" spans="1:17" x14ac:dyDescent="0.25">
      <c r="A21" t="s">
        <v>48</v>
      </c>
      <c r="B21">
        <v>-2.6</v>
      </c>
      <c r="C21">
        <v>-4.5999999999999996</v>
      </c>
      <c r="D21">
        <v>4.7</v>
      </c>
      <c r="E21">
        <v>7.5</v>
      </c>
      <c r="F21">
        <v>3.9</v>
      </c>
      <c r="G21">
        <v>5.8</v>
      </c>
      <c r="H21">
        <v>4.0999999999999996</v>
      </c>
      <c r="I21">
        <v>5.8</v>
      </c>
    </row>
    <row r="22" spans="1:17" x14ac:dyDescent="0.25">
      <c r="A22" t="s">
        <v>49</v>
      </c>
      <c r="B22">
        <v>-8.7999999999999901</v>
      </c>
      <c r="C22">
        <v>-12.299999999999899</v>
      </c>
      <c r="D22">
        <v>-7.6999999999999904</v>
      </c>
      <c r="E22">
        <v>0.9</v>
      </c>
      <c r="F22">
        <v>-9.7999999999999901</v>
      </c>
      <c r="G22">
        <v>-16.799999999999901</v>
      </c>
      <c r="H22">
        <v>-2.69999999999999</v>
      </c>
      <c r="I22">
        <v>-7.6999999999999904</v>
      </c>
    </row>
    <row r="23" spans="1:17" x14ac:dyDescent="0.25">
      <c r="A23" t="s">
        <v>50</v>
      </c>
      <c r="B23">
        <v>0.7</v>
      </c>
      <c r="D23">
        <v>-4.5999999999999996</v>
      </c>
      <c r="E23">
        <v>0.3</v>
      </c>
      <c r="F23">
        <v>-0.89999999999999902</v>
      </c>
      <c r="G23">
        <v>-7</v>
      </c>
      <c r="H23">
        <v>-2.19999999999999</v>
      </c>
      <c r="I23">
        <v>-7</v>
      </c>
    </row>
    <row r="24" spans="1:17" x14ac:dyDescent="0.25">
      <c r="B24" s="1" t="str" cm="1">
        <f t="array" ref="B24">IFERROR(_xlfn.LET(_xlpm.result,RANK(_xlfn.XLOOKUP($A24,$A$2:$A$22,_xlfn.XLOOKUP(#REF!,$B$1:$I$1,$B$2:$I$22)),$B$2:$I$22),IF(_xlpm.result&gt;150,"",_xlpm.result)),"")</f>
        <v/>
      </c>
      <c r="C24" s="1" t="str" cm="1">
        <f t="array" ref="C24">IFERROR(_xlfn.LET(_xlpm.result,RANK(_xlfn.XLOOKUP($A24,$A$2:$A$22,_xlfn.XLOOKUP(#REF!,$B$1:$I$1,$B$2:$I$22)),$B$2:$I$22),IF(_xlpm.result&gt;150,"",_xlpm.result)),"")</f>
        <v/>
      </c>
      <c r="D24" s="1" t="str" cm="1">
        <f t="array" ref="D24">IFERROR(_xlfn.LET(_xlpm.result,RANK(_xlfn.XLOOKUP($A24,$A$2:$A$22,_xlfn.XLOOKUP(#REF!,$B$1:$I$1,$B$2:$I$22)),$B$2:$I$22),IF(_xlpm.result&gt;150,"",_xlpm.result)),"")</f>
        <v/>
      </c>
      <c r="E24" s="1" t="str" cm="1">
        <f t="array" ref="E24">IFERROR(_xlfn.LET(_xlpm.result,RANK(_xlfn.XLOOKUP($A24,$A$2:$A$22,_xlfn.XLOOKUP(#REF!,$B$1:$I$1,$B$2:$I$22)),$B$2:$I$22),IF(_xlpm.result&gt;150,"",_xlpm.result)),"")</f>
        <v/>
      </c>
      <c r="F24" s="1" t="str" cm="1">
        <f t="array" ref="F24">IFERROR(_xlfn.LET(_xlpm.result,RANK(_xlfn.XLOOKUP($A24,$A$2:$A$22,_xlfn.XLOOKUP(#REF!,$B$1:$I$1,$B$2:$I$22)),$B$2:$I$22),IF(_xlpm.result&gt;150,"",_xlpm.result)),"")</f>
        <v/>
      </c>
      <c r="G24" s="1" t="str" cm="1">
        <f t="array" ref="G24">IFERROR(_xlfn.LET(_xlpm.result,RANK(_xlfn.XLOOKUP($A24,$A$2:$A$22,_xlfn.XLOOKUP(#REF!,$B$1:$I$1,$B$2:$I$22)),$B$2:$I$22),IF(_xlpm.result&gt;150,"",_xlpm.result)),"")</f>
        <v/>
      </c>
      <c r="H24" s="1" t="str" cm="1">
        <f t="array" ref="H24">IFERROR(_xlfn.LET(_xlpm.result,RANK(_xlfn.XLOOKUP($A24,$A$2:$A$22,_xlfn.XLOOKUP(#REF!,$B$1:$I$1,$B$2:$I$22)),$B$2:$I$22),IF(_xlpm.result&gt;150,"",_xlpm.result)),"")</f>
        <v/>
      </c>
      <c r="I24" s="1" t="str" cm="1">
        <f t="array" ref="I24">IFERROR(_xlfn.LET(_xlpm.result,RANK(_xlfn.XLOOKUP($A24,$A$2:$A$22,_xlfn.XLOOKUP(#REF!,$B$1:$I$1,$B$2:$I$22)),$B$2:$I$22),IF(_xlpm.result&gt;150,"",_xlpm.result)),"")</f>
        <v/>
      </c>
      <c r="K24" s="10"/>
    </row>
    <row r="25" spans="1:17" s="24" customFormat="1" x14ac:dyDescent="0.25"/>
    <row r="26" spans="1:17" x14ac:dyDescent="0.25">
      <c r="B26" s="1">
        <f t="shared" ref="B26:I26" si="0">MAX(B27:B49)</f>
        <v>143</v>
      </c>
      <c r="C26" s="1">
        <f t="shared" si="0"/>
        <v>110</v>
      </c>
      <c r="D26" s="1">
        <f t="shared" si="0"/>
        <v>107</v>
      </c>
      <c r="E26" s="1">
        <f t="shared" si="0"/>
        <v>80</v>
      </c>
      <c r="F26" s="1">
        <f t="shared" si="0"/>
        <v>97.999999999999901</v>
      </c>
      <c r="G26" s="1">
        <f t="shared" si="0"/>
        <v>167.99999999999901</v>
      </c>
      <c r="H26" s="1">
        <f t="shared" si="0"/>
        <v>91</v>
      </c>
      <c r="I26" s="1">
        <f t="shared" si="0"/>
        <v>126</v>
      </c>
    </row>
    <row r="27" spans="1:17" x14ac:dyDescent="0.25">
      <c r="A27" t="s">
        <v>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54</v>
      </c>
    </row>
    <row r="28" spans="1:17" x14ac:dyDescent="0.25">
      <c r="A28" t="s">
        <v>26</v>
      </c>
      <c r="B28" s="1" t="str" cm="1">
        <f t="array" ref="B28">_xlfn.LET(_xlpm.result,10*_xlfn.XLOOKUP($A28,$A$2:$A$23,_xlfn.XLOOKUP(B$1,$B$1:$I$1,$B$2:$I$23)),IF(_xlpm.result&lt;0,"",_xlpm.result))</f>
        <v/>
      </c>
      <c r="C28" s="1" t="str" cm="1">
        <f t="array" ref="C28">_xlfn.LET(_xlpm.result,10*_xlfn.XLOOKUP($A28,$A$2:$A$23,_xlfn.XLOOKUP(C$1,$B$1:$I$1,$B$2:$I$23)),IF(_xlpm.result&lt;0,"",_xlpm.result))</f>
        <v/>
      </c>
      <c r="D28" s="1" t="str" cm="1">
        <f t="array" ref="D28">_xlfn.LET(_xlpm.result,10*_xlfn.XLOOKUP($A28,$A$2:$A$23,_xlfn.XLOOKUP(D$1,$B$1:$I$1,$B$2:$I$23)),IF(_xlpm.result&lt;0,"",_xlpm.result))</f>
        <v/>
      </c>
      <c r="E28" s="1" t="str" cm="1">
        <f t="array" ref="E28">_xlfn.LET(_xlpm.result,10*_xlfn.XLOOKUP($A28,$A$2:$A$23,_xlfn.XLOOKUP(E$1,$B$1:$I$1,$B$2:$I$23)),IF(_xlpm.result&lt;0,"",_xlpm.result))</f>
        <v/>
      </c>
      <c r="F28" s="1" t="str" cm="1">
        <f t="array" ref="F28">_xlfn.LET(_xlpm.result,10*_xlfn.XLOOKUP($A28,$A$2:$A$23,_xlfn.XLOOKUP(F$1,$B$1:$I$1,$B$2:$I$23)),IF(_xlpm.result&lt;0,"",_xlpm.result))</f>
        <v/>
      </c>
      <c r="G28" s="1" t="str" cm="1">
        <f t="array" ref="G28">_xlfn.LET(_xlpm.result,10*_xlfn.XLOOKUP($A28,$A$2:$A$23,_xlfn.XLOOKUP(G$1,$B$1:$I$1,$B$2:$I$23)),IF(_xlpm.result&lt;0,"",_xlpm.result))</f>
        <v/>
      </c>
      <c r="H28" s="1" t="str" cm="1">
        <f t="array" ref="H28">_xlfn.LET(_xlpm.result,10*_xlfn.XLOOKUP($A28,$A$2:$A$23,_xlfn.XLOOKUP(H$1,$B$1:$I$1,$B$2:$I$23)),IF(_xlpm.result&lt;0,"",_xlpm.result))</f>
        <v/>
      </c>
      <c r="I28" s="1" t="str" cm="1">
        <f t="array" ref="I28">_xlfn.LET(_xlpm.result,10*_xlfn.XLOOKUP($A28,$A$2:$A$23,_xlfn.XLOOKUP(I$1,$B$1:$I$1,$B$2:$I$23)),IF(_xlpm.result&lt;0,"",_xlpm.result))</f>
        <v/>
      </c>
      <c r="J28" s="10">
        <f t="shared" ref="J28:J38" si="1">MAX(B28:I28)</f>
        <v>0</v>
      </c>
    </row>
    <row r="29" spans="1:17" x14ac:dyDescent="0.25">
      <c r="A29" t="s">
        <v>19</v>
      </c>
      <c r="B29" s="1" t="str" cm="1">
        <f t="array" ref="B29">_xlfn.LET(_xlpm.result,10*_xlfn.XLOOKUP($A29,$A$2:$A$23,_xlfn.XLOOKUP(B$1,$B$1:$I$1,$B$2:$I$23)),IF(_xlpm.result&lt;0,"",_xlpm.result))</f>
        <v/>
      </c>
      <c r="C29" s="1" t="str" cm="1">
        <f t="array" ref="C29">_xlfn.LET(_xlpm.result,10*_xlfn.XLOOKUP($A29,$A$2:$A$23,_xlfn.XLOOKUP(C$1,$B$1:$I$1,$B$2:$I$23)),IF(_xlpm.result&lt;0,"",_xlpm.result))</f>
        <v/>
      </c>
      <c r="D29" s="1" t="str" cm="1">
        <f t="array" ref="D29">_xlfn.LET(_xlpm.result,10*_xlfn.XLOOKUP($A29,$A$2:$A$23,_xlfn.XLOOKUP(D$1,$B$1:$I$1,$B$2:$I$23)),IF(_xlpm.result&lt;0,"",_xlpm.result))</f>
        <v/>
      </c>
      <c r="E29" s="1" t="str" cm="1">
        <f t="array" ref="E29">_xlfn.LET(_xlpm.result,10*_xlfn.XLOOKUP($A29,$A$2:$A$23,_xlfn.XLOOKUP(E$1,$B$1:$I$1,$B$2:$I$23)),IF(_xlpm.result&lt;0,"",_xlpm.result))</f>
        <v/>
      </c>
      <c r="F29" s="1" t="str" cm="1">
        <f t="array" ref="F29">_xlfn.LET(_xlpm.result,10*_xlfn.XLOOKUP($A29,$A$2:$A$23,_xlfn.XLOOKUP(F$1,$B$1:$I$1,$B$2:$I$23)),IF(_xlpm.result&lt;0,"",_xlpm.result))</f>
        <v/>
      </c>
      <c r="G29" s="1" t="str" cm="1">
        <f t="array" ref="G29">_xlfn.LET(_xlpm.result,10*_xlfn.XLOOKUP($A29,$A$2:$A$23,_xlfn.XLOOKUP(G$1,$B$1:$I$1,$B$2:$I$23)),IF(_xlpm.result&lt;0,"",_xlpm.result))</f>
        <v/>
      </c>
      <c r="H29" s="1" t="str" cm="1">
        <f t="array" ref="H29">_xlfn.LET(_xlpm.result,10*_xlfn.XLOOKUP($A29,$A$2:$A$23,_xlfn.XLOOKUP(H$1,$B$1:$I$1,$B$2:$I$23)),IF(_xlpm.result&lt;0,"",_xlpm.result))</f>
        <v/>
      </c>
      <c r="I29" s="1" t="str" cm="1">
        <f t="array" ref="I29">_xlfn.LET(_xlpm.result,10*_xlfn.XLOOKUP($A29,$A$2:$A$23,_xlfn.XLOOKUP(I$1,$B$1:$I$1,$B$2:$I$23)),IF(_xlpm.result&lt;0,"",_xlpm.result))</f>
        <v/>
      </c>
      <c r="J29" s="10">
        <f t="shared" si="1"/>
        <v>0</v>
      </c>
      <c r="Q29" s="28"/>
    </row>
    <row r="30" spans="1:17" s="16" customFormat="1" x14ac:dyDescent="0.25">
      <c r="A30" t="s">
        <v>39</v>
      </c>
      <c r="B30" s="1" t="str" cm="1">
        <f t="array" ref="B30">_xlfn.LET(_xlpm.result,10*_xlfn.XLOOKUP($A30,$A$2:$A$23,_xlfn.XLOOKUP(B$1,$B$1:$I$1,$B$2:$I$23)),IF(_xlpm.result&lt;0,"",_xlpm.result))</f>
        <v/>
      </c>
      <c r="C30" s="1" t="str" cm="1">
        <f t="array" ref="C30">_xlfn.LET(_xlpm.result,10*_xlfn.XLOOKUP($A30,$A$2:$A$23,_xlfn.XLOOKUP(C$1,$B$1:$I$1,$B$2:$I$23)),IF(_xlpm.result&lt;0,"",_xlpm.result))</f>
        <v/>
      </c>
      <c r="D30" s="1" t="str" cm="1">
        <f t="array" ref="D30">_xlfn.LET(_xlpm.result,10*_xlfn.XLOOKUP($A30,$A$2:$A$23,_xlfn.XLOOKUP(D$1,$B$1:$I$1,$B$2:$I$23)),IF(_xlpm.result&lt;0,"",_xlpm.result))</f>
        <v/>
      </c>
      <c r="E30" s="1" t="str" cm="1">
        <f t="array" ref="E30">_xlfn.LET(_xlpm.result,10*_xlfn.XLOOKUP($A30,$A$2:$A$23,_xlfn.XLOOKUP(E$1,$B$1:$I$1,$B$2:$I$23)),IF(_xlpm.result&lt;0,"",_xlpm.result))</f>
        <v/>
      </c>
      <c r="F30" s="1" t="str" cm="1">
        <f t="array" ref="F30">_xlfn.LET(_xlpm.result,10*_xlfn.XLOOKUP($A30,$A$2:$A$23,_xlfn.XLOOKUP(F$1,$B$1:$I$1,$B$2:$I$23)),IF(_xlpm.result&lt;0,"",_xlpm.result))</f>
        <v/>
      </c>
      <c r="G30" s="1" t="str" cm="1">
        <f t="array" ref="G30">_xlfn.LET(_xlpm.result,10*_xlfn.XLOOKUP($A30,$A$2:$A$23,_xlfn.XLOOKUP(G$1,$B$1:$I$1,$B$2:$I$23)),IF(_xlpm.result&lt;0,"",_xlpm.result))</f>
        <v/>
      </c>
      <c r="H30" s="1" t="str" cm="1">
        <f t="array" ref="H30">_xlfn.LET(_xlpm.result,10*_xlfn.XLOOKUP($A30,$A$2:$A$23,_xlfn.XLOOKUP(H$1,$B$1:$I$1,$B$2:$I$23)),IF(_xlpm.result&lt;0,"",_xlpm.result))</f>
        <v/>
      </c>
      <c r="I30" s="1" t="str" cm="1">
        <f t="array" ref="I30">_xlfn.LET(_xlpm.result,10*_xlfn.XLOOKUP($A30,$A$2:$A$23,_xlfn.XLOOKUP(I$1,$B$1:$I$1,$B$2:$I$23)),IF(_xlpm.result&lt;0,"",_xlpm.result))</f>
        <v/>
      </c>
      <c r="J30" s="10">
        <f t="shared" si="1"/>
        <v>0</v>
      </c>
      <c r="P30"/>
      <c r="Q30" s="28"/>
    </row>
    <row r="31" spans="1:17" s="16" customFormat="1" x14ac:dyDescent="0.25">
      <c r="A31" t="s">
        <v>41</v>
      </c>
      <c r="B31" s="1" cm="1">
        <f t="array" ref="B31">_xlfn.LET(_xlpm.result,10*_xlfn.XLOOKUP($A31,$A$2:$A$23,_xlfn.XLOOKUP(B$1,$B$1:$I$1,$B$2:$I$23)),IF(_xlpm.result&lt;0,"",_xlpm.result))</f>
        <v>0</v>
      </c>
      <c r="C31" s="1" t="str" cm="1">
        <f t="array" ref="C31">_xlfn.LET(_xlpm.result,10*_xlfn.XLOOKUP($A31,$A$2:$A$23,_xlfn.XLOOKUP(C$1,$B$1:$I$1,$B$2:$I$23)),IF(_xlpm.result&lt;0,"",_xlpm.result))</f>
        <v/>
      </c>
      <c r="D31" s="1" t="str" cm="1">
        <f t="array" ref="D31">_xlfn.LET(_xlpm.result,10*_xlfn.XLOOKUP($A31,$A$2:$A$23,_xlfn.XLOOKUP(D$1,$B$1:$I$1,$B$2:$I$23)),IF(_xlpm.result&lt;0,"",_xlpm.result))</f>
        <v/>
      </c>
      <c r="E31" s="1" t="str" cm="1">
        <f t="array" ref="E31">_xlfn.LET(_xlpm.result,10*_xlfn.XLOOKUP($A31,$A$2:$A$23,_xlfn.XLOOKUP(E$1,$B$1:$I$1,$B$2:$I$23)),IF(_xlpm.result&lt;0,"",_xlpm.result))</f>
        <v/>
      </c>
      <c r="F31" s="1" t="str" cm="1">
        <f t="array" ref="F31">_xlfn.LET(_xlpm.result,10*_xlfn.XLOOKUP($A31,$A$2:$A$23,_xlfn.XLOOKUP(F$1,$B$1:$I$1,$B$2:$I$23)),IF(_xlpm.result&lt;0,"",_xlpm.result))</f>
        <v/>
      </c>
      <c r="G31" s="1" cm="1">
        <f t="array" ref="G31">_xlfn.LET(_xlpm.result,10*_xlfn.XLOOKUP($A31,$A$2:$A$23,_xlfn.XLOOKUP(G$1,$B$1:$I$1,$B$2:$I$23)),IF(_xlpm.result&lt;0,"",_xlpm.result))</f>
        <v>2.9999999999999898</v>
      </c>
      <c r="H31" s="1" cm="1">
        <f t="array" ref="H31">_xlfn.LET(_xlpm.result,10*_xlfn.XLOOKUP($A31,$A$2:$A$23,_xlfn.XLOOKUP(H$1,$B$1:$I$1,$B$2:$I$23)),IF(_xlpm.result&lt;0,"",_xlpm.result))</f>
        <v>26.999999999999901</v>
      </c>
      <c r="I31" s="1" t="str" cm="1">
        <f t="array" ref="I31">_xlfn.LET(_xlpm.result,10*_xlfn.XLOOKUP($A31,$A$2:$A$23,_xlfn.XLOOKUP(I$1,$B$1:$I$1,$B$2:$I$23)),IF(_xlpm.result&lt;0,"",_xlpm.result))</f>
        <v/>
      </c>
      <c r="J31" s="10">
        <f t="shared" si="1"/>
        <v>26.999999999999901</v>
      </c>
      <c r="P31"/>
      <c r="Q31" s="28"/>
    </row>
    <row r="32" spans="1:17" x14ac:dyDescent="0.25">
      <c r="A32" t="s">
        <v>50</v>
      </c>
      <c r="B32" s="1" cm="1">
        <f t="array" ref="B32">_xlfn.LET(_xlpm.result,10*_xlfn.XLOOKUP($A32,$A$2:$A$23,_xlfn.XLOOKUP(B$1,$B$1:$I$1,$B$2:$I$23)),IF(_xlpm.result&lt;0,"",_xlpm.result))</f>
        <v>7</v>
      </c>
      <c r="C32" s="1" cm="1">
        <f t="array" ref="C32">_xlfn.LET(_xlpm.result,10*_xlfn.XLOOKUP($A32,$A$2:$A$23,_xlfn.XLOOKUP(C$1,$B$1:$I$1,$B$2:$I$23)),IF(_xlpm.result&lt;0,"",_xlpm.result))</f>
        <v>0</v>
      </c>
      <c r="D32" s="1" t="str" cm="1">
        <f t="array" ref="D32">_xlfn.LET(_xlpm.result,10*_xlfn.XLOOKUP($A32,$A$2:$A$23,_xlfn.XLOOKUP(D$1,$B$1:$I$1,$B$2:$I$23)),IF(_xlpm.result&lt;0,"",_xlpm.result))</f>
        <v/>
      </c>
      <c r="E32" s="1" cm="1">
        <f t="array" ref="E32">_xlfn.LET(_xlpm.result,10*_xlfn.XLOOKUP($A32,$A$2:$A$23,_xlfn.XLOOKUP(E$1,$B$1:$I$1,$B$2:$I$23)),IF(_xlpm.result&lt;0,"",_xlpm.result))</f>
        <v>3</v>
      </c>
      <c r="F32" s="1" t="str" cm="1">
        <f t="array" ref="F32">_xlfn.LET(_xlpm.result,10*_xlfn.XLOOKUP($A32,$A$2:$A$23,_xlfn.XLOOKUP(F$1,$B$1:$I$1,$B$2:$I$23)),IF(_xlpm.result&lt;0,"",_xlpm.result))</f>
        <v/>
      </c>
      <c r="G32" s="1" t="str" cm="1">
        <f t="array" ref="G32">_xlfn.LET(_xlpm.result,10*_xlfn.XLOOKUP($A32,$A$2:$A$23,_xlfn.XLOOKUP(G$1,$B$1:$I$1,$B$2:$I$23)),IF(_xlpm.result&lt;0,"",_xlpm.result))</f>
        <v/>
      </c>
      <c r="H32" s="1" t="str" cm="1">
        <f t="array" ref="H32">_xlfn.LET(_xlpm.result,10*_xlfn.XLOOKUP($A32,$A$2:$A$23,_xlfn.XLOOKUP(H$1,$B$1:$I$1,$B$2:$I$23)),IF(_xlpm.result&lt;0,"",_xlpm.result))</f>
        <v/>
      </c>
      <c r="I32" s="1" t="str" cm="1">
        <f t="array" ref="I32">_xlfn.LET(_xlpm.result,10*_xlfn.XLOOKUP($A32,$A$2:$A$23,_xlfn.XLOOKUP(I$1,$B$1:$I$1,$B$2:$I$23)),IF(_xlpm.result&lt;0,"",_xlpm.result))</f>
        <v/>
      </c>
      <c r="J32" s="10">
        <f t="shared" si="1"/>
        <v>7</v>
      </c>
      <c r="Q32" s="28"/>
    </row>
    <row r="33" spans="1:17" x14ac:dyDescent="0.25">
      <c r="A33" t="s">
        <v>49</v>
      </c>
      <c r="B33" s="1" t="str" cm="1">
        <f t="array" ref="B33">_xlfn.LET(_xlpm.result,10*_xlfn.XLOOKUP($A33,$A$2:$A$23,_xlfn.XLOOKUP(B$1,$B$1:$I$1,$B$2:$I$23)),IF(_xlpm.result&lt;0,"",_xlpm.result))</f>
        <v/>
      </c>
      <c r="C33" s="1" t="str" cm="1">
        <f t="array" ref="C33">_xlfn.LET(_xlpm.result,10*_xlfn.XLOOKUP($A33,$A$2:$A$23,_xlfn.XLOOKUP(C$1,$B$1:$I$1,$B$2:$I$23)),IF(_xlpm.result&lt;0,"",_xlpm.result))</f>
        <v/>
      </c>
      <c r="D33" s="1" t="str" cm="1">
        <f t="array" ref="D33">_xlfn.LET(_xlpm.result,10*_xlfn.XLOOKUP($A33,$A$2:$A$23,_xlfn.XLOOKUP(D$1,$B$1:$I$1,$B$2:$I$23)),IF(_xlpm.result&lt;0,"",_xlpm.result))</f>
        <v/>
      </c>
      <c r="E33" s="1" cm="1">
        <f t="array" ref="E33">_xlfn.LET(_xlpm.result,10*_xlfn.XLOOKUP($A33,$A$2:$A$23,_xlfn.XLOOKUP(E$1,$B$1:$I$1,$B$2:$I$23)),IF(_xlpm.result&lt;0,"",_xlpm.result))</f>
        <v>9</v>
      </c>
      <c r="F33" s="1" t="str" cm="1">
        <f t="array" ref="F33">_xlfn.LET(_xlpm.result,10*_xlfn.XLOOKUP($A33,$A$2:$A$23,_xlfn.XLOOKUP(F$1,$B$1:$I$1,$B$2:$I$23)),IF(_xlpm.result&lt;0,"",_xlpm.result))</f>
        <v/>
      </c>
      <c r="G33" s="1" t="str" cm="1">
        <f t="array" ref="G33">_xlfn.LET(_xlpm.result,10*_xlfn.XLOOKUP($A33,$A$2:$A$23,_xlfn.XLOOKUP(G$1,$B$1:$I$1,$B$2:$I$23)),IF(_xlpm.result&lt;0,"",_xlpm.result))</f>
        <v/>
      </c>
      <c r="H33" s="1" t="str" cm="1">
        <f t="array" ref="H33">_xlfn.LET(_xlpm.result,10*_xlfn.XLOOKUP($A33,$A$2:$A$23,_xlfn.XLOOKUP(H$1,$B$1:$I$1,$B$2:$I$23)),IF(_xlpm.result&lt;0,"",_xlpm.result))</f>
        <v/>
      </c>
      <c r="I33" s="1" t="str" cm="1">
        <f t="array" ref="I33">_xlfn.LET(_xlpm.result,10*_xlfn.XLOOKUP($A33,$A$2:$A$23,_xlfn.XLOOKUP(I$1,$B$1:$I$1,$B$2:$I$23)),IF(_xlpm.result&lt;0,"",_xlpm.result))</f>
        <v/>
      </c>
      <c r="J33" s="10">
        <f t="shared" si="1"/>
        <v>9</v>
      </c>
      <c r="Q33" s="1"/>
    </row>
    <row r="34" spans="1:17" x14ac:dyDescent="0.25">
      <c r="A34" t="s">
        <v>43</v>
      </c>
      <c r="B34" s="1" t="str" cm="1">
        <f t="array" ref="B34">_xlfn.LET(_xlpm.result,10*_xlfn.XLOOKUP($A34,$A$2:$A$23,_xlfn.XLOOKUP(B$1,$B$1:$I$1,$B$2:$I$23)),IF(_xlpm.result&lt;0,"",_xlpm.result))</f>
        <v/>
      </c>
      <c r="C34" s="1" t="str" cm="1">
        <f t="array" ref="C34">_xlfn.LET(_xlpm.result,10*_xlfn.XLOOKUP($A34,$A$2:$A$23,_xlfn.XLOOKUP(C$1,$B$1:$I$1,$B$2:$I$23)),IF(_xlpm.result&lt;0,"",_xlpm.result))</f>
        <v/>
      </c>
      <c r="D34" s="1" t="str" cm="1">
        <f t="array" ref="D34">_xlfn.LET(_xlpm.result,10*_xlfn.XLOOKUP($A34,$A$2:$A$23,_xlfn.XLOOKUP(D$1,$B$1:$I$1,$B$2:$I$23)),IF(_xlpm.result&lt;0,"",_xlpm.result))</f>
        <v/>
      </c>
      <c r="E34" s="1" t="str" cm="1">
        <f t="array" ref="E34">_xlfn.LET(_xlpm.result,10*_xlfn.XLOOKUP($A34,$A$2:$A$23,_xlfn.XLOOKUP(E$1,$B$1:$I$1,$B$2:$I$23)),IF(_xlpm.result&lt;0,"",_xlpm.result))</f>
        <v/>
      </c>
      <c r="F34" s="1" t="str" cm="1">
        <f t="array" ref="F34">_xlfn.LET(_xlpm.result,10*_xlfn.XLOOKUP($A34,$A$2:$A$23,_xlfn.XLOOKUP(F$1,$B$1:$I$1,$B$2:$I$23)),IF(_xlpm.result&lt;0,"",_xlpm.result))</f>
        <v/>
      </c>
      <c r="G34" s="1" t="str" cm="1">
        <f t="array" ref="G34">_xlfn.LET(_xlpm.result,10*_xlfn.XLOOKUP($A34,$A$2:$A$23,_xlfn.XLOOKUP(G$1,$B$1:$I$1,$B$2:$I$23)),IF(_xlpm.result&lt;0,"",_xlpm.result))</f>
        <v/>
      </c>
      <c r="H34" s="1" t="str" cm="1">
        <f t="array" ref="H34">_xlfn.LET(_xlpm.result,10*_xlfn.XLOOKUP($A34,$A$2:$A$23,_xlfn.XLOOKUP(H$1,$B$1:$I$1,$B$2:$I$23)),IF(_xlpm.result&lt;0,"",_xlpm.result))</f>
        <v/>
      </c>
      <c r="I34" s="1" t="str" cm="1">
        <f t="array" ref="I34">_xlfn.LET(_xlpm.result,10*_xlfn.XLOOKUP($A34,$A$2:$A$23,_xlfn.XLOOKUP(I$1,$B$1:$I$1,$B$2:$I$23)),IF(_xlpm.result&lt;0,"",_xlpm.result))</f>
        <v/>
      </c>
      <c r="J34" s="10">
        <f t="shared" si="1"/>
        <v>0</v>
      </c>
      <c r="Q34" s="1"/>
    </row>
    <row r="35" spans="1:17" x14ac:dyDescent="0.25">
      <c r="A35" t="s">
        <v>38</v>
      </c>
      <c r="B35" s="1" t="str" cm="1">
        <f t="array" ref="B35">_xlfn.LET(_xlpm.result,10*_xlfn.XLOOKUP($A35,$A$2:$A$23,_xlfn.XLOOKUP(B$1,$B$1:$I$1,$B$2:$I$23)),IF(_xlpm.result&lt;0,"",_xlpm.result))</f>
        <v/>
      </c>
      <c r="C35" s="1" cm="1">
        <f t="array" ref="C35">_xlfn.LET(_xlpm.result,10*_xlfn.XLOOKUP($A35,$A$2:$A$23,_xlfn.XLOOKUP(C$1,$B$1:$I$1,$B$2:$I$23)),IF(_xlpm.result&lt;0,"",_xlpm.result))</f>
        <v>0</v>
      </c>
      <c r="D35" s="1" cm="1">
        <f t="array" ref="D35">_xlfn.LET(_xlpm.result,10*_xlfn.XLOOKUP($A35,$A$2:$A$23,_xlfn.XLOOKUP(D$1,$B$1:$I$1,$B$2:$I$23)),IF(_xlpm.result&lt;0,"",_xlpm.result))</f>
        <v>34</v>
      </c>
      <c r="E35" s="1" cm="1">
        <f t="array" ref="E35">_xlfn.LET(_xlpm.result,10*_xlfn.XLOOKUP($A35,$A$2:$A$23,_xlfn.XLOOKUP(E$1,$B$1:$I$1,$B$2:$I$23)),IF(_xlpm.result&lt;0,"",_xlpm.result))</f>
        <v>36.999999999999901</v>
      </c>
      <c r="F35" s="1" t="str" cm="1">
        <f t="array" ref="F35">_xlfn.LET(_xlpm.result,10*_xlfn.XLOOKUP($A35,$A$2:$A$23,_xlfn.XLOOKUP(F$1,$B$1:$I$1,$B$2:$I$23)),IF(_xlpm.result&lt;0,"",_xlpm.result))</f>
        <v/>
      </c>
      <c r="G35" s="1" cm="1">
        <f t="array" ref="G35">_xlfn.LET(_xlpm.result,10*_xlfn.XLOOKUP($A35,$A$2:$A$23,_xlfn.XLOOKUP(G$1,$B$1:$I$1,$B$2:$I$23)),IF(_xlpm.result&lt;0,"",_xlpm.result))</f>
        <v>1</v>
      </c>
      <c r="H35" s="1" t="str" cm="1">
        <f t="array" ref="H35">_xlfn.LET(_xlpm.result,10*_xlfn.XLOOKUP($A35,$A$2:$A$23,_xlfn.XLOOKUP(H$1,$B$1:$I$1,$B$2:$I$23)),IF(_xlpm.result&lt;0,"",_xlpm.result))</f>
        <v/>
      </c>
      <c r="I35" s="1" t="str" cm="1">
        <f t="array" ref="I35">_xlfn.LET(_xlpm.result,10*_xlfn.XLOOKUP($A35,$A$2:$A$23,_xlfn.XLOOKUP(I$1,$B$1:$I$1,$B$2:$I$23)),IF(_xlpm.result&lt;0,"",_xlpm.result))</f>
        <v/>
      </c>
      <c r="J35" s="10">
        <f t="shared" si="1"/>
        <v>36.999999999999901</v>
      </c>
      <c r="Q35" s="1"/>
    </row>
    <row r="36" spans="1:17" s="16" customFormat="1" x14ac:dyDescent="0.25">
      <c r="A36" t="s">
        <v>23</v>
      </c>
      <c r="B36" s="1" t="str" cm="1">
        <f t="array" ref="B36">_xlfn.LET(_xlpm.result,10*_xlfn.XLOOKUP($A36,$A$2:$A$23,_xlfn.XLOOKUP(B$1,$B$1:$I$1,$B$2:$I$23)),IF(_xlpm.result&lt;0,"",_xlpm.result))</f>
        <v/>
      </c>
      <c r="C36" s="1" t="str" cm="1">
        <f t="array" ref="C36">_xlfn.LET(_xlpm.result,10*_xlfn.XLOOKUP($A36,$A$2:$A$23,_xlfn.XLOOKUP(C$1,$B$1:$I$1,$B$2:$I$23)),IF(_xlpm.result&lt;0,"",_xlpm.result))</f>
        <v/>
      </c>
      <c r="D36" s="1" t="str" cm="1">
        <f t="array" ref="D36">_xlfn.LET(_xlpm.result,10*_xlfn.XLOOKUP($A36,$A$2:$A$23,_xlfn.XLOOKUP(D$1,$B$1:$I$1,$B$2:$I$23)),IF(_xlpm.result&lt;0,"",_xlpm.result))</f>
        <v/>
      </c>
      <c r="E36" s="1" cm="1">
        <f t="array" ref="E36">_xlfn.LET(_xlpm.result,10*_xlfn.XLOOKUP($A36,$A$2:$A$23,_xlfn.XLOOKUP(E$1,$B$1:$I$1,$B$2:$I$23)),IF(_xlpm.result&lt;0,"",_xlpm.result))</f>
        <v>0</v>
      </c>
      <c r="F36" s="1" cm="1">
        <f t="array" ref="F36">_xlfn.LET(_xlpm.result,10*_xlfn.XLOOKUP($A36,$A$2:$A$23,_xlfn.XLOOKUP(F$1,$B$1:$I$1,$B$2:$I$23)),IF(_xlpm.result&lt;0,"",_xlpm.result))</f>
        <v>17</v>
      </c>
      <c r="G36" s="1" t="str" cm="1">
        <f t="array" ref="G36">_xlfn.LET(_xlpm.result,10*_xlfn.XLOOKUP($A36,$A$2:$A$23,_xlfn.XLOOKUP(G$1,$B$1:$I$1,$B$2:$I$23)),IF(_xlpm.result&lt;0,"",_xlpm.result))</f>
        <v/>
      </c>
      <c r="H36" s="1" t="str" cm="1">
        <f t="array" ref="H36">_xlfn.LET(_xlpm.result,10*_xlfn.XLOOKUP($A36,$A$2:$A$23,_xlfn.XLOOKUP(H$1,$B$1:$I$1,$B$2:$I$23)),IF(_xlpm.result&lt;0,"",_xlpm.result))</f>
        <v/>
      </c>
      <c r="I36" s="1" t="str" cm="1">
        <f t="array" ref="I36">_xlfn.LET(_xlpm.result,10*_xlfn.XLOOKUP($A36,$A$2:$A$23,_xlfn.XLOOKUP(I$1,$B$1:$I$1,$B$2:$I$23)),IF(_xlpm.result&lt;0,"",_xlpm.result))</f>
        <v/>
      </c>
      <c r="J36" s="10">
        <f t="shared" si="1"/>
        <v>17</v>
      </c>
    </row>
    <row r="37" spans="1:17" s="16" customFormat="1" x14ac:dyDescent="0.25">
      <c r="A37" t="s">
        <v>42</v>
      </c>
      <c r="B37" s="1" t="str" cm="1">
        <f t="array" ref="B37">_xlfn.LET(_xlpm.result,10*_xlfn.XLOOKUP($A37,$A$2:$A$23,_xlfn.XLOOKUP(B$1,$B$1:$I$1,$B$2:$I$23)),IF(_xlpm.result&lt;0,"",_xlpm.result))</f>
        <v/>
      </c>
      <c r="C37" s="1" t="str" cm="1">
        <f t="array" ref="C37">_xlfn.LET(_xlpm.result,10*_xlfn.XLOOKUP($A37,$A$2:$A$23,_xlfn.XLOOKUP(C$1,$B$1:$I$1,$B$2:$I$23)),IF(_xlpm.result&lt;0,"",_xlpm.result))</f>
        <v/>
      </c>
      <c r="D37" s="1" t="str" cm="1">
        <f t="array" ref="D37">_xlfn.LET(_xlpm.result,10*_xlfn.XLOOKUP($A37,$A$2:$A$23,_xlfn.XLOOKUP(D$1,$B$1:$I$1,$B$2:$I$23)),IF(_xlpm.result&lt;0,"",_xlpm.result))</f>
        <v/>
      </c>
      <c r="E37" s="1" cm="1">
        <f t="array" ref="E37">_xlfn.LET(_xlpm.result,10*_xlfn.XLOOKUP($A37,$A$2:$A$23,_xlfn.XLOOKUP(E$1,$B$1:$I$1,$B$2:$I$23)),IF(_xlpm.result&lt;0,"",_xlpm.result))</f>
        <v>0</v>
      </c>
      <c r="F37" s="1" cm="1">
        <f t="array" ref="F37">_xlfn.LET(_xlpm.result,10*_xlfn.XLOOKUP($A37,$A$2:$A$23,_xlfn.XLOOKUP(F$1,$B$1:$I$1,$B$2:$I$23)),IF(_xlpm.result&lt;0,"",_xlpm.result))</f>
        <v>8.9999999999999893</v>
      </c>
      <c r="G37" s="1" cm="1">
        <f t="array" ref="G37">_xlfn.LET(_xlpm.result,10*_xlfn.XLOOKUP($A37,$A$2:$A$23,_xlfn.XLOOKUP(G$1,$B$1:$I$1,$B$2:$I$23)),IF(_xlpm.result&lt;0,"",_xlpm.result))</f>
        <v>12</v>
      </c>
      <c r="H37" s="1" cm="1">
        <f t="array" ref="H37">_xlfn.LET(_xlpm.result,10*_xlfn.XLOOKUP($A37,$A$2:$A$23,_xlfn.XLOOKUP(H$1,$B$1:$I$1,$B$2:$I$23)),IF(_xlpm.result&lt;0,"",_xlpm.result))</f>
        <v>35</v>
      </c>
      <c r="I37" s="1" t="str" cm="1">
        <f t="array" ref="I37">_xlfn.LET(_xlpm.result,10*_xlfn.XLOOKUP($A37,$A$2:$A$23,_xlfn.XLOOKUP(I$1,$B$1:$I$1,$B$2:$I$23)),IF(_xlpm.result&lt;0,"",_xlpm.result))</f>
        <v/>
      </c>
      <c r="J37" s="10">
        <f t="shared" si="1"/>
        <v>35</v>
      </c>
    </row>
    <row r="38" spans="1:17" x14ac:dyDescent="0.25">
      <c r="A38" t="s">
        <v>35</v>
      </c>
      <c r="B38" s="1" t="str" cm="1">
        <f t="array" ref="B38">_xlfn.LET(_xlpm.result,10*_xlfn.XLOOKUP($A38,$A$2:$A$23,_xlfn.XLOOKUP(B$1,$B$1:$I$1,$B$2:$I$23)),IF(_xlpm.result&lt;0,"",_xlpm.result))</f>
        <v/>
      </c>
      <c r="C38" s="1" cm="1">
        <f t="array" ref="C38">_xlfn.LET(_xlpm.result,10*_xlfn.XLOOKUP($A38,$A$2:$A$23,_xlfn.XLOOKUP(C$1,$B$1:$I$1,$B$2:$I$23)),IF(_xlpm.result&lt;0,"",_xlpm.result))</f>
        <v>51</v>
      </c>
      <c r="D38" s="1" t="str" cm="1">
        <f t="array" ref="D38">_xlfn.LET(_xlpm.result,10*_xlfn.XLOOKUP($A38,$A$2:$A$23,_xlfn.XLOOKUP(D$1,$B$1:$I$1,$B$2:$I$23)),IF(_xlpm.result&lt;0,"",_xlpm.result))</f>
        <v/>
      </c>
      <c r="E38" s="1" t="str" cm="1">
        <f t="array" ref="E38">_xlfn.LET(_xlpm.result,10*_xlfn.XLOOKUP($A38,$A$2:$A$23,_xlfn.XLOOKUP(E$1,$B$1:$I$1,$B$2:$I$23)),IF(_xlpm.result&lt;0,"",_xlpm.result))</f>
        <v/>
      </c>
      <c r="F38" s="1" t="str" cm="1">
        <f t="array" ref="F38">_xlfn.LET(_xlpm.result,10*_xlfn.XLOOKUP($A38,$A$2:$A$23,_xlfn.XLOOKUP(F$1,$B$1:$I$1,$B$2:$I$23)),IF(_xlpm.result&lt;0,"",_xlpm.result))</f>
        <v/>
      </c>
      <c r="G38" s="1" t="str" cm="1">
        <f t="array" ref="G38">_xlfn.LET(_xlpm.result,10*_xlfn.XLOOKUP($A38,$A$2:$A$23,_xlfn.XLOOKUP(G$1,$B$1:$I$1,$B$2:$I$23)),IF(_xlpm.result&lt;0,"",_xlpm.result))</f>
        <v/>
      </c>
      <c r="H38" s="1" t="str" cm="1">
        <f t="array" ref="H38">_xlfn.LET(_xlpm.result,10*_xlfn.XLOOKUP($A38,$A$2:$A$23,_xlfn.XLOOKUP(H$1,$B$1:$I$1,$B$2:$I$23)),IF(_xlpm.result&lt;0,"",_xlpm.result))</f>
        <v/>
      </c>
      <c r="I38" s="1" t="str" cm="1">
        <f t="array" ref="I38">_xlfn.LET(_xlpm.result,10*_xlfn.XLOOKUP($A38,$A$2:$A$23,_xlfn.XLOOKUP(I$1,$B$1:$I$1,$B$2:$I$23)),IF(_xlpm.result&lt;0,"",_xlpm.result))</f>
        <v/>
      </c>
      <c r="J38" s="10">
        <f t="shared" si="1"/>
        <v>51</v>
      </c>
    </row>
    <row r="39" spans="1:17" s="16" customFormat="1" x14ac:dyDescent="0.25">
      <c r="A39" t="s">
        <v>20</v>
      </c>
      <c r="B39" s="1" cm="1">
        <f t="array" ref="B39">_xlfn.LET(_xlpm.result,10*_xlfn.XLOOKUP($A39,$A$2:$A$23,_xlfn.XLOOKUP(B$1,$B$1:$I$1,$B$2:$I$23)),IF(_xlpm.result&lt;0,"",_xlpm.result))</f>
        <v>19</v>
      </c>
      <c r="C39" s="1" cm="1">
        <f t="array" ref="C39">_xlfn.LET(_xlpm.result,10*_xlfn.XLOOKUP($A39,$A$2:$A$23,_xlfn.XLOOKUP(C$1,$B$1:$I$1,$B$2:$I$23)),IF(_xlpm.result&lt;0,"",_xlpm.result))</f>
        <v>36</v>
      </c>
      <c r="D39" s="1" cm="1">
        <f t="array" ref="D39">_xlfn.LET(_xlpm.result,10*_xlfn.XLOOKUP($A39,$A$2:$A$23,_xlfn.XLOOKUP(D$1,$B$1:$I$1,$B$2:$I$23)),IF(_xlpm.result&lt;0,"",_xlpm.result))</f>
        <v>39</v>
      </c>
      <c r="E39" s="1" t="str" cm="1">
        <f t="array" ref="E39">_xlfn.LET(_xlpm.result,10*_xlfn.XLOOKUP($A39,$A$2:$A$23,_xlfn.XLOOKUP(E$1,$B$1:$I$1,$B$2:$I$23)),IF(_xlpm.result&lt;0,"",_xlpm.result))</f>
        <v/>
      </c>
      <c r="F39" s="1" t="str" cm="1">
        <f t="array" ref="F39">_xlfn.LET(_xlpm.result,10*_xlfn.XLOOKUP($A39,$A$2:$A$23,_xlfn.XLOOKUP(F$1,$B$1:$I$1,$B$2:$I$23)),IF(_xlpm.result&lt;0,"",_xlpm.result))</f>
        <v/>
      </c>
      <c r="G39" s="1" cm="1">
        <f t="array" ref="G39">_xlfn.LET(_xlpm.result,10*_xlfn.XLOOKUP($A39,$A$2:$A$23,_xlfn.XLOOKUP(G$1,$B$1:$I$1,$B$2:$I$23)),IF(_xlpm.result&lt;0,"",_xlpm.result))</f>
        <v>8</v>
      </c>
      <c r="H39" s="1" t="str" cm="1">
        <f t="array" ref="H39">_xlfn.LET(_xlpm.result,10*_xlfn.XLOOKUP($A39,$A$2:$A$23,_xlfn.XLOOKUP(H$1,$B$1:$I$1,$B$2:$I$23)),IF(_xlpm.result&lt;0,"",_xlpm.result))</f>
        <v/>
      </c>
      <c r="I39" s="1" cm="1">
        <f t="array" ref="I39">_xlfn.LET(_xlpm.result,10*_xlfn.XLOOKUP($A39,$A$2:$A$23,_xlfn.XLOOKUP(I$1,$B$1:$I$1,$B$2:$I$23)),IF(_xlpm.result&lt;0,"",_xlpm.result))</f>
        <v>36</v>
      </c>
      <c r="J39" s="10">
        <f t="shared" ref="J39:J49" si="2">MAX(B39:I39)</f>
        <v>39</v>
      </c>
    </row>
    <row r="40" spans="1:17" x14ac:dyDescent="0.25">
      <c r="A40" t="s">
        <v>27</v>
      </c>
      <c r="B40" s="1" cm="1">
        <f t="array" ref="B40">_xlfn.LET(_xlpm.result,10*_xlfn.XLOOKUP($A40,$A$2:$A$23,_xlfn.XLOOKUP(B$1,$B$1:$I$1,$B$2:$I$23)),IF(_xlpm.result&lt;0,"",_xlpm.result))</f>
        <v>48</v>
      </c>
      <c r="C40" s="1" t="str" cm="1">
        <f t="array" ref="C40">_xlfn.LET(_xlpm.result,10*_xlfn.XLOOKUP($A40,$A$2:$A$23,_xlfn.XLOOKUP(C$1,$B$1:$I$1,$B$2:$I$23)),IF(_xlpm.result&lt;0,"",_xlpm.result))</f>
        <v/>
      </c>
      <c r="D40" s="1" t="str" cm="1">
        <f t="array" ref="D40">_xlfn.LET(_xlpm.result,10*_xlfn.XLOOKUP($A40,$A$2:$A$23,_xlfn.XLOOKUP(D$1,$B$1:$I$1,$B$2:$I$23)),IF(_xlpm.result&lt;0,"",_xlpm.result))</f>
        <v/>
      </c>
      <c r="E40" s="1" t="str" cm="1">
        <f t="array" ref="E40">_xlfn.LET(_xlpm.result,10*_xlfn.XLOOKUP($A40,$A$2:$A$23,_xlfn.XLOOKUP(E$1,$B$1:$I$1,$B$2:$I$23)),IF(_xlpm.result&lt;0,"",_xlpm.result))</f>
        <v/>
      </c>
      <c r="F40" s="1" cm="1">
        <f t="array" ref="F40">_xlfn.LET(_xlpm.result,10*_xlfn.XLOOKUP($A40,$A$2:$A$23,_xlfn.XLOOKUP(F$1,$B$1:$I$1,$B$2:$I$23)),IF(_xlpm.result&lt;0,"",_xlpm.result))</f>
        <v>25</v>
      </c>
      <c r="G40" s="1" t="str" cm="1">
        <f t="array" ref="G40">_xlfn.LET(_xlpm.result,10*_xlfn.XLOOKUP($A40,$A$2:$A$23,_xlfn.XLOOKUP(G$1,$B$1:$I$1,$B$2:$I$23)),IF(_xlpm.result&lt;0,"",_xlpm.result))</f>
        <v/>
      </c>
      <c r="H40" s="1" cm="1">
        <f t="array" ref="H40">_xlfn.LET(_xlpm.result,10*_xlfn.XLOOKUP($A40,$A$2:$A$23,_xlfn.XLOOKUP(H$1,$B$1:$I$1,$B$2:$I$23)),IF(_xlpm.result&lt;0,"",_xlpm.result))</f>
        <v>21.999999999999901</v>
      </c>
      <c r="I40" s="1" cm="1">
        <f t="array" ref="I40">_xlfn.LET(_xlpm.result,10*_xlfn.XLOOKUP($A40,$A$2:$A$23,_xlfn.XLOOKUP(I$1,$B$1:$I$1,$B$2:$I$23)),IF(_xlpm.result&lt;0,"",_xlpm.result))</f>
        <v>13</v>
      </c>
      <c r="J40" s="10">
        <f t="shared" si="2"/>
        <v>48</v>
      </c>
    </row>
    <row r="41" spans="1:17" s="16" customFormat="1" x14ac:dyDescent="0.25">
      <c r="A41" t="s">
        <v>25</v>
      </c>
      <c r="B41" s="1" t="str" cm="1">
        <f t="array" ref="B41">_xlfn.LET(_xlpm.result,10*_xlfn.XLOOKUP($A41,$A$2:$A$23,_xlfn.XLOOKUP(B$1,$B$1:$I$1,$B$2:$I$23)),IF(_xlpm.result&lt;0,"",_xlpm.result))</f>
        <v/>
      </c>
      <c r="C41" s="1" t="str" cm="1">
        <f t="array" ref="C41">_xlfn.LET(_xlpm.result,10*_xlfn.XLOOKUP($A41,$A$2:$A$23,_xlfn.XLOOKUP(C$1,$B$1:$I$1,$B$2:$I$23)),IF(_xlpm.result&lt;0,"",_xlpm.result))</f>
        <v/>
      </c>
      <c r="D41" s="1" t="str" cm="1">
        <f t="array" ref="D41">_xlfn.LET(_xlpm.result,10*_xlfn.XLOOKUP($A41,$A$2:$A$23,_xlfn.XLOOKUP(D$1,$B$1:$I$1,$B$2:$I$23)),IF(_xlpm.result&lt;0,"",_xlpm.result))</f>
        <v/>
      </c>
      <c r="E41" s="1" t="str" cm="1">
        <f t="array" ref="E41">_xlfn.LET(_xlpm.result,10*_xlfn.XLOOKUP($A41,$A$2:$A$23,_xlfn.XLOOKUP(E$1,$B$1:$I$1,$B$2:$I$23)),IF(_xlpm.result&lt;0,"",_xlpm.result))</f>
        <v/>
      </c>
      <c r="F41" s="1" t="str" cm="1">
        <f t="array" ref="F41">_xlfn.LET(_xlpm.result,10*_xlfn.XLOOKUP($A41,$A$2:$A$23,_xlfn.XLOOKUP(F$1,$B$1:$I$1,$B$2:$I$23)),IF(_xlpm.result&lt;0,"",_xlpm.result))</f>
        <v/>
      </c>
      <c r="G41" s="1" t="str" cm="1">
        <f t="array" ref="G41">_xlfn.LET(_xlpm.result,10*_xlfn.XLOOKUP($A41,$A$2:$A$23,_xlfn.XLOOKUP(G$1,$B$1:$I$1,$B$2:$I$23)),IF(_xlpm.result&lt;0,"",_xlpm.result))</f>
        <v/>
      </c>
      <c r="H41" s="1" cm="1">
        <f t="array" ref="H41">_xlfn.LET(_xlpm.result,10*_xlfn.XLOOKUP($A41,$A$2:$A$23,_xlfn.XLOOKUP(H$1,$B$1:$I$1,$B$2:$I$23)),IF(_xlpm.result&lt;0,"",_xlpm.result))</f>
        <v>5</v>
      </c>
      <c r="I41" s="1" cm="1">
        <f t="array" ref="I41">_xlfn.LET(_xlpm.result,10*_xlfn.XLOOKUP($A41,$A$2:$A$23,_xlfn.XLOOKUP(I$1,$B$1:$I$1,$B$2:$I$23)),IF(_xlpm.result&lt;0,"",_xlpm.result))</f>
        <v>68.999999999999901</v>
      </c>
      <c r="J41" s="10">
        <f t="shared" si="2"/>
        <v>68.999999999999901</v>
      </c>
    </row>
    <row r="42" spans="1:17" s="16" customFormat="1" ht="21" x14ac:dyDescent="0.35">
      <c r="A42" s="16" t="s">
        <v>33</v>
      </c>
      <c r="B42" s="17" t="str" cm="1">
        <f t="array" ref="B42">_xlfn.LET(_xlpm.result,10*_xlfn.XLOOKUP($A42,$A$2:$A$23,_xlfn.XLOOKUP(B$1,$B$1:$I$1,$B$2:$I$23)),IF(_xlpm.result&lt;0,"",_xlpm.result))</f>
        <v/>
      </c>
      <c r="C42" s="17" cm="1">
        <f t="array" ref="C42">_xlfn.LET(_xlpm.result,10*_xlfn.XLOOKUP($A42,$A$2:$A$23,_xlfn.XLOOKUP(C$1,$B$1:$I$1,$B$2:$I$23)),IF(_xlpm.result&lt;0,"",_xlpm.result))</f>
        <v>22</v>
      </c>
      <c r="D42" s="21" cm="1">
        <f t="array" ref="D42">_xlfn.LET(_xlpm.result,10*_xlfn.XLOOKUP($A42,$A$2:$A$23,_xlfn.XLOOKUP(D$1,$B$1:$I$1,$B$2:$I$23)),IF(_xlpm.result&lt;0,"",_xlpm.result))</f>
        <v>76.999999999999901</v>
      </c>
      <c r="E42" s="17" t="str" cm="1">
        <f t="array" ref="E42">_xlfn.LET(_xlpm.result,10*_xlfn.XLOOKUP($A42,$A$2:$A$23,_xlfn.XLOOKUP(E$1,$B$1:$I$1,$B$2:$I$23)),IF(_xlpm.result&lt;0,"",_xlpm.result))</f>
        <v/>
      </c>
      <c r="F42" s="17" cm="1">
        <f t="array" ref="F42">_xlfn.LET(_xlpm.result,10*_xlfn.XLOOKUP($A42,$A$2:$A$23,_xlfn.XLOOKUP(F$1,$B$1:$I$1,$B$2:$I$23)),IF(_xlpm.result&lt;0,"",_xlpm.result))</f>
        <v>53</v>
      </c>
      <c r="G42" s="17" t="str" cm="1">
        <f t="array" ref="G42">_xlfn.LET(_xlpm.result,10*_xlfn.XLOOKUP($A42,$A$2:$A$23,_xlfn.XLOOKUP(G$1,$B$1:$I$1,$B$2:$I$23)),IF(_xlpm.result&lt;0,"",_xlpm.result))</f>
        <v/>
      </c>
      <c r="H42" s="17" t="str" cm="1">
        <f t="array" ref="H42">_xlfn.LET(_xlpm.result,10*_xlfn.XLOOKUP($A42,$A$2:$A$23,_xlfn.XLOOKUP(H$1,$B$1:$I$1,$B$2:$I$23)),IF(_xlpm.result&lt;0,"",_xlpm.result))</f>
        <v/>
      </c>
      <c r="I42" s="17" cm="1">
        <f t="array" ref="I42">_xlfn.LET(_xlpm.result,10*_xlfn.XLOOKUP($A42,$A$2:$A$23,_xlfn.XLOOKUP(I$1,$B$1:$I$1,$B$2:$I$23)),IF(_xlpm.result&lt;0,"",_xlpm.result))</f>
        <v>76.999999999999901</v>
      </c>
      <c r="J42" s="19">
        <f t="shared" si="2"/>
        <v>76.999999999999901</v>
      </c>
      <c r="K42" s="29">
        <v>8</v>
      </c>
    </row>
    <row r="43" spans="1:17" s="25" customFormat="1" ht="21" x14ac:dyDescent="0.35">
      <c r="A43" t="s">
        <v>24</v>
      </c>
      <c r="B43" s="1" cm="1">
        <f t="array" ref="B43">_xlfn.LET(_xlpm.result,10*_xlfn.XLOOKUP($A43,$A$2:$A$23,_xlfn.XLOOKUP(B$1,$B$1:$I$1,$B$2:$I$23)),IF(_xlpm.result&lt;0,"",_xlpm.result))</f>
        <v>11</v>
      </c>
      <c r="C43" s="1" t="str" cm="1">
        <f t="array" ref="C43">_xlfn.LET(_xlpm.result,10*_xlfn.XLOOKUP($A43,$A$2:$A$23,_xlfn.XLOOKUP(C$1,$B$1:$I$1,$B$2:$I$23)),IF(_xlpm.result&lt;0,"",_xlpm.result))</f>
        <v/>
      </c>
      <c r="D43" s="1" t="str" cm="1">
        <f t="array" ref="D43">_xlfn.LET(_xlpm.result,10*_xlfn.XLOOKUP($A43,$A$2:$A$23,_xlfn.XLOOKUP(D$1,$B$1:$I$1,$B$2:$I$23)),IF(_xlpm.result&lt;0,"",_xlpm.result))</f>
        <v/>
      </c>
      <c r="E43" s="1" t="str" cm="1">
        <f t="array" ref="E43">_xlfn.LET(_xlpm.result,10*_xlfn.XLOOKUP($A43,$A$2:$A$23,_xlfn.XLOOKUP(E$1,$B$1:$I$1,$B$2:$I$23)),IF(_xlpm.result&lt;0,"",_xlpm.result))</f>
        <v/>
      </c>
      <c r="F43" s="21" cm="1">
        <f t="array" ref="F43">_xlfn.LET(_xlpm.result,10*_xlfn.XLOOKUP($A43,$A$2:$A$23,_xlfn.XLOOKUP(F$1,$B$1:$I$1,$B$2:$I$23)),IF(_xlpm.result&lt;0,"",_xlpm.result))</f>
        <v>85</v>
      </c>
      <c r="G43" s="1" t="str" cm="1">
        <f t="array" ref="G43">_xlfn.LET(_xlpm.result,10*_xlfn.XLOOKUP($A43,$A$2:$A$23,_xlfn.XLOOKUP(G$1,$B$1:$I$1,$B$2:$I$23)),IF(_xlpm.result&lt;0,"",_xlpm.result))</f>
        <v/>
      </c>
      <c r="H43" s="1" t="str" cm="1">
        <f t="array" ref="H43">_xlfn.LET(_xlpm.result,10*_xlfn.XLOOKUP($A43,$A$2:$A$23,_xlfn.XLOOKUP(H$1,$B$1:$I$1,$B$2:$I$23)),IF(_xlpm.result&lt;0,"",_xlpm.result))</f>
        <v/>
      </c>
      <c r="I43" s="1" t="str" cm="1">
        <f t="array" ref="I43">_xlfn.LET(_xlpm.result,10*_xlfn.XLOOKUP($A43,$A$2:$A$23,_xlfn.XLOOKUP(I$1,$B$1:$I$1,$B$2:$I$23)),IF(_xlpm.result&lt;0,"",_xlpm.result))</f>
        <v/>
      </c>
      <c r="J43" s="10">
        <f t="shared" si="2"/>
        <v>85</v>
      </c>
      <c r="K43" s="28">
        <v>7</v>
      </c>
    </row>
    <row r="44" spans="1:17" ht="21" x14ac:dyDescent="0.35">
      <c r="A44" t="s">
        <v>44</v>
      </c>
      <c r="B44" s="1" t="str" cm="1">
        <f t="array" ref="B44">_xlfn.LET(_xlpm.result,10*_xlfn.XLOOKUP($A44,$A$2:$A$23,_xlfn.XLOOKUP(B$1,$B$1:$I$1,$B$2:$I$23)),IF(_xlpm.result&lt;0,"",_xlpm.result))</f>
        <v/>
      </c>
      <c r="C44" s="1" cm="1">
        <f t="array" ref="C44">_xlfn.LET(_xlpm.result,10*_xlfn.XLOOKUP($A44,$A$2:$A$23,_xlfn.XLOOKUP(C$1,$B$1:$I$1,$B$2:$I$23)),IF(_xlpm.result&lt;0,"",_xlpm.result))</f>
        <v>48</v>
      </c>
      <c r="D44" s="1" cm="1">
        <f t="array" ref="D44">_xlfn.LET(_xlpm.result,10*_xlfn.XLOOKUP($A44,$A$2:$A$23,_xlfn.XLOOKUP(D$1,$B$1:$I$1,$B$2:$I$23)),IF(_xlpm.result&lt;0,"",_xlpm.result))</f>
        <v>61.999999999999901</v>
      </c>
      <c r="E44" s="1" cm="1">
        <f t="array" ref="E44">_xlfn.LET(_xlpm.result,10*_xlfn.XLOOKUP($A44,$A$2:$A$23,_xlfn.XLOOKUP(E$1,$B$1:$I$1,$B$2:$I$23)),IF(_xlpm.result&lt;0,"",_xlpm.result))</f>
        <v>17.999999999999901</v>
      </c>
      <c r="F44" s="1" cm="1">
        <f t="array" ref="F44">_xlfn.LET(_xlpm.result,10*_xlfn.XLOOKUP($A44,$A$2:$A$23,_xlfn.XLOOKUP(F$1,$B$1:$I$1,$B$2:$I$23)),IF(_xlpm.result&lt;0,"",_xlpm.result))</f>
        <v>96</v>
      </c>
      <c r="G44" s="1" cm="1">
        <f t="array" ref="G44">_xlfn.LET(_xlpm.result,10*_xlfn.XLOOKUP($A44,$A$2:$A$23,_xlfn.XLOOKUP(G$1,$B$1:$I$1,$B$2:$I$23)),IF(_xlpm.result&lt;0,"",_xlpm.result))</f>
        <v>70</v>
      </c>
      <c r="H44" s="1" cm="1">
        <f t="array" ref="H44">_xlfn.LET(_xlpm.result,10*_xlfn.XLOOKUP($A44,$A$2:$A$23,_xlfn.XLOOKUP(H$1,$B$1:$I$1,$B$2:$I$23)),IF(_xlpm.result&lt;0,"",_xlpm.result))</f>
        <v>9.9999999999999893</v>
      </c>
      <c r="I44" s="21" cm="1">
        <f t="array" ref="I44">_xlfn.LET(_xlpm.result,10*_xlfn.XLOOKUP($A44,$A$2:$A$23,_xlfn.XLOOKUP(I$1,$B$1:$I$1,$B$2:$I$23)),IF(_xlpm.result&lt;0,"",_xlpm.result))</f>
        <v>70</v>
      </c>
      <c r="J44" s="10">
        <f t="shared" si="2"/>
        <v>96</v>
      </c>
      <c r="K44" s="28">
        <v>6</v>
      </c>
    </row>
    <row r="45" spans="1:17" s="16" customFormat="1" ht="21" x14ac:dyDescent="0.35">
      <c r="A45" s="16" t="s">
        <v>48</v>
      </c>
      <c r="B45" s="17" t="str" cm="1">
        <f t="array" ref="B45">_xlfn.LET(_xlpm.result,10*_xlfn.XLOOKUP($A45,$A$2:$A$23,_xlfn.XLOOKUP(B$1,$B$1:$I$1,$B$2:$I$23)),IF(_xlpm.result&lt;0,"",_xlpm.result))</f>
        <v/>
      </c>
      <c r="C45" s="17" t="str" cm="1">
        <f t="array" ref="C45">_xlfn.LET(_xlpm.result,10*_xlfn.XLOOKUP($A45,$A$2:$A$23,_xlfn.XLOOKUP(C$1,$B$1:$I$1,$B$2:$I$23)),IF(_xlpm.result&lt;0,"",_xlpm.result))</f>
        <v/>
      </c>
      <c r="D45" s="17" cm="1">
        <f t="array" ref="D45">_xlfn.LET(_xlpm.result,10*_xlfn.XLOOKUP($A45,$A$2:$A$23,_xlfn.XLOOKUP(D$1,$B$1:$I$1,$B$2:$I$23)),IF(_xlpm.result&lt;0,"",_xlpm.result))</f>
        <v>47</v>
      </c>
      <c r="E45" s="21" cm="1">
        <f t="array" ref="E45">_xlfn.LET(_xlpm.result,10*_xlfn.XLOOKUP($A45,$A$2:$A$23,_xlfn.XLOOKUP(E$1,$B$1:$I$1,$B$2:$I$23)),IF(_xlpm.result&lt;0,"",_xlpm.result))</f>
        <v>75</v>
      </c>
      <c r="F45" s="17" cm="1">
        <f t="array" ref="F45">_xlfn.LET(_xlpm.result,10*_xlfn.XLOOKUP($A45,$A$2:$A$23,_xlfn.XLOOKUP(F$1,$B$1:$I$1,$B$2:$I$23)),IF(_xlpm.result&lt;0,"",_xlpm.result))</f>
        <v>39</v>
      </c>
      <c r="G45" s="17" cm="1">
        <f t="array" ref="G45">_xlfn.LET(_xlpm.result,10*_xlfn.XLOOKUP($A45,$A$2:$A$23,_xlfn.XLOOKUP(G$1,$B$1:$I$1,$B$2:$I$23)),IF(_xlpm.result&lt;0,"",_xlpm.result))</f>
        <v>58</v>
      </c>
      <c r="H45" s="17" cm="1">
        <f t="array" ref="H45">_xlfn.LET(_xlpm.result,10*_xlfn.XLOOKUP($A45,$A$2:$A$23,_xlfn.XLOOKUP(H$1,$B$1:$I$1,$B$2:$I$23)),IF(_xlpm.result&lt;0,"",_xlpm.result))</f>
        <v>41</v>
      </c>
      <c r="I45" s="17" cm="1">
        <f t="array" ref="I45">_xlfn.LET(_xlpm.result,10*_xlfn.XLOOKUP($A45,$A$2:$A$23,_xlfn.XLOOKUP(I$1,$B$1:$I$1,$B$2:$I$23)),IF(_xlpm.result&lt;0,"",_xlpm.result))</f>
        <v>58</v>
      </c>
      <c r="J45" s="19">
        <f t="shared" si="2"/>
        <v>75</v>
      </c>
      <c r="K45" s="29">
        <v>5</v>
      </c>
    </row>
    <row r="46" spans="1:17" s="16" customFormat="1" ht="21" x14ac:dyDescent="0.35">
      <c r="A46" s="16" t="s">
        <v>45</v>
      </c>
      <c r="B46" s="17" cm="1">
        <f t="array" ref="B46">_xlfn.LET(_xlpm.result,10*_xlfn.XLOOKUP($A46,$A$2:$A$23,_xlfn.XLOOKUP(B$1,$B$1:$I$1,$B$2:$I$23)),IF(_xlpm.result&lt;0,"",_xlpm.result))</f>
        <v>22</v>
      </c>
      <c r="C46" s="17" cm="1">
        <f t="array" ref="C46">_xlfn.LET(_xlpm.result,10*_xlfn.XLOOKUP($A46,$A$2:$A$23,_xlfn.XLOOKUP(C$1,$B$1:$I$1,$B$2:$I$23)),IF(_xlpm.result&lt;0,"",_xlpm.result))</f>
        <v>6</v>
      </c>
      <c r="D46" s="17" t="str" cm="1">
        <f t="array" ref="D46">_xlfn.LET(_xlpm.result,10*_xlfn.XLOOKUP($A46,$A$2:$A$23,_xlfn.XLOOKUP(D$1,$B$1:$I$1,$B$2:$I$23)),IF(_xlpm.result&lt;0,"",_xlpm.result))</f>
        <v/>
      </c>
      <c r="E46" s="17" t="str" cm="1">
        <f t="array" ref="E46">_xlfn.LET(_xlpm.result,10*_xlfn.XLOOKUP($A46,$A$2:$A$23,_xlfn.XLOOKUP(E$1,$B$1:$I$1,$B$2:$I$23)),IF(_xlpm.result&lt;0,"",_xlpm.result))</f>
        <v/>
      </c>
      <c r="F46" s="17" cm="1">
        <f t="array" ref="F46">_xlfn.LET(_xlpm.result,10*_xlfn.XLOOKUP($A46,$A$2:$A$23,_xlfn.XLOOKUP(F$1,$B$1:$I$1,$B$2:$I$23)),IF(_xlpm.result&lt;0,"",_xlpm.result))</f>
        <v>21</v>
      </c>
      <c r="G46" s="17" t="str" cm="1">
        <f t="array" ref="G46">_xlfn.LET(_xlpm.result,10*_xlfn.XLOOKUP($A46,$A$2:$A$23,_xlfn.XLOOKUP(G$1,$B$1:$I$1,$B$2:$I$23)),IF(_xlpm.result&lt;0,"",_xlpm.result))</f>
        <v/>
      </c>
      <c r="H46" s="21" cm="1">
        <f t="array" ref="H46">_xlfn.LET(_xlpm.result,10*_xlfn.XLOOKUP($A46,$A$2:$A$23,_xlfn.XLOOKUP(H$1,$B$1:$I$1,$B$2:$I$23)),IF(_xlpm.result&lt;0,"",_xlpm.result))</f>
        <v>91</v>
      </c>
      <c r="I46" s="17" t="str" cm="1">
        <f t="array" ref="I46">_xlfn.LET(_xlpm.result,10*_xlfn.XLOOKUP($A46,$A$2:$A$23,_xlfn.XLOOKUP(I$1,$B$1:$I$1,$B$2:$I$23)),IF(_xlpm.result&lt;0,"",_xlpm.result))</f>
        <v/>
      </c>
      <c r="J46" s="19">
        <f t="shared" si="2"/>
        <v>91</v>
      </c>
      <c r="K46" s="29">
        <v>4</v>
      </c>
    </row>
    <row r="47" spans="1:17" s="16" customFormat="1" ht="21" x14ac:dyDescent="0.35">
      <c r="A47" s="16" t="s">
        <v>46</v>
      </c>
      <c r="B47" s="17" cm="1">
        <f t="array" ref="B47">_xlfn.LET(_xlpm.result,10*_xlfn.XLOOKUP($A47,$A$2:$A$23,_xlfn.XLOOKUP(B$1,$B$1:$I$1,$B$2:$I$23)),IF(_xlpm.result&lt;0,"",_xlpm.result))</f>
        <v>43</v>
      </c>
      <c r="C47" s="21" cm="1">
        <f t="array" ref="C47">_xlfn.LET(_xlpm.result,10*_xlfn.XLOOKUP($A47,$A$2:$A$23,_xlfn.XLOOKUP(C$1,$B$1:$I$1,$B$2:$I$23)),IF(_xlpm.result&lt;0,"",_xlpm.result))</f>
        <v>53.999999999999901</v>
      </c>
      <c r="D47" s="17" cm="1">
        <f t="array" ref="D47">_xlfn.LET(_xlpm.result,10*_xlfn.XLOOKUP($A47,$A$2:$A$23,_xlfn.XLOOKUP(D$1,$B$1:$I$1,$B$2:$I$23)),IF(_xlpm.result&lt;0,"",_xlpm.result))</f>
        <v>107</v>
      </c>
      <c r="E47" s="17" cm="1">
        <f t="array" ref="E47">_xlfn.LET(_xlpm.result,10*_xlfn.XLOOKUP($A47,$A$2:$A$23,_xlfn.XLOOKUP(E$1,$B$1:$I$1,$B$2:$I$23)),IF(_xlpm.result&lt;0,"",_xlpm.result))</f>
        <v>0</v>
      </c>
      <c r="F47" s="17" cm="1">
        <f t="array" ref="F47">_xlfn.LET(_xlpm.result,10*_xlfn.XLOOKUP($A47,$A$2:$A$23,_xlfn.XLOOKUP(F$1,$B$1:$I$1,$B$2:$I$23)),IF(_xlpm.result&lt;0,"",_xlpm.result))</f>
        <v>97.999999999999901</v>
      </c>
      <c r="G47" s="17" t="str" cm="1">
        <f t="array" ref="G47">_xlfn.LET(_xlpm.result,10*_xlfn.XLOOKUP($A47,$A$2:$A$23,_xlfn.XLOOKUP(G$1,$B$1:$I$1,$B$2:$I$23)),IF(_xlpm.result&lt;0,"",_xlpm.result))</f>
        <v/>
      </c>
      <c r="H47" s="17" cm="1">
        <f t="array" ref="H47">_xlfn.LET(_xlpm.result,10*_xlfn.XLOOKUP($A47,$A$2:$A$23,_xlfn.XLOOKUP(H$1,$B$1:$I$1,$B$2:$I$23)),IF(_xlpm.result&lt;0,"",_xlpm.result))</f>
        <v>22</v>
      </c>
      <c r="I47" s="17" t="str" cm="1">
        <f t="array" ref="I47">_xlfn.LET(_xlpm.result,10*_xlfn.XLOOKUP($A47,$A$2:$A$23,_xlfn.XLOOKUP(I$1,$B$1:$I$1,$B$2:$I$23)),IF(_xlpm.result&lt;0,"",_xlpm.result))</f>
        <v/>
      </c>
      <c r="J47" s="19">
        <f t="shared" si="2"/>
        <v>107</v>
      </c>
      <c r="K47" s="29">
        <v>3</v>
      </c>
    </row>
    <row r="48" spans="1:17" s="16" customFormat="1" ht="21" x14ac:dyDescent="0.35">
      <c r="A48" s="16" t="s">
        <v>21</v>
      </c>
      <c r="B48" s="21" cm="1">
        <f t="array" ref="B48">_xlfn.LET(_xlpm.result,10*_xlfn.XLOOKUP($A48,$A$2:$A$23,_xlfn.XLOOKUP(B$1,$B$1:$I$1,$B$2:$I$23)),IF(_xlpm.result&lt;0,"",_xlpm.result))</f>
        <v>143</v>
      </c>
      <c r="C48" s="17" cm="1">
        <f t="array" ref="C48">_xlfn.LET(_xlpm.result,10*_xlfn.XLOOKUP($A48,$A$2:$A$23,_xlfn.XLOOKUP(C$1,$B$1:$I$1,$B$2:$I$23)),IF(_xlpm.result&lt;0,"",_xlpm.result))</f>
        <v>110</v>
      </c>
      <c r="D48" s="17" cm="1">
        <f t="array" ref="D48">_xlfn.LET(_xlpm.result,10*_xlfn.XLOOKUP($A48,$A$2:$A$23,_xlfn.XLOOKUP(D$1,$B$1:$I$1,$B$2:$I$23)),IF(_xlpm.result&lt;0,"",_xlpm.result))</f>
        <v>74</v>
      </c>
      <c r="E48" s="17" cm="1">
        <f t="array" ref="E48">_xlfn.LET(_xlpm.result,10*_xlfn.XLOOKUP($A48,$A$2:$A$23,_xlfn.XLOOKUP(E$1,$B$1:$I$1,$B$2:$I$23)),IF(_xlpm.result&lt;0,"",_xlpm.result))</f>
        <v>52</v>
      </c>
      <c r="F48" s="17" cm="1">
        <f t="array" ref="F48">_xlfn.LET(_xlpm.result,10*_xlfn.XLOOKUP($A48,$A$2:$A$23,_xlfn.XLOOKUP(F$1,$B$1:$I$1,$B$2:$I$23)),IF(_xlpm.result&lt;0,"",_xlpm.result))</f>
        <v>74</v>
      </c>
      <c r="G48" s="17" cm="1">
        <f t="array" ref="G48">_xlfn.LET(_xlpm.result,10*_xlfn.XLOOKUP($A48,$A$2:$A$23,_xlfn.XLOOKUP(G$1,$B$1:$I$1,$B$2:$I$23)),IF(_xlpm.result&lt;0,"",_xlpm.result))</f>
        <v>39</v>
      </c>
      <c r="H48" s="17" cm="1">
        <f t="array" ref="H48">_xlfn.LET(_xlpm.result,10*_xlfn.XLOOKUP($A48,$A$2:$A$23,_xlfn.XLOOKUP(H$1,$B$1:$I$1,$B$2:$I$23)),IF(_xlpm.result&lt;0,"",_xlpm.result))</f>
        <v>4</v>
      </c>
      <c r="I48" s="17" cm="1">
        <f t="array" ref="I48">_xlfn.LET(_xlpm.result,10*_xlfn.XLOOKUP($A48,$A$2:$A$23,_xlfn.XLOOKUP(I$1,$B$1:$I$1,$B$2:$I$23)),IF(_xlpm.result&lt;0,"",_xlpm.result))</f>
        <v>52</v>
      </c>
      <c r="J48" s="19">
        <f t="shared" si="2"/>
        <v>143</v>
      </c>
      <c r="K48" s="29">
        <v>2</v>
      </c>
    </row>
    <row r="49" spans="1:12" ht="21" x14ac:dyDescent="0.35">
      <c r="A49" t="s">
        <v>34</v>
      </c>
      <c r="B49" s="1" cm="1">
        <f t="array" ref="B49">_xlfn.LET(_xlpm.result,10*_xlfn.XLOOKUP($A49,$A$2:$A$23,_xlfn.XLOOKUP(B$1,$B$1:$I$1,$B$2:$I$23)),IF(_xlpm.result&lt;0,"",_xlpm.result))</f>
        <v>53.999999999999901</v>
      </c>
      <c r="C49" s="1" cm="1">
        <f t="array" ref="C49">_xlfn.LET(_xlpm.result,10*_xlfn.XLOOKUP($A49,$A$2:$A$23,_xlfn.XLOOKUP(C$1,$B$1:$I$1,$B$2:$I$23)),IF(_xlpm.result&lt;0,"",_xlpm.result))</f>
        <v>28.999999999999901</v>
      </c>
      <c r="D49" s="1" cm="1">
        <f t="array" ref="D49">_xlfn.LET(_xlpm.result,10*_xlfn.XLOOKUP($A49,$A$2:$A$23,_xlfn.XLOOKUP(D$1,$B$1:$I$1,$B$2:$I$23)),IF(_xlpm.result&lt;0,"",_xlpm.result))</f>
        <v>78</v>
      </c>
      <c r="E49" s="1" cm="1">
        <f t="array" ref="E49">_xlfn.LET(_xlpm.result,10*_xlfn.XLOOKUP($A49,$A$2:$A$23,_xlfn.XLOOKUP(E$1,$B$1:$I$1,$B$2:$I$23)),IF(_xlpm.result&lt;0,"",_xlpm.result))</f>
        <v>80</v>
      </c>
      <c r="F49" s="1" cm="1">
        <f t="array" ref="F49">_xlfn.LET(_xlpm.result,10*_xlfn.XLOOKUP($A49,$A$2:$A$23,_xlfn.XLOOKUP(F$1,$B$1:$I$1,$B$2:$I$23)),IF(_xlpm.result&lt;0,"",_xlpm.result))</f>
        <v>48</v>
      </c>
      <c r="G49" s="21" cm="1">
        <f t="array" ref="G49">_xlfn.LET(_xlpm.result,10*_xlfn.XLOOKUP($A49,$A$2:$A$23,_xlfn.XLOOKUP(G$1,$B$1:$I$1,$B$2:$I$23)),IF(_xlpm.result&lt;0,"",_xlpm.result))</f>
        <v>167.99999999999901</v>
      </c>
      <c r="H49" s="1" cm="1">
        <f t="array" ref="H49">_xlfn.LET(_xlpm.result,10*_xlfn.XLOOKUP($A49,$A$2:$A$23,_xlfn.XLOOKUP(H$1,$B$1:$I$1,$B$2:$I$23)),IF(_xlpm.result&lt;0,"",_xlpm.result))</f>
        <v>53.999999999999901</v>
      </c>
      <c r="I49" s="1" cm="1">
        <f t="array" ref="I49">_xlfn.LET(_xlpm.result,10*_xlfn.XLOOKUP($A49,$A$2:$A$23,_xlfn.XLOOKUP(I$1,$B$1:$I$1,$B$2:$I$23)),IF(_xlpm.result&lt;0,"",_xlpm.result))</f>
        <v>126</v>
      </c>
      <c r="J49" s="10">
        <f t="shared" si="2"/>
        <v>167.99999999999901</v>
      </c>
      <c r="K49" s="28">
        <v>1</v>
      </c>
    </row>
    <row r="50" spans="1:12" x14ac:dyDescent="0.25">
      <c r="B50" s="1"/>
      <c r="C50" s="1"/>
      <c r="D50" s="1"/>
      <c r="E50" s="1"/>
      <c r="F50" s="1"/>
      <c r="G50" s="1"/>
      <c r="H50" s="1"/>
      <c r="I50" s="1"/>
      <c r="J50" s="10"/>
    </row>
    <row r="51" spans="1:12" x14ac:dyDescent="0.25">
      <c r="A51" t="s">
        <v>60</v>
      </c>
      <c r="H51" s="3"/>
      <c r="J51" s="10">
        <f>SUM(B51:I51)</f>
        <v>0</v>
      </c>
      <c r="K51">
        <f>MIN(B51:I51)</f>
        <v>0</v>
      </c>
      <c r="L51" s="23" t="e">
        <f>AVERAGE(B51:I51)</f>
        <v>#DIV/0!</v>
      </c>
    </row>
    <row r="52" spans="1:12" x14ac:dyDescent="0.25">
      <c r="A52" t="s">
        <v>61</v>
      </c>
      <c r="J52" s="10">
        <f>SUM(B52:I52)</f>
        <v>0</v>
      </c>
      <c r="K52">
        <f>MIN(B52:I52)</f>
        <v>0</v>
      </c>
      <c r="L52" s="23" t="e">
        <f>AVERAGE(B52:I52)</f>
        <v>#DIV/0!</v>
      </c>
    </row>
    <row r="54" spans="1:12" x14ac:dyDescent="0.25">
      <c r="A54" t="s">
        <v>62</v>
      </c>
      <c r="B54">
        <f t="shared" ref="B54:L54" si="3">B52-B51</f>
        <v>0</v>
      </c>
      <c r="C54">
        <f t="shared" si="3"/>
        <v>0</v>
      </c>
      <c r="D54">
        <f t="shared" si="3"/>
        <v>0</v>
      </c>
      <c r="E54">
        <f t="shared" si="3"/>
        <v>0</v>
      </c>
      <c r="F54">
        <f t="shared" si="3"/>
        <v>0</v>
      </c>
      <c r="G54">
        <f t="shared" si="3"/>
        <v>0</v>
      </c>
      <c r="H54">
        <f t="shared" si="3"/>
        <v>0</v>
      </c>
      <c r="I54">
        <f t="shared" si="3"/>
        <v>0</v>
      </c>
      <c r="J54">
        <f t="shared" si="3"/>
        <v>0</v>
      </c>
      <c r="K54">
        <f t="shared" si="3"/>
        <v>0</v>
      </c>
      <c r="L54" s="22" t="e">
        <f t="shared" si="3"/>
        <v>#DIV/0!</v>
      </c>
    </row>
  </sheetData>
  <autoFilter ref="A27:J27" xr:uid="{54BE77A0-7D21-425B-A240-22D447E1FEA2}">
    <sortState xmlns:xlrd2="http://schemas.microsoft.com/office/spreadsheetml/2017/richdata2" ref="A28:J50">
      <sortCondition ref="J27"/>
    </sortState>
  </autoFilter>
  <conditionalFormatting sqref="B2:I2"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I3"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I4"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I5"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I6"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I7"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I8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I9"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I10"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I11"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I12"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I13"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I14"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I15"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I16"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I17"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I18"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I19"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I20"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I21"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2:I23"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I26 B24:I24">
    <cfRule type="colorScale" priority="37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I26"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8:I49"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0:I50">
    <cfRule type="colorScale" priority="37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51:I51"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2:I52"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3E91-5584-465C-B8AF-82F882E242C1}">
  <dimension ref="A1:P52"/>
  <sheetViews>
    <sheetView topLeftCell="A19" zoomScaleNormal="100" workbookViewId="0">
      <selection activeCell="I42" sqref="I42"/>
    </sheetView>
  </sheetViews>
  <sheetFormatPr defaultRowHeight="15" x14ac:dyDescent="0.25"/>
  <cols>
    <col min="1" max="1" width="24.28515625" customWidth="1"/>
    <col min="2" max="6" width="10.42578125" bestFit="1" customWidth="1"/>
    <col min="7" max="7" width="10.7109375" bestFit="1" customWidth="1"/>
    <col min="8" max="8" width="10.42578125" bestFit="1" customWidth="1"/>
    <col min="9" max="9" width="10.5703125" bestFit="1" customWidth="1"/>
  </cols>
  <sheetData>
    <row r="1" spans="1:8" x14ac:dyDescent="0.25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 t="s">
        <v>19</v>
      </c>
      <c r="B2">
        <v>-3</v>
      </c>
      <c r="C2">
        <v>-4.0999999999999996</v>
      </c>
      <c r="D2">
        <v>-8.3000000000000007</v>
      </c>
      <c r="E2">
        <v>-5.3</v>
      </c>
      <c r="F2">
        <v>-0.5</v>
      </c>
      <c r="G2">
        <v>1.5</v>
      </c>
      <c r="H2">
        <v>-8.3000000000000007</v>
      </c>
    </row>
    <row r="3" spans="1:8" x14ac:dyDescent="0.25">
      <c r="A3" t="s">
        <v>20</v>
      </c>
      <c r="B3">
        <v>3.8</v>
      </c>
      <c r="C3">
        <v>4.2</v>
      </c>
      <c r="D3">
        <v>-6.4</v>
      </c>
      <c r="E3">
        <v>-3.6</v>
      </c>
      <c r="F3">
        <v>0.5</v>
      </c>
      <c r="G3">
        <v>-7.8</v>
      </c>
      <c r="H3">
        <v>3.8</v>
      </c>
    </row>
    <row r="4" spans="1:8" x14ac:dyDescent="0.25">
      <c r="A4" t="s">
        <v>23</v>
      </c>
      <c r="B4">
        <v>-7.8</v>
      </c>
      <c r="C4">
        <v>-9.5</v>
      </c>
      <c r="E4">
        <v>2.0999999999999899</v>
      </c>
      <c r="F4">
        <v>-5.3</v>
      </c>
      <c r="G4">
        <v>-8.1</v>
      </c>
      <c r="H4">
        <v>-5.3</v>
      </c>
    </row>
    <row r="5" spans="1:8" x14ac:dyDescent="0.25">
      <c r="A5" t="s">
        <v>24</v>
      </c>
      <c r="B5">
        <v>-1.7</v>
      </c>
      <c r="C5">
        <v>-6</v>
      </c>
      <c r="D5">
        <v>-5.8</v>
      </c>
      <c r="E5">
        <v>8</v>
      </c>
      <c r="F5">
        <v>-5.8</v>
      </c>
      <c r="G5">
        <v>-4.8</v>
      </c>
      <c r="H5">
        <v>-6.3</v>
      </c>
    </row>
    <row r="6" spans="1:8" x14ac:dyDescent="0.25">
      <c r="A6" t="s">
        <v>25</v>
      </c>
      <c r="B6">
        <v>-5.0999999999999996</v>
      </c>
      <c r="C6">
        <v>-8.8000000000000007</v>
      </c>
      <c r="D6">
        <v>-8.6</v>
      </c>
      <c r="E6">
        <v>-8.8000000000000007</v>
      </c>
      <c r="F6">
        <v>-1.6</v>
      </c>
      <c r="G6">
        <v>-1.5</v>
      </c>
      <c r="H6">
        <v>4.7</v>
      </c>
    </row>
    <row r="7" spans="1:8" x14ac:dyDescent="0.25">
      <c r="A7" t="s">
        <v>26</v>
      </c>
      <c r="B7">
        <v>-3.8</v>
      </c>
      <c r="C7">
        <v>-12.8</v>
      </c>
      <c r="D7">
        <v>-0.20000000000000101</v>
      </c>
      <c r="E7">
        <v>-8</v>
      </c>
      <c r="F7">
        <v>-13.3</v>
      </c>
      <c r="G7">
        <v>-9.6999999999999993</v>
      </c>
      <c r="H7">
        <v>-4.7</v>
      </c>
    </row>
    <row r="8" spans="1:8" x14ac:dyDescent="0.25">
      <c r="A8" t="s">
        <v>27</v>
      </c>
      <c r="B8">
        <v>-3.9999999999999898</v>
      </c>
      <c r="C8">
        <v>-6.7</v>
      </c>
      <c r="D8">
        <v>-4.3</v>
      </c>
      <c r="E8">
        <v>3.5</v>
      </c>
      <c r="F8">
        <v>-0.6</v>
      </c>
      <c r="G8">
        <v>3.1</v>
      </c>
      <c r="H8">
        <v>2.1</v>
      </c>
    </row>
    <row r="9" spans="1:8" x14ac:dyDescent="0.25">
      <c r="A9" t="s">
        <v>33</v>
      </c>
      <c r="B9">
        <v>3</v>
      </c>
      <c r="C9">
        <v>9</v>
      </c>
      <c r="D9">
        <v>-4.9000000000000004</v>
      </c>
      <c r="E9">
        <v>6.7</v>
      </c>
      <c r="F9">
        <v>-2.7</v>
      </c>
      <c r="G9">
        <v>-4.9000000000000004</v>
      </c>
      <c r="H9">
        <v>9</v>
      </c>
    </row>
    <row r="10" spans="1:8" x14ac:dyDescent="0.25">
      <c r="A10" t="s">
        <v>34</v>
      </c>
      <c r="B10">
        <v>2.5999999999999899</v>
      </c>
      <c r="C10">
        <v>6.7</v>
      </c>
      <c r="D10">
        <v>5.1999999999999904</v>
      </c>
      <c r="E10">
        <v>6.1</v>
      </c>
      <c r="F10">
        <v>16.5</v>
      </c>
      <c r="G10">
        <v>4.8</v>
      </c>
      <c r="H10">
        <v>12.899999999999901</v>
      </c>
    </row>
    <row r="11" spans="1:8" x14ac:dyDescent="0.25">
      <c r="A11" t="s">
        <v>35</v>
      </c>
      <c r="B11">
        <v>3.8</v>
      </c>
      <c r="C11">
        <v>-6.8</v>
      </c>
      <c r="D11">
        <v>-8.1</v>
      </c>
      <c r="E11">
        <v>-10.199999999999999</v>
      </c>
      <c r="F11">
        <v>-7.6999999999999904</v>
      </c>
      <c r="G11">
        <v>-4.0999999999999996</v>
      </c>
      <c r="H11">
        <v>-12.899999999999901</v>
      </c>
    </row>
    <row r="12" spans="1:8" x14ac:dyDescent="0.25">
      <c r="A12" t="s">
        <v>38</v>
      </c>
      <c r="C12">
        <v>3.4</v>
      </c>
      <c r="D12">
        <v>3.8</v>
      </c>
      <c r="E12">
        <v>-3.4</v>
      </c>
      <c r="F12">
        <v>1.6</v>
      </c>
      <c r="G12">
        <v>-4</v>
      </c>
      <c r="H12">
        <v>-3.5</v>
      </c>
    </row>
    <row r="13" spans="1:8" x14ac:dyDescent="0.25">
      <c r="A13" t="s">
        <v>39</v>
      </c>
      <c r="B13">
        <v>-7.3</v>
      </c>
      <c r="C13">
        <v>-6.6</v>
      </c>
      <c r="D13">
        <v>-0.39999999999999902</v>
      </c>
      <c r="E13">
        <v>-3.5</v>
      </c>
      <c r="F13">
        <v>-1.4</v>
      </c>
      <c r="G13">
        <v>-7.8</v>
      </c>
      <c r="H13">
        <v>-7.3</v>
      </c>
    </row>
    <row r="14" spans="1:8" x14ac:dyDescent="0.25">
      <c r="A14" t="s">
        <v>41</v>
      </c>
      <c r="B14">
        <v>-3.8</v>
      </c>
      <c r="C14">
        <v>-3.4</v>
      </c>
      <c r="D14">
        <v>-7.4</v>
      </c>
      <c r="E14">
        <v>-2.0999999999999899</v>
      </c>
      <c r="F14">
        <v>0.4</v>
      </c>
      <c r="G14">
        <v>2.69999999999999</v>
      </c>
      <c r="H14">
        <v>-3.8</v>
      </c>
    </row>
    <row r="15" spans="1:8" x14ac:dyDescent="0.25">
      <c r="A15" t="s">
        <v>42</v>
      </c>
      <c r="B15">
        <v>-6.4</v>
      </c>
      <c r="C15">
        <v>-1.9</v>
      </c>
      <c r="E15">
        <v>1</v>
      </c>
      <c r="F15">
        <v>1.4</v>
      </c>
      <c r="G15">
        <v>4.0999999999999996</v>
      </c>
      <c r="H15">
        <v>-2.1</v>
      </c>
    </row>
    <row r="16" spans="1:8" x14ac:dyDescent="0.25">
      <c r="A16" t="s">
        <v>43</v>
      </c>
      <c r="B16">
        <v>-11</v>
      </c>
      <c r="C16">
        <v>-4.2</v>
      </c>
      <c r="D16">
        <v>-3.8</v>
      </c>
      <c r="E16">
        <v>-6.7</v>
      </c>
      <c r="F16">
        <v>-0.4</v>
      </c>
      <c r="G16">
        <v>-7.3</v>
      </c>
      <c r="H16">
        <v>-10.8</v>
      </c>
    </row>
    <row r="17" spans="1:16" x14ac:dyDescent="0.25">
      <c r="A17" t="s">
        <v>44</v>
      </c>
      <c r="B17">
        <v>3.9999999999999898</v>
      </c>
      <c r="C17">
        <v>6</v>
      </c>
      <c r="D17">
        <v>3.3999999999999901</v>
      </c>
      <c r="E17">
        <v>10.199999999999999</v>
      </c>
      <c r="F17">
        <v>7.1</v>
      </c>
      <c r="G17">
        <v>0.69999999999999896</v>
      </c>
      <c r="H17">
        <v>7.1</v>
      </c>
    </row>
    <row r="18" spans="1:16" x14ac:dyDescent="0.25">
      <c r="A18" t="s">
        <v>45</v>
      </c>
      <c r="B18">
        <v>1.7</v>
      </c>
      <c r="C18">
        <v>-3.6</v>
      </c>
      <c r="D18">
        <v>-3.8</v>
      </c>
      <c r="E18">
        <v>3.4</v>
      </c>
      <c r="F18">
        <v>-4.5999999999999996</v>
      </c>
      <c r="G18">
        <v>9.6999999999999993</v>
      </c>
      <c r="H18">
        <v>-3.8</v>
      </c>
    </row>
    <row r="19" spans="1:16" x14ac:dyDescent="0.25">
      <c r="A19" t="s">
        <v>46</v>
      </c>
      <c r="B19">
        <v>7.8</v>
      </c>
      <c r="C19">
        <v>12.8</v>
      </c>
      <c r="E19">
        <v>12.6</v>
      </c>
      <c r="F19">
        <v>-1.3</v>
      </c>
      <c r="G19">
        <v>4.8</v>
      </c>
      <c r="H19">
        <v>-0.3</v>
      </c>
    </row>
    <row r="20" spans="1:16" x14ac:dyDescent="0.25">
      <c r="A20" t="s">
        <v>48</v>
      </c>
      <c r="B20">
        <v>-4.1999999999999904</v>
      </c>
      <c r="C20">
        <v>4.0999999999999996</v>
      </c>
      <c r="D20">
        <v>7.4</v>
      </c>
      <c r="E20">
        <v>3.6</v>
      </c>
      <c r="F20">
        <v>5.3</v>
      </c>
      <c r="G20">
        <v>4</v>
      </c>
      <c r="H20">
        <v>5.3</v>
      </c>
    </row>
    <row r="21" spans="1:16" x14ac:dyDescent="0.25">
      <c r="A21" t="s">
        <v>49</v>
      </c>
      <c r="B21">
        <v>-12.899999999999901</v>
      </c>
      <c r="C21">
        <v>-9</v>
      </c>
      <c r="D21">
        <v>0.20000000000000101</v>
      </c>
      <c r="E21">
        <v>-12.6</v>
      </c>
      <c r="F21">
        <v>-16.5</v>
      </c>
      <c r="G21">
        <v>-2.69999999999999</v>
      </c>
      <c r="H21">
        <v>-9</v>
      </c>
    </row>
    <row r="22" spans="1:16" x14ac:dyDescent="0.25">
      <c r="A22" t="s">
        <v>50</v>
      </c>
      <c r="C22">
        <v>-5</v>
      </c>
      <c r="D22">
        <v>0.39999999999999902</v>
      </c>
      <c r="E22">
        <v>-1</v>
      </c>
      <c r="F22">
        <v>-7.1</v>
      </c>
      <c r="G22">
        <v>-3.1</v>
      </c>
      <c r="H22">
        <v>-7.1</v>
      </c>
    </row>
    <row r="23" spans="1:16" x14ac:dyDescent="0.25">
      <c r="B23" s="1" t="str" cm="1">
        <f t="array" ref="B23">IFERROR(_xlfn.LET(_xlpm.result,RANK(_xlfn.XLOOKUP($A23,$A$2:$A$21,_xlfn.XLOOKUP(#REF!,$B$1:$H$1,$B$2:$H$21)),$B$2:$H$21),IF(_xlpm.result&gt;150,"",_xlpm.result)),"")</f>
        <v/>
      </c>
      <c r="C23" s="1" t="str" cm="1">
        <f t="array" ref="C23">IFERROR(_xlfn.LET(_xlpm.result,RANK(_xlfn.XLOOKUP($A23,$A$2:$A$21,_xlfn.XLOOKUP(#REF!,$B$1:$H$1,$B$2:$H$21)),$B$2:$H$21),IF(_xlpm.result&gt;150,"",_xlpm.result)),"")</f>
        <v/>
      </c>
      <c r="D23" s="1" t="str" cm="1">
        <f t="array" ref="D23">IFERROR(_xlfn.LET(_xlpm.result,RANK(_xlfn.XLOOKUP($A23,$A$2:$A$21,_xlfn.XLOOKUP(#REF!,$B$1:$H$1,$B$2:$H$21)),$B$2:$H$21),IF(_xlpm.result&gt;150,"",_xlpm.result)),"")</f>
        <v/>
      </c>
      <c r="E23" s="1" t="str" cm="1">
        <f t="array" ref="E23">IFERROR(_xlfn.LET(_xlpm.result,RANK(_xlfn.XLOOKUP($A23,$A$2:$A$21,_xlfn.XLOOKUP(#REF!,$B$1:$H$1,$B$2:$H$21)),$B$2:$H$21),IF(_xlpm.result&gt;150,"",_xlpm.result)),"")</f>
        <v/>
      </c>
      <c r="F23" s="1" t="str" cm="1">
        <f t="array" ref="F23">IFERROR(_xlfn.LET(_xlpm.result,RANK(_xlfn.XLOOKUP($A23,$A$2:$A$21,_xlfn.XLOOKUP(#REF!,$B$1:$H$1,$B$2:$H$21)),$B$2:$H$21),IF(_xlpm.result&gt;150,"",_xlpm.result)),"")</f>
        <v/>
      </c>
      <c r="G23" s="1" t="str" cm="1">
        <f t="array" ref="G23">IFERROR(_xlfn.LET(_xlpm.result,RANK(_xlfn.XLOOKUP($A23,$A$2:$A$21,_xlfn.XLOOKUP(#REF!,$B$1:$H$1,$B$2:$H$21)),$B$2:$H$21),IF(_xlpm.result&gt;150,"",_xlpm.result)),"")</f>
        <v/>
      </c>
      <c r="H23" s="1" t="str" cm="1">
        <f t="array" ref="H23">IFERROR(_xlfn.LET(_xlpm.result,RANK(_xlfn.XLOOKUP($A23,$A$2:$A$21,_xlfn.XLOOKUP(#REF!,$B$1:$H$1,$B$2:$H$21)),$B$2:$H$21),IF(_xlpm.result&gt;150,"",_xlpm.result)),"")</f>
        <v/>
      </c>
      <c r="J23" s="10"/>
    </row>
    <row r="24" spans="1:16" s="24" customFormat="1" x14ac:dyDescent="0.25"/>
    <row r="25" spans="1:16" x14ac:dyDescent="0.25">
      <c r="B25" s="1">
        <f t="shared" ref="B25:H25" si="0">MAX(B26:B47)</f>
        <v>78</v>
      </c>
      <c r="C25" s="1">
        <f t="shared" si="0"/>
        <v>128</v>
      </c>
      <c r="D25" s="1">
        <f t="shared" si="0"/>
        <v>74</v>
      </c>
      <c r="E25" s="1">
        <f t="shared" si="0"/>
        <v>126</v>
      </c>
      <c r="F25" s="1">
        <f t="shared" si="0"/>
        <v>165</v>
      </c>
      <c r="G25" s="1">
        <f t="shared" si="0"/>
        <v>97</v>
      </c>
      <c r="H25" s="1">
        <f t="shared" si="0"/>
        <v>128.99999999999901</v>
      </c>
    </row>
    <row r="26" spans="1:16" x14ac:dyDescent="0.25">
      <c r="A26" t="s">
        <v>0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54</v>
      </c>
    </row>
    <row r="27" spans="1:16" x14ac:dyDescent="0.25">
      <c r="A27" t="s">
        <v>26</v>
      </c>
      <c r="B27" s="1" t="str" cm="1">
        <f t="array" ref="B27">_xlfn.LET(_xlpm.result,10*_xlfn.XLOOKUP($A27,$A$2:$A$22,_xlfn.XLOOKUP(B$1,$B$1:$H$1,$B$2:$H$22)),IF(_xlpm.result&lt;0,"",_xlpm.result))</f>
        <v/>
      </c>
      <c r="C27" s="1" t="str" cm="1">
        <f t="array" ref="C27">_xlfn.LET(_xlpm.result,10*_xlfn.XLOOKUP($A27,$A$2:$A$22,_xlfn.XLOOKUP(C$1,$B$1:$H$1,$B$2:$H$22)),IF(_xlpm.result&lt;0,"",_xlpm.result))</f>
        <v/>
      </c>
      <c r="D27" s="1" t="str" cm="1">
        <f t="array" ref="D27">_xlfn.LET(_xlpm.result,10*_xlfn.XLOOKUP($A27,$A$2:$A$22,_xlfn.XLOOKUP(D$1,$B$1:$H$1,$B$2:$H$22)),IF(_xlpm.result&lt;0,"",_xlpm.result))</f>
        <v/>
      </c>
      <c r="E27" s="1" t="str" cm="1">
        <f t="array" ref="E27">_xlfn.LET(_xlpm.result,10*_xlfn.XLOOKUP($A27,$A$2:$A$22,_xlfn.XLOOKUP(E$1,$B$1:$H$1,$B$2:$H$22)),IF(_xlpm.result&lt;0,"",_xlpm.result))</f>
        <v/>
      </c>
      <c r="F27" s="1" t="str" cm="1">
        <f t="array" ref="F27">_xlfn.LET(_xlpm.result,10*_xlfn.XLOOKUP($A27,$A$2:$A$22,_xlfn.XLOOKUP(F$1,$B$1:$H$1,$B$2:$H$22)),IF(_xlpm.result&lt;0,"",_xlpm.result))</f>
        <v/>
      </c>
      <c r="G27" s="1" t="str" cm="1">
        <f t="array" ref="G27">_xlfn.LET(_xlpm.result,10*_xlfn.XLOOKUP($A27,$A$2:$A$22,_xlfn.XLOOKUP(G$1,$B$1:$H$1,$B$2:$H$22)),IF(_xlpm.result&lt;0,"",_xlpm.result))</f>
        <v/>
      </c>
      <c r="H27" s="1" t="str" cm="1">
        <f t="array" ref="H27">_xlfn.LET(_xlpm.result,10*_xlfn.XLOOKUP($A27,$A$2:$A$22,_xlfn.XLOOKUP(H$1,$B$1:$H$1,$B$2:$H$22)),IF(_xlpm.result&lt;0,"",_xlpm.result))</f>
        <v/>
      </c>
      <c r="I27" s="10">
        <f t="shared" ref="I27:I47" si="1">MAX(B27:H27)</f>
        <v>0</v>
      </c>
    </row>
    <row r="28" spans="1:16" x14ac:dyDescent="0.25">
      <c r="A28" t="s">
        <v>39</v>
      </c>
      <c r="B28" s="1" t="str" cm="1">
        <f t="array" ref="B28">_xlfn.LET(_xlpm.result,10*_xlfn.XLOOKUP($A28,$A$2:$A$22,_xlfn.XLOOKUP(B$1,$B$1:$H$1,$B$2:$H$22)),IF(_xlpm.result&lt;0,"",_xlpm.result))</f>
        <v/>
      </c>
      <c r="C28" s="1" t="str" cm="1">
        <f t="array" ref="C28">_xlfn.LET(_xlpm.result,10*_xlfn.XLOOKUP($A28,$A$2:$A$22,_xlfn.XLOOKUP(C$1,$B$1:$H$1,$B$2:$H$22)),IF(_xlpm.result&lt;0,"",_xlpm.result))</f>
        <v/>
      </c>
      <c r="D28" s="1" t="str" cm="1">
        <f t="array" ref="D28">_xlfn.LET(_xlpm.result,10*_xlfn.XLOOKUP($A28,$A$2:$A$22,_xlfn.XLOOKUP(D$1,$B$1:$H$1,$B$2:$H$22)),IF(_xlpm.result&lt;0,"",_xlpm.result))</f>
        <v/>
      </c>
      <c r="E28" s="1" t="str" cm="1">
        <f t="array" ref="E28">_xlfn.LET(_xlpm.result,10*_xlfn.XLOOKUP($A28,$A$2:$A$22,_xlfn.XLOOKUP(E$1,$B$1:$H$1,$B$2:$H$22)),IF(_xlpm.result&lt;0,"",_xlpm.result))</f>
        <v/>
      </c>
      <c r="F28" s="1" t="str" cm="1">
        <f t="array" ref="F28">_xlfn.LET(_xlpm.result,10*_xlfn.XLOOKUP($A28,$A$2:$A$22,_xlfn.XLOOKUP(F$1,$B$1:$H$1,$B$2:$H$22)),IF(_xlpm.result&lt;0,"",_xlpm.result))</f>
        <v/>
      </c>
      <c r="G28" s="1" t="str" cm="1">
        <f t="array" ref="G28">_xlfn.LET(_xlpm.result,10*_xlfn.XLOOKUP($A28,$A$2:$A$22,_xlfn.XLOOKUP(G$1,$B$1:$H$1,$B$2:$H$22)),IF(_xlpm.result&lt;0,"",_xlpm.result))</f>
        <v/>
      </c>
      <c r="H28" s="1" t="str" cm="1">
        <f t="array" ref="H28">_xlfn.LET(_xlpm.result,10*_xlfn.XLOOKUP($A28,$A$2:$A$22,_xlfn.XLOOKUP(H$1,$B$1:$H$1,$B$2:$H$22)),IF(_xlpm.result&lt;0,"",_xlpm.result))</f>
        <v/>
      </c>
      <c r="I28" s="10">
        <f t="shared" si="1"/>
        <v>0</v>
      </c>
      <c r="P28" s="28"/>
    </row>
    <row r="29" spans="1:16" s="16" customFormat="1" x14ac:dyDescent="0.25">
      <c r="A29" t="s">
        <v>43</v>
      </c>
      <c r="B29" s="1" t="str" cm="1">
        <f t="array" ref="B29">_xlfn.LET(_xlpm.result,10*_xlfn.XLOOKUP($A29,$A$2:$A$22,_xlfn.XLOOKUP(B$1,$B$1:$H$1,$B$2:$H$22)),IF(_xlpm.result&lt;0,"",_xlpm.result))</f>
        <v/>
      </c>
      <c r="C29" s="1" t="str" cm="1">
        <f t="array" ref="C29">_xlfn.LET(_xlpm.result,10*_xlfn.XLOOKUP($A29,$A$2:$A$22,_xlfn.XLOOKUP(C$1,$B$1:$H$1,$B$2:$H$22)),IF(_xlpm.result&lt;0,"",_xlpm.result))</f>
        <v/>
      </c>
      <c r="D29" s="1" t="str" cm="1">
        <f t="array" ref="D29">_xlfn.LET(_xlpm.result,10*_xlfn.XLOOKUP($A29,$A$2:$A$22,_xlfn.XLOOKUP(D$1,$B$1:$H$1,$B$2:$H$22)),IF(_xlpm.result&lt;0,"",_xlpm.result))</f>
        <v/>
      </c>
      <c r="E29" s="1" t="str" cm="1">
        <f t="array" ref="E29">_xlfn.LET(_xlpm.result,10*_xlfn.XLOOKUP($A29,$A$2:$A$22,_xlfn.XLOOKUP(E$1,$B$1:$H$1,$B$2:$H$22)),IF(_xlpm.result&lt;0,"",_xlpm.result))</f>
        <v/>
      </c>
      <c r="F29" s="1" t="str" cm="1">
        <f t="array" ref="F29">_xlfn.LET(_xlpm.result,10*_xlfn.XLOOKUP($A29,$A$2:$A$22,_xlfn.XLOOKUP(F$1,$B$1:$H$1,$B$2:$H$22)),IF(_xlpm.result&lt;0,"",_xlpm.result))</f>
        <v/>
      </c>
      <c r="G29" s="1" t="str" cm="1">
        <f t="array" ref="G29">_xlfn.LET(_xlpm.result,10*_xlfn.XLOOKUP($A29,$A$2:$A$22,_xlfn.XLOOKUP(G$1,$B$1:$H$1,$B$2:$H$22)),IF(_xlpm.result&lt;0,"",_xlpm.result))</f>
        <v/>
      </c>
      <c r="H29" s="1" t="str" cm="1">
        <f t="array" ref="H29">_xlfn.LET(_xlpm.result,10*_xlfn.XLOOKUP($A29,$A$2:$A$22,_xlfn.XLOOKUP(H$1,$B$1:$H$1,$B$2:$H$22)),IF(_xlpm.result&lt;0,"",_xlpm.result))</f>
        <v/>
      </c>
      <c r="I29" s="10">
        <f t="shared" si="1"/>
        <v>0</v>
      </c>
      <c r="O29"/>
      <c r="P29" s="28"/>
    </row>
    <row r="30" spans="1:16" s="16" customFormat="1" x14ac:dyDescent="0.25">
      <c r="A30" t="s">
        <v>49</v>
      </c>
      <c r="B30" s="1" t="str" cm="1">
        <f t="array" ref="B30">_xlfn.LET(_xlpm.result,10*_xlfn.XLOOKUP($A30,$A$2:$A$22,_xlfn.XLOOKUP(B$1,$B$1:$H$1,$B$2:$H$22)),IF(_xlpm.result&lt;0,"",_xlpm.result))</f>
        <v/>
      </c>
      <c r="C30" s="1" t="str" cm="1">
        <f t="array" ref="C30">_xlfn.LET(_xlpm.result,10*_xlfn.XLOOKUP($A30,$A$2:$A$22,_xlfn.XLOOKUP(C$1,$B$1:$H$1,$B$2:$H$22)),IF(_xlpm.result&lt;0,"",_xlpm.result))</f>
        <v/>
      </c>
      <c r="D30" s="1" cm="1">
        <f t="array" ref="D30">_xlfn.LET(_xlpm.result,10*_xlfn.XLOOKUP($A30,$A$2:$A$22,_xlfn.XLOOKUP(D$1,$B$1:$H$1,$B$2:$H$22)),IF(_xlpm.result&lt;0,"",_xlpm.result))</f>
        <v>2.0000000000000102</v>
      </c>
      <c r="E30" s="1" t="str" cm="1">
        <f t="array" ref="E30">_xlfn.LET(_xlpm.result,10*_xlfn.XLOOKUP($A30,$A$2:$A$22,_xlfn.XLOOKUP(E$1,$B$1:$H$1,$B$2:$H$22)),IF(_xlpm.result&lt;0,"",_xlpm.result))</f>
        <v/>
      </c>
      <c r="F30" s="1" t="str" cm="1">
        <f t="array" ref="F30">_xlfn.LET(_xlpm.result,10*_xlfn.XLOOKUP($A30,$A$2:$A$22,_xlfn.XLOOKUP(F$1,$B$1:$H$1,$B$2:$H$22)),IF(_xlpm.result&lt;0,"",_xlpm.result))</f>
        <v/>
      </c>
      <c r="G30" s="1" t="str" cm="1">
        <f t="array" ref="G30">_xlfn.LET(_xlpm.result,10*_xlfn.XLOOKUP($A30,$A$2:$A$22,_xlfn.XLOOKUP(G$1,$B$1:$H$1,$B$2:$H$22)),IF(_xlpm.result&lt;0,"",_xlpm.result))</f>
        <v/>
      </c>
      <c r="H30" s="1" t="str" cm="1">
        <f t="array" ref="H30">_xlfn.LET(_xlpm.result,10*_xlfn.XLOOKUP($A30,$A$2:$A$22,_xlfn.XLOOKUP(H$1,$B$1:$H$1,$B$2:$H$22)),IF(_xlpm.result&lt;0,"",_xlpm.result))</f>
        <v/>
      </c>
      <c r="I30" s="10">
        <f t="shared" si="1"/>
        <v>2.0000000000000102</v>
      </c>
      <c r="O30"/>
      <c r="P30" s="28"/>
    </row>
    <row r="31" spans="1:16" x14ac:dyDescent="0.25">
      <c r="A31" t="s">
        <v>50</v>
      </c>
      <c r="B31" s="1" cm="1">
        <f t="array" ref="B31">_xlfn.LET(_xlpm.result,10*_xlfn.XLOOKUP($A31,$A$2:$A$22,_xlfn.XLOOKUP(B$1,$B$1:$H$1,$B$2:$H$22)),IF(_xlpm.result&lt;0,"",_xlpm.result))</f>
        <v>0</v>
      </c>
      <c r="C31" s="1" t="str" cm="1">
        <f t="array" ref="C31">_xlfn.LET(_xlpm.result,10*_xlfn.XLOOKUP($A31,$A$2:$A$22,_xlfn.XLOOKUP(C$1,$B$1:$H$1,$B$2:$H$22)),IF(_xlpm.result&lt;0,"",_xlpm.result))</f>
        <v/>
      </c>
      <c r="D31" s="1" cm="1">
        <f t="array" ref="D31">_xlfn.LET(_xlpm.result,10*_xlfn.XLOOKUP($A31,$A$2:$A$22,_xlfn.XLOOKUP(D$1,$B$1:$H$1,$B$2:$H$22)),IF(_xlpm.result&lt;0,"",_xlpm.result))</f>
        <v>3.9999999999999902</v>
      </c>
      <c r="E31" s="1" t="str" cm="1">
        <f t="array" ref="E31">_xlfn.LET(_xlpm.result,10*_xlfn.XLOOKUP($A31,$A$2:$A$22,_xlfn.XLOOKUP(E$1,$B$1:$H$1,$B$2:$H$22)),IF(_xlpm.result&lt;0,"",_xlpm.result))</f>
        <v/>
      </c>
      <c r="F31" s="1" t="str" cm="1">
        <f t="array" ref="F31">_xlfn.LET(_xlpm.result,10*_xlfn.XLOOKUP($A31,$A$2:$A$22,_xlfn.XLOOKUP(F$1,$B$1:$H$1,$B$2:$H$22)),IF(_xlpm.result&lt;0,"",_xlpm.result))</f>
        <v/>
      </c>
      <c r="G31" s="1" t="str" cm="1">
        <f t="array" ref="G31">_xlfn.LET(_xlpm.result,10*_xlfn.XLOOKUP($A31,$A$2:$A$22,_xlfn.XLOOKUP(G$1,$B$1:$H$1,$B$2:$H$22)),IF(_xlpm.result&lt;0,"",_xlpm.result))</f>
        <v/>
      </c>
      <c r="H31" s="1" t="str" cm="1">
        <f t="array" ref="H31">_xlfn.LET(_xlpm.result,10*_xlfn.XLOOKUP($A31,$A$2:$A$22,_xlfn.XLOOKUP(H$1,$B$1:$H$1,$B$2:$H$22)),IF(_xlpm.result&lt;0,"",_xlpm.result))</f>
        <v/>
      </c>
      <c r="I31" s="10">
        <f t="shared" si="1"/>
        <v>3.9999999999999902</v>
      </c>
      <c r="P31" s="28"/>
    </row>
    <row r="32" spans="1:16" x14ac:dyDescent="0.25">
      <c r="A32" t="s">
        <v>19</v>
      </c>
      <c r="B32" s="1" t="str" cm="1">
        <f t="array" ref="B32">_xlfn.LET(_xlpm.result,10*_xlfn.XLOOKUP($A32,$A$2:$A$22,_xlfn.XLOOKUP(B$1,$B$1:$H$1,$B$2:$H$22)),IF(_xlpm.result&lt;0,"",_xlpm.result))</f>
        <v/>
      </c>
      <c r="C32" s="1" t="str" cm="1">
        <f t="array" ref="C32">_xlfn.LET(_xlpm.result,10*_xlfn.XLOOKUP($A32,$A$2:$A$22,_xlfn.XLOOKUP(C$1,$B$1:$H$1,$B$2:$H$22)),IF(_xlpm.result&lt;0,"",_xlpm.result))</f>
        <v/>
      </c>
      <c r="D32" s="1" t="str" cm="1">
        <f t="array" ref="D32">_xlfn.LET(_xlpm.result,10*_xlfn.XLOOKUP($A32,$A$2:$A$22,_xlfn.XLOOKUP(D$1,$B$1:$H$1,$B$2:$H$22)),IF(_xlpm.result&lt;0,"",_xlpm.result))</f>
        <v/>
      </c>
      <c r="E32" s="1" t="str" cm="1">
        <f t="array" ref="E32">_xlfn.LET(_xlpm.result,10*_xlfn.XLOOKUP($A32,$A$2:$A$22,_xlfn.XLOOKUP(E$1,$B$1:$H$1,$B$2:$H$22)),IF(_xlpm.result&lt;0,"",_xlpm.result))</f>
        <v/>
      </c>
      <c r="F32" s="1" t="str" cm="1">
        <f t="array" ref="F32">_xlfn.LET(_xlpm.result,10*_xlfn.XLOOKUP($A32,$A$2:$A$22,_xlfn.XLOOKUP(F$1,$B$1:$H$1,$B$2:$H$22)),IF(_xlpm.result&lt;0,"",_xlpm.result))</f>
        <v/>
      </c>
      <c r="G32" s="1" cm="1">
        <f t="array" ref="G32">_xlfn.LET(_xlpm.result,10*_xlfn.XLOOKUP($A32,$A$2:$A$22,_xlfn.XLOOKUP(G$1,$B$1:$H$1,$B$2:$H$22)),IF(_xlpm.result&lt;0,"",_xlpm.result))</f>
        <v>15</v>
      </c>
      <c r="H32" s="1" t="str" cm="1">
        <f t="array" ref="H32">_xlfn.LET(_xlpm.result,10*_xlfn.XLOOKUP($A32,$A$2:$A$22,_xlfn.XLOOKUP(H$1,$B$1:$H$1,$B$2:$H$22)),IF(_xlpm.result&lt;0,"",_xlpm.result))</f>
        <v/>
      </c>
      <c r="I32" s="10">
        <f t="shared" si="1"/>
        <v>15</v>
      </c>
      <c r="P32" s="1"/>
    </row>
    <row r="33" spans="1:16" x14ac:dyDescent="0.25">
      <c r="A33" t="s">
        <v>23</v>
      </c>
      <c r="B33" s="1" t="str" cm="1">
        <f t="array" ref="B33">_xlfn.LET(_xlpm.result,10*_xlfn.XLOOKUP($A33,$A$2:$A$22,_xlfn.XLOOKUP(B$1,$B$1:$H$1,$B$2:$H$22)),IF(_xlpm.result&lt;0,"",_xlpm.result))</f>
        <v/>
      </c>
      <c r="C33" s="1" t="str" cm="1">
        <f t="array" ref="C33">_xlfn.LET(_xlpm.result,10*_xlfn.XLOOKUP($A33,$A$2:$A$22,_xlfn.XLOOKUP(C$1,$B$1:$H$1,$B$2:$H$22)),IF(_xlpm.result&lt;0,"",_xlpm.result))</f>
        <v/>
      </c>
      <c r="D33" s="1" cm="1">
        <f t="array" ref="D33">_xlfn.LET(_xlpm.result,10*_xlfn.XLOOKUP($A33,$A$2:$A$22,_xlfn.XLOOKUP(D$1,$B$1:$H$1,$B$2:$H$22)),IF(_xlpm.result&lt;0,"",_xlpm.result))</f>
        <v>0</v>
      </c>
      <c r="E33" s="1" cm="1">
        <f t="array" ref="E33">_xlfn.LET(_xlpm.result,10*_xlfn.XLOOKUP($A33,$A$2:$A$22,_xlfn.XLOOKUP(E$1,$B$1:$H$1,$B$2:$H$22)),IF(_xlpm.result&lt;0,"",_xlpm.result))</f>
        <v>20.999999999999901</v>
      </c>
      <c r="F33" s="1" t="str" cm="1">
        <f t="array" ref="F33">_xlfn.LET(_xlpm.result,10*_xlfn.XLOOKUP($A33,$A$2:$A$22,_xlfn.XLOOKUP(F$1,$B$1:$H$1,$B$2:$H$22)),IF(_xlpm.result&lt;0,"",_xlpm.result))</f>
        <v/>
      </c>
      <c r="G33" s="1" t="str" cm="1">
        <f t="array" ref="G33">_xlfn.LET(_xlpm.result,10*_xlfn.XLOOKUP($A33,$A$2:$A$22,_xlfn.XLOOKUP(G$1,$B$1:$H$1,$B$2:$H$22)),IF(_xlpm.result&lt;0,"",_xlpm.result))</f>
        <v/>
      </c>
      <c r="H33" s="1" t="str" cm="1">
        <f t="array" ref="H33">_xlfn.LET(_xlpm.result,10*_xlfn.XLOOKUP($A33,$A$2:$A$22,_xlfn.XLOOKUP(H$1,$B$1:$H$1,$B$2:$H$22)),IF(_xlpm.result&lt;0,"",_xlpm.result))</f>
        <v/>
      </c>
      <c r="I33" s="10">
        <f t="shared" si="1"/>
        <v>20.999999999999901</v>
      </c>
      <c r="P33" s="1"/>
    </row>
    <row r="34" spans="1:16" x14ac:dyDescent="0.25">
      <c r="A34" t="s">
        <v>41</v>
      </c>
      <c r="B34" s="1" t="str" cm="1">
        <f t="array" ref="B34">_xlfn.LET(_xlpm.result,10*_xlfn.XLOOKUP($A34,$A$2:$A$22,_xlfn.XLOOKUP(B$1,$B$1:$H$1,$B$2:$H$22)),IF(_xlpm.result&lt;0,"",_xlpm.result))</f>
        <v/>
      </c>
      <c r="C34" s="1" t="str" cm="1">
        <f t="array" ref="C34">_xlfn.LET(_xlpm.result,10*_xlfn.XLOOKUP($A34,$A$2:$A$22,_xlfn.XLOOKUP(C$1,$B$1:$H$1,$B$2:$H$22)),IF(_xlpm.result&lt;0,"",_xlpm.result))</f>
        <v/>
      </c>
      <c r="D34" s="1" t="str" cm="1">
        <f t="array" ref="D34">_xlfn.LET(_xlpm.result,10*_xlfn.XLOOKUP($A34,$A$2:$A$22,_xlfn.XLOOKUP(D$1,$B$1:$H$1,$B$2:$H$22)),IF(_xlpm.result&lt;0,"",_xlpm.result))</f>
        <v/>
      </c>
      <c r="E34" s="1" t="str" cm="1">
        <f t="array" ref="E34">_xlfn.LET(_xlpm.result,10*_xlfn.XLOOKUP($A34,$A$2:$A$22,_xlfn.XLOOKUP(E$1,$B$1:$H$1,$B$2:$H$22)),IF(_xlpm.result&lt;0,"",_xlpm.result))</f>
        <v/>
      </c>
      <c r="F34" s="1" cm="1">
        <f t="array" ref="F34">_xlfn.LET(_xlpm.result,10*_xlfn.XLOOKUP($A34,$A$2:$A$22,_xlfn.XLOOKUP(F$1,$B$1:$H$1,$B$2:$H$22)),IF(_xlpm.result&lt;0,"",_xlpm.result))</f>
        <v>4</v>
      </c>
      <c r="G34" s="1" cm="1">
        <f t="array" ref="G34">_xlfn.LET(_xlpm.result,10*_xlfn.XLOOKUP($A34,$A$2:$A$22,_xlfn.XLOOKUP(G$1,$B$1:$H$1,$B$2:$H$22)),IF(_xlpm.result&lt;0,"",_xlpm.result))</f>
        <v>26.999999999999901</v>
      </c>
      <c r="H34" s="1" t="str" cm="1">
        <f t="array" ref="H34">_xlfn.LET(_xlpm.result,10*_xlfn.XLOOKUP($A34,$A$2:$A$22,_xlfn.XLOOKUP(H$1,$B$1:$H$1,$B$2:$H$22)),IF(_xlpm.result&lt;0,"",_xlpm.result))</f>
        <v/>
      </c>
      <c r="I34" s="10">
        <f t="shared" si="1"/>
        <v>26.999999999999901</v>
      </c>
      <c r="P34" s="1"/>
    </row>
    <row r="35" spans="1:16" s="16" customFormat="1" x14ac:dyDescent="0.25">
      <c r="A35" t="s">
        <v>27</v>
      </c>
      <c r="B35" s="1" t="str" cm="1">
        <f t="array" ref="B35">_xlfn.LET(_xlpm.result,10*_xlfn.XLOOKUP($A35,$A$2:$A$22,_xlfn.XLOOKUP(B$1,$B$1:$H$1,$B$2:$H$22)),IF(_xlpm.result&lt;0,"",_xlpm.result))</f>
        <v/>
      </c>
      <c r="C35" s="1" t="str" cm="1">
        <f t="array" ref="C35">_xlfn.LET(_xlpm.result,10*_xlfn.XLOOKUP($A35,$A$2:$A$22,_xlfn.XLOOKUP(C$1,$B$1:$H$1,$B$2:$H$22)),IF(_xlpm.result&lt;0,"",_xlpm.result))</f>
        <v/>
      </c>
      <c r="D35" s="1" t="str" cm="1">
        <f t="array" ref="D35">_xlfn.LET(_xlpm.result,10*_xlfn.XLOOKUP($A35,$A$2:$A$22,_xlfn.XLOOKUP(D$1,$B$1:$H$1,$B$2:$H$22)),IF(_xlpm.result&lt;0,"",_xlpm.result))</f>
        <v/>
      </c>
      <c r="E35" s="1" cm="1">
        <f t="array" ref="E35">_xlfn.LET(_xlpm.result,10*_xlfn.XLOOKUP($A35,$A$2:$A$22,_xlfn.XLOOKUP(E$1,$B$1:$H$1,$B$2:$H$22)),IF(_xlpm.result&lt;0,"",_xlpm.result))</f>
        <v>35</v>
      </c>
      <c r="F35" s="1" t="str" cm="1">
        <f t="array" ref="F35">_xlfn.LET(_xlpm.result,10*_xlfn.XLOOKUP($A35,$A$2:$A$22,_xlfn.XLOOKUP(F$1,$B$1:$H$1,$B$2:$H$22)),IF(_xlpm.result&lt;0,"",_xlpm.result))</f>
        <v/>
      </c>
      <c r="G35" s="1" cm="1">
        <f t="array" ref="G35">_xlfn.LET(_xlpm.result,10*_xlfn.XLOOKUP($A35,$A$2:$A$22,_xlfn.XLOOKUP(G$1,$B$1:$H$1,$B$2:$H$22)),IF(_xlpm.result&lt;0,"",_xlpm.result))</f>
        <v>31</v>
      </c>
      <c r="H35" s="1" cm="1">
        <f t="array" ref="H35">_xlfn.LET(_xlpm.result,10*_xlfn.XLOOKUP($A35,$A$2:$A$22,_xlfn.XLOOKUP(H$1,$B$1:$H$1,$B$2:$H$22)),IF(_xlpm.result&lt;0,"",_xlpm.result))</f>
        <v>21</v>
      </c>
      <c r="I35" s="10">
        <f t="shared" si="1"/>
        <v>35</v>
      </c>
    </row>
    <row r="36" spans="1:16" s="16" customFormat="1" x14ac:dyDescent="0.25">
      <c r="A36" t="s">
        <v>35</v>
      </c>
      <c r="B36" s="1" cm="1">
        <f t="array" ref="B36">_xlfn.LET(_xlpm.result,10*_xlfn.XLOOKUP($A36,$A$2:$A$22,_xlfn.XLOOKUP(B$1,$B$1:$H$1,$B$2:$H$22)),IF(_xlpm.result&lt;0,"",_xlpm.result))</f>
        <v>38</v>
      </c>
      <c r="C36" s="1" t="str" cm="1">
        <f t="array" ref="C36">_xlfn.LET(_xlpm.result,10*_xlfn.XLOOKUP($A36,$A$2:$A$22,_xlfn.XLOOKUP(C$1,$B$1:$H$1,$B$2:$H$22)),IF(_xlpm.result&lt;0,"",_xlpm.result))</f>
        <v/>
      </c>
      <c r="D36" s="1" t="str" cm="1">
        <f t="array" ref="D36">_xlfn.LET(_xlpm.result,10*_xlfn.XLOOKUP($A36,$A$2:$A$22,_xlfn.XLOOKUP(D$1,$B$1:$H$1,$B$2:$H$22)),IF(_xlpm.result&lt;0,"",_xlpm.result))</f>
        <v/>
      </c>
      <c r="E36" s="1" t="str" cm="1">
        <f t="array" ref="E36">_xlfn.LET(_xlpm.result,10*_xlfn.XLOOKUP($A36,$A$2:$A$22,_xlfn.XLOOKUP(E$1,$B$1:$H$1,$B$2:$H$22)),IF(_xlpm.result&lt;0,"",_xlpm.result))</f>
        <v/>
      </c>
      <c r="F36" s="1" t="str" cm="1">
        <f t="array" ref="F36">_xlfn.LET(_xlpm.result,10*_xlfn.XLOOKUP($A36,$A$2:$A$22,_xlfn.XLOOKUP(F$1,$B$1:$H$1,$B$2:$H$22)),IF(_xlpm.result&lt;0,"",_xlpm.result))</f>
        <v/>
      </c>
      <c r="G36" s="1" t="str" cm="1">
        <f t="array" ref="G36">_xlfn.LET(_xlpm.result,10*_xlfn.XLOOKUP($A36,$A$2:$A$22,_xlfn.XLOOKUP(G$1,$B$1:$H$1,$B$2:$H$22)),IF(_xlpm.result&lt;0,"",_xlpm.result))</f>
        <v/>
      </c>
      <c r="H36" s="1" t="str" cm="1">
        <f t="array" ref="H36">_xlfn.LET(_xlpm.result,10*_xlfn.XLOOKUP($A36,$A$2:$A$22,_xlfn.XLOOKUP(H$1,$B$1:$H$1,$B$2:$H$22)),IF(_xlpm.result&lt;0,"",_xlpm.result))</f>
        <v/>
      </c>
      <c r="I36" s="10">
        <f t="shared" si="1"/>
        <v>38</v>
      </c>
    </row>
    <row r="37" spans="1:16" x14ac:dyDescent="0.25">
      <c r="A37" t="s">
        <v>38</v>
      </c>
      <c r="B37" s="1" cm="1">
        <f t="array" ref="B37">_xlfn.LET(_xlpm.result,10*_xlfn.XLOOKUP($A37,$A$2:$A$22,_xlfn.XLOOKUP(B$1,$B$1:$H$1,$B$2:$H$22)),IF(_xlpm.result&lt;0,"",_xlpm.result))</f>
        <v>0</v>
      </c>
      <c r="C37" s="1" cm="1">
        <f t="array" ref="C37">_xlfn.LET(_xlpm.result,10*_xlfn.XLOOKUP($A37,$A$2:$A$22,_xlfn.XLOOKUP(C$1,$B$1:$H$1,$B$2:$H$22)),IF(_xlpm.result&lt;0,"",_xlpm.result))</f>
        <v>34</v>
      </c>
      <c r="D37" s="1" cm="1">
        <f t="array" ref="D37">_xlfn.LET(_xlpm.result,10*_xlfn.XLOOKUP($A37,$A$2:$A$22,_xlfn.XLOOKUP(D$1,$B$1:$H$1,$B$2:$H$22)),IF(_xlpm.result&lt;0,"",_xlpm.result))</f>
        <v>38</v>
      </c>
      <c r="E37" s="1" t="str" cm="1">
        <f t="array" ref="E37">_xlfn.LET(_xlpm.result,10*_xlfn.XLOOKUP($A37,$A$2:$A$22,_xlfn.XLOOKUP(E$1,$B$1:$H$1,$B$2:$H$22)),IF(_xlpm.result&lt;0,"",_xlpm.result))</f>
        <v/>
      </c>
      <c r="F37" s="1" cm="1">
        <f t="array" ref="F37">_xlfn.LET(_xlpm.result,10*_xlfn.XLOOKUP($A37,$A$2:$A$22,_xlfn.XLOOKUP(F$1,$B$1:$H$1,$B$2:$H$22)),IF(_xlpm.result&lt;0,"",_xlpm.result))</f>
        <v>16</v>
      </c>
      <c r="G37" s="1" t="str" cm="1">
        <f t="array" ref="G37">_xlfn.LET(_xlpm.result,10*_xlfn.XLOOKUP($A37,$A$2:$A$22,_xlfn.XLOOKUP(G$1,$B$1:$H$1,$B$2:$H$22)),IF(_xlpm.result&lt;0,"",_xlpm.result))</f>
        <v/>
      </c>
      <c r="H37" s="1" t="str" cm="1">
        <f t="array" ref="H37">_xlfn.LET(_xlpm.result,10*_xlfn.XLOOKUP($A37,$A$2:$A$22,_xlfn.XLOOKUP(H$1,$B$1:$H$1,$B$2:$H$22)),IF(_xlpm.result&lt;0,"",_xlpm.result))</f>
        <v/>
      </c>
      <c r="I37" s="10">
        <f t="shared" si="1"/>
        <v>38</v>
      </c>
    </row>
    <row r="38" spans="1:16" s="16" customFormat="1" x14ac:dyDescent="0.25">
      <c r="A38" t="s">
        <v>42</v>
      </c>
      <c r="B38" s="1" t="str" cm="1">
        <f t="array" ref="B38">_xlfn.LET(_xlpm.result,10*_xlfn.XLOOKUP($A38,$A$2:$A$22,_xlfn.XLOOKUP(B$1,$B$1:$H$1,$B$2:$H$22)),IF(_xlpm.result&lt;0,"",_xlpm.result))</f>
        <v/>
      </c>
      <c r="C38" s="1" t="str" cm="1">
        <f t="array" ref="C38">_xlfn.LET(_xlpm.result,10*_xlfn.XLOOKUP($A38,$A$2:$A$22,_xlfn.XLOOKUP(C$1,$B$1:$H$1,$B$2:$H$22)),IF(_xlpm.result&lt;0,"",_xlpm.result))</f>
        <v/>
      </c>
      <c r="D38" s="1" cm="1">
        <f t="array" ref="D38">_xlfn.LET(_xlpm.result,10*_xlfn.XLOOKUP($A38,$A$2:$A$22,_xlfn.XLOOKUP(D$1,$B$1:$H$1,$B$2:$H$22)),IF(_xlpm.result&lt;0,"",_xlpm.result))</f>
        <v>0</v>
      </c>
      <c r="E38" s="1" cm="1">
        <f t="array" ref="E38">_xlfn.LET(_xlpm.result,10*_xlfn.XLOOKUP($A38,$A$2:$A$22,_xlfn.XLOOKUP(E$1,$B$1:$H$1,$B$2:$H$22)),IF(_xlpm.result&lt;0,"",_xlpm.result))</f>
        <v>10</v>
      </c>
      <c r="F38" s="1" cm="1">
        <f t="array" ref="F38">_xlfn.LET(_xlpm.result,10*_xlfn.XLOOKUP($A38,$A$2:$A$22,_xlfn.XLOOKUP(F$1,$B$1:$H$1,$B$2:$H$22)),IF(_xlpm.result&lt;0,"",_xlpm.result))</f>
        <v>14</v>
      </c>
      <c r="G38" s="1" cm="1">
        <f t="array" ref="G38">_xlfn.LET(_xlpm.result,10*_xlfn.XLOOKUP($A38,$A$2:$A$22,_xlfn.XLOOKUP(G$1,$B$1:$H$1,$B$2:$H$22)),IF(_xlpm.result&lt;0,"",_xlpm.result))</f>
        <v>41</v>
      </c>
      <c r="H38" s="1" t="str" cm="1">
        <f t="array" ref="H38">_xlfn.LET(_xlpm.result,10*_xlfn.XLOOKUP($A38,$A$2:$A$22,_xlfn.XLOOKUP(H$1,$B$1:$H$1,$B$2:$H$22)),IF(_xlpm.result&lt;0,"",_xlpm.result))</f>
        <v/>
      </c>
      <c r="I38" s="10">
        <f t="shared" si="1"/>
        <v>41</v>
      </c>
    </row>
    <row r="39" spans="1:16" x14ac:dyDescent="0.25">
      <c r="A39" t="s">
        <v>20</v>
      </c>
      <c r="B39" s="1" cm="1">
        <f t="array" ref="B39">_xlfn.LET(_xlpm.result,10*_xlfn.XLOOKUP($A39,$A$2:$A$22,_xlfn.XLOOKUP(B$1,$B$1:$H$1,$B$2:$H$22)),IF(_xlpm.result&lt;0,"",_xlpm.result))</f>
        <v>38</v>
      </c>
      <c r="C39" s="1" cm="1">
        <f t="array" ref="C39">_xlfn.LET(_xlpm.result,10*_xlfn.XLOOKUP($A39,$A$2:$A$22,_xlfn.XLOOKUP(C$1,$B$1:$H$1,$B$2:$H$22)),IF(_xlpm.result&lt;0,"",_xlpm.result))</f>
        <v>42</v>
      </c>
      <c r="D39" s="1" t="str" cm="1">
        <f t="array" ref="D39">_xlfn.LET(_xlpm.result,10*_xlfn.XLOOKUP($A39,$A$2:$A$22,_xlfn.XLOOKUP(D$1,$B$1:$H$1,$B$2:$H$22)),IF(_xlpm.result&lt;0,"",_xlpm.result))</f>
        <v/>
      </c>
      <c r="E39" s="1" t="str" cm="1">
        <f t="array" ref="E39">_xlfn.LET(_xlpm.result,10*_xlfn.XLOOKUP($A39,$A$2:$A$22,_xlfn.XLOOKUP(E$1,$B$1:$H$1,$B$2:$H$22)),IF(_xlpm.result&lt;0,"",_xlpm.result))</f>
        <v/>
      </c>
      <c r="F39" s="1" cm="1">
        <f t="array" ref="F39">_xlfn.LET(_xlpm.result,10*_xlfn.XLOOKUP($A39,$A$2:$A$22,_xlfn.XLOOKUP(F$1,$B$1:$H$1,$B$2:$H$22)),IF(_xlpm.result&lt;0,"",_xlpm.result))</f>
        <v>5</v>
      </c>
      <c r="G39" s="1" t="str" cm="1">
        <f t="array" ref="G39">_xlfn.LET(_xlpm.result,10*_xlfn.XLOOKUP($A39,$A$2:$A$22,_xlfn.XLOOKUP(G$1,$B$1:$H$1,$B$2:$H$22)),IF(_xlpm.result&lt;0,"",_xlpm.result))</f>
        <v/>
      </c>
      <c r="H39" s="1" cm="1">
        <f t="array" ref="H39">_xlfn.LET(_xlpm.result,10*_xlfn.XLOOKUP($A39,$A$2:$A$22,_xlfn.XLOOKUP(H$1,$B$1:$H$1,$B$2:$H$22)),IF(_xlpm.result&lt;0,"",_xlpm.result))</f>
        <v>38</v>
      </c>
      <c r="I39" s="10">
        <f t="shared" si="1"/>
        <v>42</v>
      </c>
    </row>
    <row r="40" spans="1:16" s="16" customFormat="1" x14ac:dyDescent="0.25">
      <c r="A40" t="s">
        <v>25</v>
      </c>
      <c r="B40" s="1" t="str" cm="1">
        <f t="array" ref="B40">_xlfn.LET(_xlpm.result,10*_xlfn.XLOOKUP($A40,$A$2:$A$22,_xlfn.XLOOKUP(B$1,$B$1:$H$1,$B$2:$H$22)),IF(_xlpm.result&lt;0,"",_xlpm.result))</f>
        <v/>
      </c>
      <c r="C40" s="1" t="str" cm="1">
        <f t="array" ref="C40">_xlfn.LET(_xlpm.result,10*_xlfn.XLOOKUP($A40,$A$2:$A$22,_xlfn.XLOOKUP(C$1,$B$1:$H$1,$B$2:$H$22)),IF(_xlpm.result&lt;0,"",_xlpm.result))</f>
        <v/>
      </c>
      <c r="D40" s="1" t="str" cm="1">
        <f t="array" ref="D40">_xlfn.LET(_xlpm.result,10*_xlfn.XLOOKUP($A40,$A$2:$A$22,_xlfn.XLOOKUP(D$1,$B$1:$H$1,$B$2:$H$22)),IF(_xlpm.result&lt;0,"",_xlpm.result))</f>
        <v/>
      </c>
      <c r="E40" s="1" t="str" cm="1">
        <f t="array" ref="E40">_xlfn.LET(_xlpm.result,10*_xlfn.XLOOKUP($A40,$A$2:$A$22,_xlfn.XLOOKUP(E$1,$B$1:$H$1,$B$2:$H$22)),IF(_xlpm.result&lt;0,"",_xlpm.result))</f>
        <v/>
      </c>
      <c r="F40" s="1" t="str" cm="1">
        <f t="array" ref="F40">_xlfn.LET(_xlpm.result,10*_xlfn.XLOOKUP($A40,$A$2:$A$22,_xlfn.XLOOKUP(F$1,$B$1:$H$1,$B$2:$H$22)),IF(_xlpm.result&lt;0,"",_xlpm.result))</f>
        <v/>
      </c>
      <c r="G40" s="1" t="str" cm="1">
        <f t="array" ref="G40">_xlfn.LET(_xlpm.result,10*_xlfn.XLOOKUP($A40,$A$2:$A$22,_xlfn.XLOOKUP(G$1,$B$1:$H$1,$B$2:$H$22)),IF(_xlpm.result&lt;0,"",_xlpm.result))</f>
        <v/>
      </c>
      <c r="H40" s="1" cm="1">
        <f t="array" ref="H40">_xlfn.LET(_xlpm.result,10*_xlfn.XLOOKUP($A40,$A$2:$A$22,_xlfn.XLOOKUP(H$1,$B$1:$H$1,$B$2:$H$22)),IF(_xlpm.result&lt;0,"",_xlpm.result))</f>
        <v>47</v>
      </c>
      <c r="I40" s="10">
        <f t="shared" si="1"/>
        <v>47</v>
      </c>
    </row>
    <row r="41" spans="1:16" s="16" customFormat="1" ht="21" x14ac:dyDescent="0.35">
      <c r="A41" t="s">
        <v>48</v>
      </c>
      <c r="B41" s="1" t="str" cm="1">
        <f t="array" ref="B41">_xlfn.LET(_xlpm.result,10*_xlfn.XLOOKUP($A41,$A$2:$A$22,_xlfn.XLOOKUP(B$1,$B$1:$H$1,$B$2:$H$22)),IF(_xlpm.result&lt;0,"",_xlpm.result))</f>
        <v/>
      </c>
      <c r="C41" s="1" cm="1">
        <f t="array" ref="C41">_xlfn.LET(_xlpm.result,10*_xlfn.XLOOKUP($A41,$A$2:$A$22,_xlfn.XLOOKUP(C$1,$B$1:$H$1,$B$2:$H$22)),IF(_xlpm.result&lt;0,"",_xlpm.result))</f>
        <v>41</v>
      </c>
      <c r="D41" s="21" cm="1">
        <f t="array" ref="D41">_xlfn.LET(_xlpm.result,10*_xlfn.XLOOKUP($A41,$A$2:$A$22,_xlfn.XLOOKUP(D$1,$B$1:$H$1,$B$2:$H$22)),IF(_xlpm.result&lt;0,"",_xlpm.result))</f>
        <v>74</v>
      </c>
      <c r="E41" s="1" cm="1">
        <f t="array" ref="E41">_xlfn.LET(_xlpm.result,10*_xlfn.XLOOKUP($A41,$A$2:$A$22,_xlfn.XLOOKUP(E$1,$B$1:$H$1,$B$2:$H$22)),IF(_xlpm.result&lt;0,"",_xlpm.result))</f>
        <v>36</v>
      </c>
      <c r="F41" s="1" cm="1">
        <f t="array" ref="F41">_xlfn.LET(_xlpm.result,10*_xlfn.XLOOKUP($A41,$A$2:$A$22,_xlfn.XLOOKUP(F$1,$B$1:$H$1,$B$2:$H$22)),IF(_xlpm.result&lt;0,"",_xlpm.result))</f>
        <v>53</v>
      </c>
      <c r="G41" s="1" cm="1">
        <f t="array" ref="G41">_xlfn.LET(_xlpm.result,10*_xlfn.XLOOKUP($A41,$A$2:$A$22,_xlfn.XLOOKUP(G$1,$B$1:$H$1,$B$2:$H$22)),IF(_xlpm.result&lt;0,"",_xlpm.result))</f>
        <v>40</v>
      </c>
      <c r="H41" s="1" cm="1">
        <f t="array" ref="H41">_xlfn.LET(_xlpm.result,10*_xlfn.XLOOKUP($A41,$A$2:$A$22,_xlfn.XLOOKUP(H$1,$B$1:$H$1,$B$2:$H$22)),IF(_xlpm.result&lt;0,"",_xlpm.result))</f>
        <v>53</v>
      </c>
      <c r="I41" s="10">
        <f t="shared" si="1"/>
        <v>74</v>
      </c>
      <c r="J41" s="28"/>
    </row>
    <row r="42" spans="1:16" s="25" customFormat="1" ht="21" x14ac:dyDescent="0.35">
      <c r="A42" t="s">
        <v>24</v>
      </c>
      <c r="B42" s="1" t="str" cm="1">
        <f t="array" ref="B42">_xlfn.LET(_xlpm.result,10*_xlfn.XLOOKUP($A42,$A$2:$A$22,_xlfn.XLOOKUP(B$1,$B$1:$H$1,$B$2:$H$22)),IF(_xlpm.result&lt;0,"",_xlpm.result))</f>
        <v/>
      </c>
      <c r="C42" s="1" t="str" cm="1">
        <f t="array" ref="C42">_xlfn.LET(_xlpm.result,10*_xlfn.XLOOKUP($A42,$A$2:$A$22,_xlfn.XLOOKUP(C$1,$B$1:$H$1,$B$2:$H$22)),IF(_xlpm.result&lt;0,"",_xlpm.result))</f>
        <v/>
      </c>
      <c r="D42" s="1" t="str" cm="1">
        <f t="array" ref="D42">_xlfn.LET(_xlpm.result,10*_xlfn.XLOOKUP($A42,$A$2:$A$22,_xlfn.XLOOKUP(D$1,$B$1:$H$1,$B$2:$H$22)),IF(_xlpm.result&lt;0,"",_xlpm.result))</f>
        <v/>
      </c>
      <c r="E42" s="21" cm="1">
        <f t="array" ref="E42">_xlfn.LET(_xlpm.result,10*_xlfn.XLOOKUP($A42,$A$2:$A$22,_xlfn.XLOOKUP(E$1,$B$1:$H$1,$B$2:$H$22)),IF(_xlpm.result&lt;0,"",_xlpm.result))</f>
        <v>80</v>
      </c>
      <c r="F42" s="1" t="str" cm="1">
        <f t="array" ref="F42">_xlfn.LET(_xlpm.result,10*_xlfn.XLOOKUP($A42,$A$2:$A$22,_xlfn.XLOOKUP(F$1,$B$1:$H$1,$B$2:$H$22)),IF(_xlpm.result&lt;0,"",_xlpm.result))</f>
        <v/>
      </c>
      <c r="G42" s="1" t="str" cm="1">
        <f t="array" ref="G42">_xlfn.LET(_xlpm.result,10*_xlfn.XLOOKUP($A42,$A$2:$A$22,_xlfn.XLOOKUP(G$1,$B$1:$H$1,$B$2:$H$22)),IF(_xlpm.result&lt;0,"",_xlpm.result))</f>
        <v/>
      </c>
      <c r="H42" s="1" t="str" cm="1">
        <f t="array" ref="H42">_xlfn.LET(_xlpm.result,10*_xlfn.XLOOKUP($A42,$A$2:$A$22,_xlfn.XLOOKUP(H$1,$B$1:$H$1,$B$2:$H$22)),IF(_xlpm.result&lt;0,"",_xlpm.result))</f>
        <v/>
      </c>
      <c r="I42" s="10">
        <f t="shared" si="1"/>
        <v>80</v>
      </c>
      <c r="J42" s="28">
        <v>7</v>
      </c>
    </row>
    <row r="43" spans="1:16" ht="21" x14ac:dyDescent="0.35">
      <c r="A43" t="s">
        <v>33</v>
      </c>
      <c r="B43" s="1" cm="1">
        <f t="array" ref="B43">_xlfn.LET(_xlpm.result,10*_xlfn.XLOOKUP($A43,$A$2:$A$22,_xlfn.XLOOKUP(B$1,$B$1:$H$1,$B$2:$H$22)),IF(_xlpm.result&lt;0,"",_xlpm.result))</f>
        <v>30</v>
      </c>
      <c r="C43" s="21" cm="1">
        <f t="array" ref="C43">_xlfn.LET(_xlpm.result,10*_xlfn.XLOOKUP($A43,$A$2:$A$22,_xlfn.XLOOKUP(C$1,$B$1:$H$1,$B$2:$H$22)),IF(_xlpm.result&lt;0,"",_xlpm.result))</f>
        <v>90</v>
      </c>
      <c r="D43" s="1" t="str" cm="1">
        <f t="array" ref="D43">_xlfn.LET(_xlpm.result,10*_xlfn.XLOOKUP($A43,$A$2:$A$22,_xlfn.XLOOKUP(D$1,$B$1:$H$1,$B$2:$H$22)),IF(_xlpm.result&lt;0,"",_xlpm.result))</f>
        <v/>
      </c>
      <c r="E43" s="1" cm="1">
        <f t="array" ref="E43">_xlfn.LET(_xlpm.result,10*_xlfn.XLOOKUP($A43,$A$2:$A$22,_xlfn.XLOOKUP(E$1,$B$1:$H$1,$B$2:$H$22)),IF(_xlpm.result&lt;0,"",_xlpm.result))</f>
        <v>67</v>
      </c>
      <c r="F43" s="1" t="str" cm="1">
        <f t="array" ref="F43">_xlfn.LET(_xlpm.result,10*_xlfn.XLOOKUP($A43,$A$2:$A$22,_xlfn.XLOOKUP(F$1,$B$1:$H$1,$B$2:$H$22)),IF(_xlpm.result&lt;0,"",_xlpm.result))</f>
        <v/>
      </c>
      <c r="G43" s="1" t="str" cm="1">
        <f t="array" ref="G43">_xlfn.LET(_xlpm.result,10*_xlfn.XLOOKUP($A43,$A$2:$A$22,_xlfn.XLOOKUP(G$1,$B$1:$H$1,$B$2:$H$22)),IF(_xlpm.result&lt;0,"",_xlpm.result))</f>
        <v/>
      </c>
      <c r="H43" s="1" cm="1">
        <f t="array" ref="H43">_xlfn.LET(_xlpm.result,10*_xlfn.XLOOKUP($A43,$A$2:$A$22,_xlfn.XLOOKUP(H$1,$B$1:$H$1,$B$2:$H$22)),IF(_xlpm.result&lt;0,"",_xlpm.result))</f>
        <v>90</v>
      </c>
      <c r="I43" s="10">
        <f t="shared" si="1"/>
        <v>90</v>
      </c>
      <c r="J43" s="28">
        <v>6</v>
      </c>
    </row>
    <row r="44" spans="1:16" s="16" customFormat="1" ht="21" x14ac:dyDescent="0.35">
      <c r="A44" t="s">
        <v>45</v>
      </c>
      <c r="B44" s="1" cm="1">
        <f t="array" ref="B44">_xlfn.LET(_xlpm.result,10*_xlfn.XLOOKUP($A44,$A$2:$A$22,_xlfn.XLOOKUP(B$1,$B$1:$H$1,$B$2:$H$22)),IF(_xlpm.result&lt;0,"",_xlpm.result))</f>
        <v>17</v>
      </c>
      <c r="C44" s="1" t="str" cm="1">
        <f t="array" ref="C44">_xlfn.LET(_xlpm.result,10*_xlfn.XLOOKUP($A44,$A$2:$A$22,_xlfn.XLOOKUP(C$1,$B$1:$H$1,$B$2:$H$22)),IF(_xlpm.result&lt;0,"",_xlpm.result))</f>
        <v/>
      </c>
      <c r="D44" s="1" t="str" cm="1">
        <f t="array" ref="D44">_xlfn.LET(_xlpm.result,10*_xlfn.XLOOKUP($A44,$A$2:$A$22,_xlfn.XLOOKUP(D$1,$B$1:$H$1,$B$2:$H$22)),IF(_xlpm.result&lt;0,"",_xlpm.result))</f>
        <v/>
      </c>
      <c r="E44" s="1" cm="1">
        <f t="array" ref="E44">_xlfn.LET(_xlpm.result,10*_xlfn.XLOOKUP($A44,$A$2:$A$22,_xlfn.XLOOKUP(E$1,$B$1:$H$1,$B$2:$H$22)),IF(_xlpm.result&lt;0,"",_xlpm.result))</f>
        <v>34</v>
      </c>
      <c r="F44" s="1" t="str" cm="1">
        <f t="array" ref="F44">_xlfn.LET(_xlpm.result,10*_xlfn.XLOOKUP($A44,$A$2:$A$22,_xlfn.XLOOKUP(F$1,$B$1:$H$1,$B$2:$H$22)),IF(_xlpm.result&lt;0,"",_xlpm.result))</f>
        <v/>
      </c>
      <c r="G44" s="21" cm="1">
        <f t="array" ref="G44">_xlfn.LET(_xlpm.result,10*_xlfn.XLOOKUP($A44,$A$2:$A$22,_xlfn.XLOOKUP(G$1,$B$1:$H$1,$B$2:$H$22)),IF(_xlpm.result&lt;0,"",_xlpm.result))</f>
        <v>97</v>
      </c>
      <c r="H44" s="1" t="str" cm="1">
        <f t="array" ref="H44">_xlfn.LET(_xlpm.result,10*_xlfn.XLOOKUP($A44,$A$2:$A$22,_xlfn.XLOOKUP(H$1,$B$1:$H$1,$B$2:$H$22)),IF(_xlpm.result&lt;0,"",_xlpm.result))</f>
        <v/>
      </c>
      <c r="I44" s="10">
        <f t="shared" si="1"/>
        <v>97</v>
      </c>
      <c r="J44" s="28">
        <v>5</v>
      </c>
    </row>
    <row r="45" spans="1:16" s="16" customFormat="1" ht="21" x14ac:dyDescent="0.35">
      <c r="A45" t="s">
        <v>44</v>
      </c>
      <c r="B45" s="1" cm="1">
        <f t="array" ref="B45">_xlfn.LET(_xlpm.result,10*_xlfn.XLOOKUP($A45,$A$2:$A$22,_xlfn.XLOOKUP(B$1,$B$1:$H$1,$B$2:$H$22)),IF(_xlpm.result&lt;0,"",_xlpm.result))</f>
        <v>39.999999999999901</v>
      </c>
      <c r="C45" s="1" cm="1">
        <f t="array" ref="C45">_xlfn.LET(_xlpm.result,10*_xlfn.XLOOKUP($A45,$A$2:$A$22,_xlfn.XLOOKUP(C$1,$B$1:$H$1,$B$2:$H$22)),IF(_xlpm.result&lt;0,"",_xlpm.result))</f>
        <v>60</v>
      </c>
      <c r="D45" s="1" cm="1">
        <f t="array" ref="D45">_xlfn.LET(_xlpm.result,10*_xlfn.XLOOKUP($A45,$A$2:$A$22,_xlfn.XLOOKUP(D$1,$B$1:$H$1,$B$2:$H$22)),IF(_xlpm.result&lt;0,"",_xlpm.result))</f>
        <v>33.999999999999901</v>
      </c>
      <c r="E45" s="1" cm="1">
        <f t="array" ref="E45">_xlfn.LET(_xlpm.result,10*_xlfn.XLOOKUP($A45,$A$2:$A$22,_xlfn.XLOOKUP(E$1,$B$1:$H$1,$B$2:$H$22)),IF(_xlpm.result&lt;0,"",_xlpm.result))</f>
        <v>102</v>
      </c>
      <c r="F45" s="1" cm="1">
        <f t="array" ref="F45">_xlfn.LET(_xlpm.result,10*_xlfn.XLOOKUP($A45,$A$2:$A$22,_xlfn.XLOOKUP(F$1,$B$1:$H$1,$B$2:$H$22)),IF(_xlpm.result&lt;0,"",_xlpm.result))</f>
        <v>71</v>
      </c>
      <c r="G45" s="1" cm="1">
        <f t="array" ref="G45">_xlfn.LET(_xlpm.result,10*_xlfn.XLOOKUP($A45,$A$2:$A$22,_xlfn.XLOOKUP(G$1,$B$1:$H$1,$B$2:$H$22)),IF(_xlpm.result&lt;0,"",_xlpm.result))</f>
        <v>6.9999999999999893</v>
      </c>
      <c r="H45" s="21" cm="1">
        <f t="array" ref="H45">_xlfn.LET(_xlpm.result,10*_xlfn.XLOOKUP($A45,$A$2:$A$22,_xlfn.XLOOKUP(H$1,$B$1:$H$1,$B$2:$H$22)),IF(_xlpm.result&lt;0,"",_xlpm.result))</f>
        <v>71</v>
      </c>
      <c r="I45" s="10">
        <f t="shared" si="1"/>
        <v>102</v>
      </c>
      <c r="J45" s="28">
        <v>4</v>
      </c>
    </row>
    <row r="46" spans="1:16" s="16" customFormat="1" ht="21" x14ac:dyDescent="0.35">
      <c r="A46" s="16" t="s">
        <v>46</v>
      </c>
      <c r="B46" s="21" cm="1">
        <f t="array" ref="B46">_xlfn.LET(_xlpm.result,10*_xlfn.XLOOKUP($A46,$A$2:$A$22,_xlfn.XLOOKUP(B$1,$B$1:$H$1,$B$2:$H$22)),IF(_xlpm.result&lt;0,"",_xlpm.result))</f>
        <v>78</v>
      </c>
      <c r="C46" s="17" cm="1">
        <f t="array" ref="C46">_xlfn.LET(_xlpm.result,10*_xlfn.XLOOKUP($A46,$A$2:$A$22,_xlfn.XLOOKUP(C$1,$B$1:$H$1,$B$2:$H$22)),IF(_xlpm.result&lt;0,"",_xlpm.result))</f>
        <v>128</v>
      </c>
      <c r="D46" s="17" cm="1">
        <f t="array" ref="D46">_xlfn.LET(_xlpm.result,10*_xlfn.XLOOKUP($A46,$A$2:$A$22,_xlfn.XLOOKUP(D$1,$B$1:$H$1,$B$2:$H$22)),IF(_xlpm.result&lt;0,"",_xlpm.result))</f>
        <v>0</v>
      </c>
      <c r="E46" s="17" cm="1">
        <f t="array" ref="E46">_xlfn.LET(_xlpm.result,10*_xlfn.XLOOKUP($A46,$A$2:$A$22,_xlfn.XLOOKUP(E$1,$B$1:$H$1,$B$2:$H$22)),IF(_xlpm.result&lt;0,"",_xlpm.result))</f>
        <v>126</v>
      </c>
      <c r="F46" s="17" t="str" cm="1">
        <f t="array" ref="F46">_xlfn.LET(_xlpm.result,10*_xlfn.XLOOKUP($A46,$A$2:$A$22,_xlfn.XLOOKUP(F$1,$B$1:$H$1,$B$2:$H$22)),IF(_xlpm.result&lt;0,"",_xlpm.result))</f>
        <v/>
      </c>
      <c r="G46" s="17" cm="1">
        <f t="array" ref="G46">_xlfn.LET(_xlpm.result,10*_xlfn.XLOOKUP($A46,$A$2:$A$22,_xlfn.XLOOKUP(G$1,$B$1:$H$1,$B$2:$H$22)),IF(_xlpm.result&lt;0,"",_xlpm.result))</f>
        <v>48</v>
      </c>
      <c r="H46" s="17" t="str" cm="1">
        <f t="array" ref="H46">_xlfn.LET(_xlpm.result,10*_xlfn.XLOOKUP($A46,$A$2:$A$22,_xlfn.XLOOKUP(H$1,$B$1:$H$1,$B$2:$H$22)),IF(_xlpm.result&lt;0,"",_xlpm.result))</f>
        <v/>
      </c>
      <c r="I46" s="19">
        <f t="shared" si="1"/>
        <v>128</v>
      </c>
      <c r="J46" s="29">
        <v>3</v>
      </c>
    </row>
    <row r="47" spans="1:16" ht="21" x14ac:dyDescent="0.35">
      <c r="A47" t="s">
        <v>34</v>
      </c>
      <c r="B47" s="1" cm="1">
        <f t="array" ref="B47">_xlfn.LET(_xlpm.result,10*_xlfn.XLOOKUP($A47,$A$2:$A$22,_xlfn.XLOOKUP(B$1,$B$1:$H$1,$B$2:$H$22)),IF(_xlpm.result&lt;0,"",_xlpm.result))</f>
        <v>25.999999999999901</v>
      </c>
      <c r="C47" s="1" cm="1">
        <f t="array" ref="C47">_xlfn.LET(_xlpm.result,10*_xlfn.XLOOKUP($A47,$A$2:$A$22,_xlfn.XLOOKUP(C$1,$B$1:$H$1,$B$2:$H$22)),IF(_xlpm.result&lt;0,"",_xlpm.result))</f>
        <v>67</v>
      </c>
      <c r="D47" s="1" cm="1">
        <f t="array" ref="D47">_xlfn.LET(_xlpm.result,10*_xlfn.XLOOKUP($A47,$A$2:$A$22,_xlfn.XLOOKUP(D$1,$B$1:$H$1,$B$2:$H$22)),IF(_xlpm.result&lt;0,"",_xlpm.result))</f>
        <v>51.999999999999901</v>
      </c>
      <c r="E47" s="1" cm="1">
        <f t="array" ref="E47">_xlfn.LET(_xlpm.result,10*_xlfn.XLOOKUP($A47,$A$2:$A$22,_xlfn.XLOOKUP(E$1,$B$1:$H$1,$B$2:$H$22)),IF(_xlpm.result&lt;0,"",_xlpm.result))</f>
        <v>61</v>
      </c>
      <c r="F47" s="21" cm="1">
        <f t="array" ref="F47">_xlfn.LET(_xlpm.result,10*_xlfn.XLOOKUP($A47,$A$2:$A$22,_xlfn.XLOOKUP(F$1,$B$1:$H$1,$B$2:$H$22)),IF(_xlpm.result&lt;0,"",_xlpm.result))</f>
        <v>165</v>
      </c>
      <c r="G47" s="1" cm="1">
        <f t="array" ref="G47">_xlfn.LET(_xlpm.result,10*_xlfn.XLOOKUP($A47,$A$2:$A$22,_xlfn.XLOOKUP(G$1,$B$1:$H$1,$B$2:$H$22)),IF(_xlpm.result&lt;0,"",_xlpm.result))</f>
        <v>48</v>
      </c>
      <c r="H47" s="1" cm="1">
        <f t="array" ref="H47">_xlfn.LET(_xlpm.result,10*_xlfn.XLOOKUP($A47,$A$2:$A$22,_xlfn.XLOOKUP(H$1,$B$1:$H$1,$B$2:$H$22)),IF(_xlpm.result&lt;0,"",_xlpm.result))</f>
        <v>128.99999999999901</v>
      </c>
      <c r="I47" s="10">
        <f t="shared" si="1"/>
        <v>165</v>
      </c>
      <c r="J47" s="28">
        <v>1</v>
      </c>
    </row>
    <row r="48" spans="1:16" x14ac:dyDescent="0.25">
      <c r="B48" s="1"/>
      <c r="C48" s="1"/>
      <c r="D48" s="1"/>
      <c r="E48" s="1"/>
      <c r="F48" s="1"/>
      <c r="G48" s="1"/>
      <c r="H48" s="1"/>
      <c r="I48" s="10"/>
    </row>
    <row r="49" spans="1:11" x14ac:dyDescent="0.25">
      <c r="A49" t="s">
        <v>60</v>
      </c>
      <c r="G49" s="3"/>
      <c r="I49" s="10">
        <f>SUM(B49:H49)</f>
        <v>0</v>
      </c>
      <c r="J49">
        <f>MIN(B49:H49)</f>
        <v>0</v>
      </c>
      <c r="K49" s="23" t="e">
        <f>AVERAGE(B49:H49)</f>
        <v>#DIV/0!</v>
      </c>
    </row>
    <row r="50" spans="1:11" x14ac:dyDescent="0.25">
      <c r="A50" t="s">
        <v>61</v>
      </c>
      <c r="I50" s="10">
        <f>SUM(B50:H50)</f>
        <v>0</v>
      </c>
      <c r="J50">
        <f>MIN(B50:H50)</f>
        <v>0</v>
      </c>
      <c r="K50" s="23" t="e">
        <f>AVERAGE(B50:H50)</f>
        <v>#DIV/0!</v>
      </c>
    </row>
    <row r="52" spans="1:11" x14ac:dyDescent="0.25">
      <c r="A52" t="s">
        <v>62</v>
      </c>
      <c r="B52">
        <f t="shared" ref="B52:K52" si="2">B50-B49</f>
        <v>0</v>
      </c>
      <c r="C52">
        <f t="shared" si="2"/>
        <v>0</v>
      </c>
      <c r="D52">
        <f t="shared" si="2"/>
        <v>0</v>
      </c>
      <c r="E52">
        <f t="shared" si="2"/>
        <v>0</v>
      </c>
      <c r="F52">
        <f t="shared" si="2"/>
        <v>0</v>
      </c>
      <c r="G52">
        <f t="shared" si="2"/>
        <v>0</v>
      </c>
      <c r="H52">
        <f t="shared" si="2"/>
        <v>0</v>
      </c>
      <c r="I52">
        <f t="shared" si="2"/>
        <v>0</v>
      </c>
      <c r="J52">
        <f t="shared" si="2"/>
        <v>0</v>
      </c>
      <c r="K52" s="22" t="e">
        <f t="shared" si="2"/>
        <v>#DIV/0!</v>
      </c>
    </row>
  </sheetData>
  <autoFilter ref="A26:I26" xr:uid="{54BE77A0-7D21-425B-A240-22D447E1FEA2}">
    <sortState xmlns:xlrd2="http://schemas.microsoft.com/office/spreadsheetml/2017/richdata2" ref="A27:I47">
      <sortCondition ref="I26"/>
    </sortState>
  </autoFilter>
  <conditionalFormatting sqref="B2:H2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H3"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H4"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H5"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H6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H7"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H8"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H9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H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H11"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H12"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H13"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H14"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H15"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H16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H17"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H18"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H19"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H20"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1:H22"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H25 B23:H23">
    <cfRule type="colorScale" priority="40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H25"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7:H47"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8:H48">
    <cfRule type="colorScale" priority="40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9:H49"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0:H50"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B86A-E374-464F-8D4D-2845671B2DE6}">
  <dimension ref="A1:O50"/>
  <sheetViews>
    <sheetView topLeftCell="A19" zoomScaleNormal="100" workbookViewId="0">
      <selection activeCell="B26" sqref="B26"/>
    </sheetView>
  </sheetViews>
  <sheetFormatPr defaultRowHeight="15" x14ac:dyDescent="0.25"/>
  <cols>
    <col min="1" max="1" width="24.28515625" customWidth="1"/>
    <col min="2" max="5" width="10.42578125" bestFit="1" customWidth="1"/>
    <col min="6" max="6" width="10.7109375" bestFit="1" customWidth="1"/>
    <col min="7" max="7" width="10.42578125" bestFit="1" customWidth="1"/>
    <col min="8" max="8" width="10.5703125" bestFit="1" customWidth="1"/>
  </cols>
  <sheetData>
    <row r="1" spans="1:7" x14ac:dyDescent="0.25"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25">
      <c r="A2" t="s">
        <v>19</v>
      </c>
      <c r="B2">
        <v>-4.0999999999999996</v>
      </c>
      <c r="C2">
        <v>-8.3000000000000007</v>
      </c>
      <c r="D2">
        <v>-5.3</v>
      </c>
      <c r="E2">
        <v>-0.5</v>
      </c>
      <c r="F2">
        <v>1.5</v>
      </c>
      <c r="G2">
        <v>-8.3000000000000007</v>
      </c>
    </row>
    <row r="3" spans="1:7" x14ac:dyDescent="0.25">
      <c r="A3" t="s">
        <v>20</v>
      </c>
      <c r="B3">
        <v>4.2</v>
      </c>
      <c r="C3">
        <v>-6.4</v>
      </c>
      <c r="D3">
        <v>-3.6</v>
      </c>
      <c r="E3">
        <v>0.5</v>
      </c>
      <c r="F3">
        <v>-7.8</v>
      </c>
      <c r="G3">
        <v>3.8</v>
      </c>
    </row>
    <row r="4" spans="1:7" x14ac:dyDescent="0.25">
      <c r="A4" t="s">
        <v>23</v>
      </c>
      <c r="B4">
        <v>-9.5</v>
      </c>
      <c r="D4">
        <v>2.0999999999999899</v>
      </c>
      <c r="E4">
        <v>-5.3</v>
      </c>
      <c r="F4">
        <v>-8.1</v>
      </c>
      <c r="G4">
        <v>-5.3</v>
      </c>
    </row>
    <row r="5" spans="1:7" x14ac:dyDescent="0.25">
      <c r="A5" t="s">
        <v>24</v>
      </c>
      <c r="B5">
        <v>-6</v>
      </c>
      <c r="C5">
        <v>-5.8</v>
      </c>
      <c r="D5">
        <v>8</v>
      </c>
      <c r="E5">
        <v>-5.8</v>
      </c>
      <c r="F5">
        <v>-4.8</v>
      </c>
      <c r="G5">
        <v>-6.3</v>
      </c>
    </row>
    <row r="6" spans="1:7" x14ac:dyDescent="0.25">
      <c r="A6" t="s">
        <v>25</v>
      </c>
      <c r="B6">
        <v>-8.8000000000000007</v>
      </c>
      <c r="C6">
        <v>-8.6</v>
      </c>
      <c r="D6">
        <v>-8.8000000000000007</v>
      </c>
      <c r="E6">
        <v>-1.6</v>
      </c>
      <c r="F6">
        <v>-1.5</v>
      </c>
      <c r="G6">
        <v>4.7</v>
      </c>
    </row>
    <row r="7" spans="1:7" x14ac:dyDescent="0.25">
      <c r="A7" t="s">
        <v>26</v>
      </c>
      <c r="B7">
        <v>-12.8</v>
      </c>
      <c r="C7">
        <v>-0.20000000000000101</v>
      </c>
      <c r="D7">
        <v>-8</v>
      </c>
      <c r="E7">
        <v>-13.3</v>
      </c>
      <c r="F7">
        <v>-9.6999999999999993</v>
      </c>
      <c r="G7">
        <v>-4.7</v>
      </c>
    </row>
    <row r="8" spans="1:7" x14ac:dyDescent="0.25">
      <c r="A8" t="s">
        <v>27</v>
      </c>
      <c r="B8">
        <v>-6.7</v>
      </c>
      <c r="C8">
        <v>-4.3</v>
      </c>
      <c r="D8">
        <v>3.5</v>
      </c>
      <c r="E8">
        <v>-0.6</v>
      </c>
      <c r="F8">
        <v>3.1</v>
      </c>
      <c r="G8">
        <v>2.1</v>
      </c>
    </row>
    <row r="9" spans="1:7" x14ac:dyDescent="0.25">
      <c r="A9" t="s">
        <v>33</v>
      </c>
      <c r="B9">
        <v>9</v>
      </c>
      <c r="C9">
        <v>-4.9000000000000004</v>
      </c>
      <c r="D9">
        <v>6.7</v>
      </c>
      <c r="E9">
        <v>-2.7</v>
      </c>
      <c r="F9">
        <v>-4.9000000000000004</v>
      </c>
      <c r="G9">
        <v>9</v>
      </c>
    </row>
    <row r="10" spans="1:7" x14ac:dyDescent="0.25">
      <c r="A10" t="s">
        <v>34</v>
      </c>
      <c r="B10">
        <v>6.7</v>
      </c>
      <c r="C10">
        <v>5.1999999999999904</v>
      </c>
      <c r="D10">
        <v>6.1</v>
      </c>
      <c r="E10">
        <v>16.5</v>
      </c>
      <c r="F10">
        <v>4.8</v>
      </c>
      <c r="G10">
        <v>12.899999999999901</v>
      </c>
    </row>
    <row r="11" spans="1:7" x14ac:dyDescent="0.25">
      <c r="A11" t="s">
        <v>35</v>
      </c>
      <c r="B11">
        <v>-6.8</v>
      </c>
      <c r="C11">
        <v>-8.1</v>
      </c>
      <c r="D11">
        <v>-10.199999999999999</v>
      </c>
      <c r="E11">
        <v>-7.6999999999999904</v>
      </c>
      <c r="F11">
        <v>-4.0999999999999996</v>
      </c>
      <c r="G11">
        <v>-12.899999999999901</v>
      </c>
    </row>
    <row r="12" spans="1:7" x14ac:dyDescent="0.25">
      <c r="A12" t="s">
        <v>38</v>
      </c>
      <c r="B12">
        <v>3.4</v>
      </c>
      <c r="C12">
        <v>3.8</v>
      </c>
      <c r="D12">
        <v>-3.4</v>
      </c>
      <c r="E12">
        <v>1.6</v>
      </c>
      <c r="F12">
        <v>-4</v>
      </c>
      <c r="G12">
        <v>-3.5</v>
      </c>
    </row>
    <row r="13" spans="1:7" x14ac:dyDescent="0.25">
      <c r="A13" t="s">
        <v>39</v>
      </c>
      <c r="B13">
        <v>-6.6</v>
      </c>
      <c r="C13">
        <v>-0.39999999999999902</v>
      </c>
      <c r="D13">
        <v>-3.5</v>
      </c>
      <c r="E13">
        <v>-1.4</v>
      </c>
      <c r="F13">
        <v>-7.8</v>
      </c>
      <c r="G13">
        <v>-7.3</v>
      </c>
    </row>
    <row r="14" spans="1:7" x14ac:dyDescent="0.25">
      <c r="A14" t="s">
        <v>41</v>
      </c>
      <c r="B14">
        <v>-3.4</v>
      </c>
      <c r="C14">
        <v>-7.4</v>
      </c>
      <c r="D14">
        <v>-2.0999999999999899</v>
      </c>
      <c r="E14">
        <v>0.4</v>
      </c>
      <c r="F14">
        <v>2.69999999999999</v>
      </c>
      <c r="G14">
        <v>-3.8</v>
      </c>
    </row>
    <row r="15" spans="1:7" x14ac:dyDescent="0.25">
      <c r="A15" t="s">
        <v>42</v>
      </c>
      <c r="B15">
        <v>-1.9</v>
      </c>
      <c r="D15">
        <v>1</v>
      </c>
      <c r="E15">
        <v>1.4</v>
      </c>
      <c r="F15">
        <v>4.0999999999999996</v>
      </c>
      <c r="G15">
        <v>-2.1</v>
      </c>
    </row>
    <row r="16" spans="1:7" x14ac:dyDescent="0.25">
      <c r="A16" t="s">
        <v>43</v>
      </c>
      <c r="B16">
        <v>-4.2</v>
      </c>
      <c r="C16">
        <v>-3.8</v>
      </c>
      <c r="D16">
        <v>-6.7</v>
      </c>
      <c r="E16">
        <v>-0.4</v>
      </c>
      <c r="F16">
        <v>-7.3</v>
      </c>
      <c r="G16">
        <v>-10.8</v>
      </c>
    </row>
    <row r="17" spans="1:15" x14ac:dyDescent="0.25">
      <c r="A17" t="s">
        <v>44</v>
      </c>
      <c r="B17">
        <v>6</v>
      </c>
      <c r="C17">
        <v>3.3999999999999901</v>
      </c>
      <c r="D17">
        <v>10.199999999999999</v>
      </c>
      <c r="E17">
        <v>7.1</v>
      </c>
      <c r="F17">
        <v>0.69999999999999896</v>
      </c>
      <c r="G17">
        <v>7.1</v>
      </c>
    </row>
    <row r="18" spans="1:15" x14ac:dyDescent="0.25">
      <c r="A18" t="s">
        <v>45</v>
      </c>
      <c r="B18">
        <v>-3.6</v>
      </c>
      <c r="C18">
        <v>-3.8</v>
      </c>
      <c r="D18">
        <v>3.4</v>
      </c>
      <c r="E18">
        <v>-4.5999999999999996</v>
      </c>
      <c r="F18">
        <v>9.6999999999999993</v>
      </c>
      <c r="G18">
        <v>-3.8</v>
      </c>
    </row>
    <row r="19" spans="1:15" x14ac:dyDescent="0.25">
      <c r="A19" t="s">
        <v>48</v>
      </c>
      <c r="B19">
        <v>4.0999999999999996</v>
      </c>
      <c r="C19">
        <v>7.4</v>
      </c>
      <c r="D19">
        <v>3.6</v>
      </c>
      <c r="E19">
        <v>5.3</v>
      </c>
      <c r="F19">
        <v>4</v>
      </c>
      <c r="G19">
        <v>5.3</v>
      </c>
    </row>
    <row r="20" spans="1:15" x14ac:dyDescent="0.25">
      <c r="A20" t="s">
        <v>49</v>
      </c>
      <c r="B20">
        <v>-9</v>
      </c>
      <c r="C20">
        <v>0.20000000000000101</v>
      </c>
      <c r="D20">
        <v>-12.6</v>
      </c>
      <c r="E20">
        <v>-16.5</v>
      </c>
      <c r="F20">
        <v>-2.69999999999999</v>
      </c>
      <c r="G20">
        <v>-9</v>
      </c>
    </row>
    <row r="21" spans="1:15" x14ac:dyDescent="0.25">
      <c r="A21" t="s">
        <v>50</v>
      </c>
      <c r="B21">
        <v>-5</v>
      </c>
      <c r="C21">
        <v>0.39999999999999902</v>
      </c>
      <c r="D21">
        <v>-1</v>
      </c>
      <c r="E21">
        <v>-7.1</v>
      </c>
      <c r="F21">
        <v>-3.1</v>
      </c>
      <c r="G21">
        <v>-7.1</v>
      </c>
    </row>
    <row r="22" spans="1:15" x14ac:dyDescent="0.25">
      <c r="B22" s="1" t="str" cm="1">
        <f t="array" ref="B22">IFERROR(_xlfn.LET(_xlpm.result,RANK(_xlfn.XLOOKUP($A22,$A$2:$A$20,_xlfn.XLOOKUP(#REF!,$B$1:$G$1,$B$2:$G$20)),$B$2:$G$20),IF(_xlpm.result&gt;150,"",_xlpm.result)),"")</f>
        <v/>
      </c>
      <c r="C22" s="1" t="str" cm="1">
        <f t="array" ref="C22">IFERROR(_xlfn.LET(_xlpm.result,RANK(_xlfn.XLOOKUP($A22,$A$2:$A$20,_xlfn.XLOOKUP(#REF!,$B$1:$G$1,$B$2:$G$20)),$B$2:$G$20),IF(_xlpm.result&gt;150,"",_xlpm.result)),"")</f>
        <v/>
      </c>
      <c r="D22" s="1" t="str" cm="1">
        <f t="array" ref="D22">IFERROR(_xlfn.LET(_xlpm.result,RANK(_xlfn.XLOOKUP($A22,$A$2:$A$20,_xlfn.XLOOKUP(#REF!,$B$1:$G$1,$B$2:$G$20)),$B$2:$G$20),IF(_xlpm.result&gt;150,"",_xlpm.result)),"")</f>
        <v/>
      </c>
      <c r="E22" s="1" t="str" cm="1">
        <f t="array" ref="E22">IFERROR(_xlfn.LET(_xlpm.result,RANK(_xlfn.XLOOKUP($A22,$A$2:$A$20,_xlfn.XLOOKUP(#REF!,$B$1:$G$1,$B$2:$G$20)),$B$2:$G$20),IF(_xlpm.result&gt;150,"",_xlpm.result)),"")</f>
        <v/>
      </c>
      <c r="F22" s="1" t="str" cm="1">
        <f t="array" ref="F22">IFERROR(_xlfn.LET(_xlpm.result,RANK(_xlfn.XLOOKUP($A22,$A$2:$A$20,_xlfn.XLOOKUP(#REF!,$B$1:$G$1,$B$2:$G$20)),$B$2:$G$20),IF(_xlpm.result&gt;150,"",_xlpm.result)),"")</f>
        <v/>
      </c>
      <c r="G22" s="1" t="str" cm="1">
        <f t="array" ref="G22">IFERROR(_xlfn.LET(_xlpm.result,RANK(_xlfn.XLOOKUP($A22,$A$2:$A$20,_xlfn.XLOOKUP(#REF!,$B$1:$G$1,$B$2:$G$20)),$B$2:$G$20),IF(_xlpm.result&gt;150,"",_xlpm.result)),"")</f>
        <v/>
      </c>
      <c r="I22" s="10"/>
    </row>
    <row r="23" spans="1:15" s="24" customFormat="1" x14ac:dyDescent="0.25"/>
    <row r="24" spans="1:15" x14ac:dyDescent="0.25">
      <c r="B24" s="1">
        <f t="shared" ref="B24:G24" si="0">MAX(B25:B45)</f>
        <v>90</v>
      </c>
      <c r="C24" s="1">
        <f t="shared" si="0"/>
        <v>74</v>
      </c>
      <c r="D24" s="1">
        <f t="shared" si="0"/>
        <v>102</v>
      </c>
      <c r="E24" s="1">
        <f t="shared" si="0"/>
        <v>165</v>
      </c>
      <c r="F24" s="1">
        <f t="shared" si="0"/>
        <v>97</v>
      </c>
      <c r="G24" s="1">
        <f t="shared" si="0"/>
        <v>128.99999999999901</v>
      </c>
    </row>
    <row r="25" spans="1:15" x14ac:dyDescent="0.25">
      <c r="A25" t="s">
        <v>0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54</v>
      </c>
    </row>
    <row r="26" spans="1:15" x14ac:dyDescent="0.25">
      <c r="A26" t="s">
        <v>26</v>
      </c>
      <c r="B26" s="1" t="str" cm="1">
        <f t="array" ref="B26">_xlfn.LET(_xlpm.result,10*_xlfn.XLOOKUP($A26,$A$2:$A$21,_xlfn.XLOOKUP(B$1,$B$1:$G$1,$B$2:$G$21)),IF(_xlpm.result&lt;0,"",_xlpm.result))</f>
        <v/>
      </c>
      <c r="C26" s="1" t="str" cm="1">
        <f t="array" ref="C26">_xlfn.LET(_xlpm.result,10*_xlfn.XLOOKUP($A26,$A$2:$A$21,_xlfn.XLOOKUP(C$1,$B$1:$G$1,$B$2:$G$21)),IF(_xlpm.result&lt;0,"",_xlpm.result))</f>
        <v/>
      </c>
      <c r="D26" s="1" t="str" cm="1">
        <f t="array" ref="D26">_xlfn.LET(_xlpm.result,10*_xlfn.XLOOKUP($A26,$A$2:$A$21,_xlfn.XLOOKUP(D$1,$B$1:$G$1,$B$2:$G$21)),IF(_xlpm.result&lt;0,"",_xlpm.result))</f>
        <v/>
      </c>
      <c r="E26" s="1" t="str" cm="1">
        <f t="array" ref="E26">_xlfn.LET(_xlpm.result,10*_xlfn.XLOOKUP($A26,$A$2:$A$21,_xlfn.XLOOKUP(E$1,$B$1:$G$1,$B$2:$G$21)),IF(_xlpm.result&lt;0,"",_xlpm.result))</f>
        <v/>
      </c>
      <c r="F26" s="1" t="str" cm="1">
        <f t="array" ref="F26">_xlfn.LET(_xlpm.result,10*_xlfn.XLOOKUP($A26,$A$2:$A$21,_xlfn.XLOOKUP(F$1,$B$1:$G$1,$B$2:$G$21)),IF(_xlpm.result&lt;0,"",_xlpm.result))</f>
        <v/>
      </c>
      <c r="G26" s="1" t="str" cm="1">
        <f t="array" ref="G26">_xlfn.LET(_xlpm.result,10*_xlfn.XLOOKUP($A26,$A$2:$A$21,_xlfn.XLOOKUP(G$1,$B$1:$G$1,$B$2:$G$21)),IF(_xlpm.result&lt;0,"",_xlpm.result))</f>
        <v/>
      </c>
      <c r="H26" s="10">
        <f t="shared" ref="H26:H45" si="1">MAX(B26:G26)</f>
        <v>0</v>
      </c>
    </row>
    <row r="27" spans="1:15" x14ac:dyDescent="0.25">
      <c r="A27" t="s">
        <v>39</v>
      </c>
      <c r="B27" s="1" t="str" cm="1">
        <f t="array" ref="B27">_xlfn.LET(_xlpm.result,10*_xlfn.XLOOKUP($A27,$A$2:$A$21,_xlfn.XLOOKUP(B$1,$B$1:$G$1,$B$2:$G$21)),IF(_xlpm.result&lt;0,"",_xlpm.result))</f>
        <v/>
      </c>
      <c r="C27" s="1" t="str" cm="1">
        <f t="array" ref="C27">_xlfn.LET(_xlpm.result,10*_xlfn.XLOOKUP($A27,$A$2:$A$21,_xlfn.XLOOKUP(C$1,$B$1:$G$1,$B$2:$G$21)),IF(_xlpm.result&lt;0,"",_xlpm.result))</f>
        <v/>
      </c>
      <c r="D27" s="1" t="str" cm="1">
        <f t="array" ref="D27">_xlfn.LET(_xlpm.result,10*_xlfn.XLOOKUP($A27,$A$2:$A$21,_xlfn.XLOOKUP(D$1,$B$1:$G$1,$B$2:$G$21)),IF(_xlpm.result&lt;0,"",_xlpm.result))</f>
        <v/>
      </c>
      <c r="E27" s="1" t="str" cm="1">
        <f t="array" ref="E27">_xlfn.LET(_xlpm.result,10*_xlfn.XLOOKUP($A27,$A$2:$A$21,_xlfn.XLOOKUP(E$1,$B$1:$G$1,$B$2:$G$21)),IF(_xlpm.result&lt;0,"",_xlpm.result))</f>
        <v/>
      </c>
      <c r="F27" s="1" t="str" cm="1">
        <f t="array" ref="F27">_xlfn.LET(_xlpm.result,10*_xlfn.XLOOKUP($A27,$A$2:$A$21,_xlfn.XLOOKUP(F$1,$B$1:$G$1,$B$2:$G$21)),IF(_xlpm.result&lt;0,"",_xlpm.result))</f>
        <v/>
      </c>
      <c r="G27" s="1" t="str" cm="1">
        <f t="array" ref="G27">_xlfn.LET(_xlpm.result,10*_xlfn.XLOOKUP($A27,$A$2:$A$21,_xlfn.XLOOKUP(G$1,$B$1:$G$1,$B$2:$G$21)),IF(_xlpm.result&lt;0,"",_xlpm.result))</f>
        <v/>
      </c>
      <c r="H27" s="10">
        <f t="shared" si="1"/>
        <v>0</v>
      </c>
      <c r="O27" s="28"/>
    </row>
    <row r="28" spans="1:15" s="16" customFormat="1" x14ac:dyDescent="0.25">
      <c r="A28" t="s">
        <v>43</v>
      </c>
      <c r="B28" s="1" t="str" cm="1">
        <f t="array" ref="B28">_xlfn.LET(_xlpm.result,10*_xlfn.XLOOKUP($A28,$A$2:$A$21,_xlfn.XLOOKUP(B$1,$B$1:$G$1,$B$2:$G$21)),IF(_xlpm.result&lt;0,"",_xlpm.result))</f>
        <v/>
      </c>
      <c r="C28" s="1" t="str" cm="1">
        <f t="array" ref="C28">_xlfn.LET(_xlpm.result,10*_xlfn.XLOOKUP($A28,$A$2:$A$21,_xlfn.XLOOKUP(C$1,$B$1:$G$1,$B$2:$G$21)),IF(_xlpm.result&lt;0,"",_xlpm.result))</f>
        <v/>
      </c>
      <c r="D28" s="1" t="str" cm="1">
        <f t="array" ref="D28">_xlfn.LET(_xlpm.result,10*_xlfn.XLOOKUP($A28,$A$2:$A$21,_xlfn.XLOOKUP(D$1,$B$1:$G$1,$B$2:$G$21)),IF(_xlpm.result&lt;0,"",_xlpm.result))</f>
        <v/>
      </c>
      <c r="E28" s="1" t="str" cm="1">
        <f t="array" ref="E28">_xlfn.LET(_xlpm.result,10*_xlfn.XLOOKUP($A28,$A$2:$A$21,_xlfn.XLOOKUP(E$1,$B$1:$G$1,$B$2:$G$21)),IF(_xlpm.result&lt;0,"",_xlpm.result))</f>
        <v/>
      </c>
      <c r="F28" s="1" t="str" cm="1">
        <f t="array" ref="F28">_xlfn.LET(_xlpm.result,10*_xlfn.XLOOKUP($A28,$A$2:$A$21,_xlfn.XLOOKUP(F$1,$B$1:$G$1,$B$2:$G$21)),IF(_xlpm.result&lt;0,"",_xlpm.result))</f>
        <v/>
      </c>
      <c r="G28" s="1" t="str" cm="1">
        <f t="array" ref="G28">_xlfn.LET(_xlpm.result,10*_xlfn.XLOOKUP($A28,$A$2:$A$21,_xlfn.XLOOKUP(G$1,$B$1:$G$1,$B$2:$G$21)),IF(_xlpm.result&lt;0,"",_xlpm.result))</f>
        <v/>
      </c>
      <c r="H28" s="10">
        <f t="shared" si="1"/>
        <v>0</v>
      </c>
      <c r="N28"/>
      <c r="O28" s="28"/>
    </row>
    <row r="29" spans="1:15" s="16" customFormat="1" x14ac:dyDescent="0.25">
      <c r="A29" t="s">
        <v>49</v>
      </c>
      <c r="B29" s="1" t="str" cm="1">
        <f t="array" ref="B29">_xlfn.LET(_xlpm.result,10*_xlfn.XLOOKUP($A29,$A$2:$A$21,_xlfn.XLOOKUP(B$1,$B$1:$G$1,$B$2:$G$21)),IF(_xlpm.result&lt;0,"",_xlpm.result))</f>
        <v/>
      </c>
      <c r="C29" s="1" cm="1">
        <f t="array" ref="C29">_xlfn.LET(_xlpm.result,10*_xlfn.XLOOKUP($A29,$A$2:$A$21,_xlfn.XLOOKUP(C$1,$B$1:$G$1,$B$2:$G$21)),IF(_xlpm.result&lt;0,"",_xlpm.result))</f>
        <v>2.0000000000000102</v>
      </c>
      <c r="D29" s="1" t="str" cm="1">
        <f t="array" ref="D29">_xlfn.LET(_xlpm.result,10*_xlfn.XLOOKUP($A29,$A$2:$A$21,_xlfn.XLOOKUP(D$1,$B$1:$G$1,$B$2:$G$21)),IF(_xlpm.result&lt;0,"",_xlpm.result))</f>
        <v/>
      </c>
      <c r="E29" s="1" t="str" cm="1">
        <f t="array" ref="E29">_xlfn.LET(_xlpm.result,10*_xlfn.XLOOKUP($A29,$A$2:$A$21,_xlfn.XLOOKUP(E$1,$B$1:$G$1,$B$2:$G$21)),IF(_xlpm.result&lt;0,"",_xlpm.result))</f>
        <v/>
      </c>
      <c r="F29" s="1" t="str" cm="1">
        <f t="array" ref="F29">_xlfn.LET(_xlpm.result,10*_xlfn.XLOOKUP($A29,$A$2:$A$21,_xlfn.XLOOKUP(F$1,$B$1:$G$1,$B$2:$G$21)),IF(_xlpm.result&lt;0,"",_xlpm.result))</f>
        <v/>
      </c>
      <c r="G29" s="1" t="str" cm="1">
        <f t="array" ref="G29">_xlfn.LET(_xlpm.result,10*_xlfn.XLOOKUP($A29,$A$2:$A$21,_xlfn.XLOOKUP(G$1,$B$1:$G$1,$B$2:$G$21)),IF(_xlpm.result&lt;0,"",_xlpm.result))</f>
        <v/>
      </c>
      <c r="H29" s="10">
        <f t="shared" si="1"/>
        <v>2.0000000000000102</v>
      </c>
      <c r="N29"/>
      <c r="O29" s="28"/>
    </row>
    <row r="30" spans="1:15" x14ac:dyDescent="0.25">
      <c r="A30" t="s">
        <v>50</v>
      </c>
      <c r="B30" s="1" t="str" cm="1">
        <f t="array" ref="B30">_xlfn.LET(_xlpm.result,10*_xlfn.XLOOKUP($A30,$A$2:$A$21,_xlfn.XLOOKUP(B$1,$B$1:$G$1,$B$2:$G$21)),IF(_xlpm.result&lt;0,"",_xlpm.result))</f>
        <v/>
      </c>
      <c r="C30" s="1" cm="1">
        <f t="array" ref="C30">_xlfn.LET(_xlpm.result,10*_xlfn.XLOOKUP($A30,$A$2:$A$21,_xlfn.XLOOKUP(C$1,$B$1:$G$1,$B$2:$G$21)),IF(_xlpm.result&lt;0,"",_xlpm.result))</f>
        <v>3.9999999999999902</v>
      </c>
      <c r="D30" s="1" t="str" cm="1">
        <f t="array" ref="D30">_xlfn.LET(_xlpm.result,10*_xlfn.XLOOKUP($A30,$A$2:$A$21,_xlfn.XLOOKUP(D$1,$B$1:$G$1,$B$2:$G$21)),IF(_xlpm.result&lt;0,"",_xlpm.result))</f>
        <v/>
      </c>
      <c r="E30" s="1" t="str" cm="1">
        <f t="array" ref="E30">_xlfn.LET(_xlpm.result,10*_xlfn.XLOOKUP($A30,$A$2:$A$21,_xlfn.XLOOKUP(E$1,$B$1:$G$1,$B$2:$G$21)),IF(_xlpm.result&lt;0,"",_xlpm.result))</f>
        <v/>
      </c>
      <c r="F30" s="1" t="str" cm="1">
        <f t="array" ref="F30">_xlfn.LET(_xlpm.result,10*_xlfn.XLOOKUP($A30,$A$2:$A$21,_xlfn.XLOOKUP(F$1,$B$1:$G$1,$B$2:$G$21)),IF(_xlpm.result&lt;0,"",_xlpm.result))</f>
        <v/>
      </c>
      <c r="G30" s="1" t="str" cm="1">
        <f t="array" ref="G30">_xlfn.LET(_xlpm.result,10*_xlfn.XLOOKUP($A30,$A$2:$A$21,_xlfn.XLOOKUP(G$1,$B$1:$G$1,$B$2:$G$21)),IF(_xlpm.result&lt;0,"",_xlpm.result))</f>
        <v/>
      </c>
      <c r="H30" s="10">
        <f t="shared" si="1"/>
        <v>3.9999999999999902</v>
      </c>
      <c r="O30" s="28"/>
    </row>
    <row r="31" spans="1:15" x14ac:dyDescent="0.25">
      <c r="A31" t="s">
        <v>19</v>
      </c>
      <c r="B31" s="1" t="str" cm="1">
        <f t="array" ref="B31">_xlfn.LET(_xlpm.result,10*_xlfn.XLOOKUP($A31,$A$2:$A$21,_xlfn.XLOOKUP(B$1,$B$1:$G$1,$B$2:$G$21)),IF(_xlpm.result&lt;0,"",_xlpm.result))</f>
        <v/>
      </c>
      <c r="C31" s="1" t="str" cm="1">
        <f t="array" ref="C31">_xlfn.LET(_xlpm.result,10*_xlfn.XLOOKUP($A31,$A$2:$A$21,_xlfn.XLOOKUP(C$1,$B$1:$G$1,$B$2:$G$21)),IF(_xlpm.result&lt;0,"",_xlpm.result))</f>
        <v/>
      </c>
      <c r="D31" s="1" t="str" cm="1">
        <f t="array" ref="D31">_xlfn.LET(_xlpm.result,10*_xlfn.XLOOKUP($A31,$A$2:$A$21,_xlfn.XLOOKUP(D$1,$B$1:$G$1,$B$2:$G$21)),IF(_xlpm.result&lt;0,"",_xlpm.result))</f>
        <v/>
      </c>
      <c r="E31" s="1" t="str" cm="1">
        <f t="array" ref="E31">_xlfn.LET(_xlpm.result,10*_xlfn.XLOOKUP($A31,$A$2:$A$21,_xlfn.XLOOKUP(E$1,$B$1:$G$1,$B$2:$G$21)),IF(_xlpm.result&lt;0,"",_xlpm.result))</f>
        <v/>
      </c>
      <c r="F31" s="1" cm="1">
        <f t="array" ref="F31">_xlfn.LET(_xlpm.result,10*_xlfn.XLOOKUP($A31,$A$2:$A$21,_xlfn.XLOOKUP(F$1,$B$1:$G$1,$B$2:$G$21)),IF(_xlpm.result&lt;0,"",_xlpm.result))</f>
        <v>15</v>
      </c>
      <c r="G31" s="1" t="str" cm="1">
        <f t="array" ref="G31">_xlfn.LET(_xlpm.result,10*_xlfn.XLOOKUP($A31,$A$2:$A$21,_xlfn.XLOOKUP(G$1,$B$1:$G$1,$B$2:$G$21)),IF(_xlpm.result&lt;0,"",_xlpm.result))</f>
        <v/>
      </c>
      <c r="H31" s="10">
        <f t="shared" si="1"/>
        <v>15</v>
      </c>
      <c r="O31" s="1"/>
    </row>
    <row r="32" spans="1:15" x14ac:dyDescent="0.25">
      <c r="A32" t="s">
        <v>23</v>
      </c>
      <c r="B32" s="1" t="str" cm="1">
        <f t="array" ref="B32">_xlfn.LET(_xlpm.result,10*_xlfn.XLOOKUP($A32,$A$2:$A$21,_xlfn.XLOOKUP(B$1,$B$1:$G$1,$B$2:$G$21)),IF(_xlpm.result&lt;0,"",_xlpm.result))</f>
        <v/>
      </c>
      <c r="C32" s="1" cm="1">
        <f t="array" ref="C32">_xlfn.LET(_xlpm.result,10*_xlfn.XLOOKUP($A32,$A$2:$A$21,_xlfn.XLOOKUP(C$1,$B$1:$G$1,$B$2:$G$21)),IF(_xlpm.result&lt;0,"",_xlpm.result))</f>
        <v>0</v>
      </c>
      <c r="D32" s="1" cm="1">
        <f t="array" ref="D32">_xlfn.LET(_xlpm.result,10*_xlfn.XLOOKUP($A32,$A$2:$A$21,_xlfn.XLOOKUP(D$1,$B$1:$G$1,$B$2:$G$21)),IF(_xlpm.result&lt;0,"",_xlpm.result))</f>
        <v>20.999999999999901</v>
      </c>
      <c r="E32" s="1" t="str" cm="1">
        <f t="array" ref="E32">_xlfn.LET(_xlpm.result,10*_xlfn.XLOOKUP($A32,$A$2:$A$21,_xlfn.XLOOKUP(E$1,$B$1:$G$1,$B$2:$G$21)),IF(_xlpm.result&lt;0,"",_xlpm.result))</f>
        <v/>
      </c>
      <c r="F32" s="1" t="str" cm="1">
        <f t="array" ref="F32">_xlfn.LET(_xlpm.result,10*_xlfn.XLOOKUP($A32,$A$2:$A$21,_xlfn.XLOOKUP(F$1,$B$1:$G$1,$B$2:$G$21)),IF(_xlpm.result&lt;0,"",_xlpm.result))</f>
        <v/>
      </c>
      <c r="G32" s="1" t="str" cm="1">
        <f t="array" ref="G32">_xlfn.LET(_xlpm.result,10*_xlfn.XLOOKUP($A32,$A$2:$A$21,_xlfn.XLOOKUP(G$1,$B$1:$G$1,$B$2:$G$21)),IF(_xlpm.result&lt;0,"",_xlpm.result))</f>
        <v/>
      </c>
      <c r="H32" s="10">
        <f t="shared" si="1"/>
        <v>20.999999999999901</v>
      </c>
      <c r="O32" s="1"/>
    </row>
    <row r="33" spans="1:15" x14ac:dyDescent="0.25">
      <c r="A33" t="s">
        <v>41</v>
      </c>
      <c r="B33" s="1" t="str" cm="1">
        <f t="array" ref="B33">_xlfn.LET(_xlpm.result,10*_xlfn.XLOOKUP($A33,$A$2:$A$21,_xlfn.XLOOKUP(B$1,$B$1:$G$1,$B$2:$G$21)),IF(_xlpm.result&lt;0,"",_xlpm.result))</f>
        <v/>
      </c>
      <c r="C33" s="1" t="str" cm="1">
        <f t="array" ref="C33">_xlfn.LET(_xlpm.result,10*_xlfn.XLOOKUP($A33,$A$2:$A$21,_xlfn.XLOOKUP(C$1,$B$1:$G$1,$B$2:$G$21)),IF(_xlpm.result&lt;0,"",_xlpm.result))</f>
        <v/>
      </c>
      <c r="D33" s="1" t="str" cm="1">
        <f t="array" ref="D33">_xlfn.LET(_xlpm.result,10*_xlfn.XLOOKUP($A33,$A$2:$A$21,_xlfn.XLOOKUP(D$1,$B$1:$G$1,$B$2:$G$21)),IF(_xlpm.result&lt;0,"",_xlpm.result))</f>
        <v/>
      </c>
      <c r="E33" s="1" cm="1">
        <f t="array" ref="E33">_xlfn.LET(_xlpm.result,10*_xlfn.XLOOKUP($A33,$A$2:$A$21,_xlfn.XLOOKUP(E$1,$B$1:$G$1,$B$2:$G$21)),IF(_xlpm.result&lt;0,"",_xlpm.result))</f>
        <v>4</v>
      </c>
      <c r="F33" s="1" cm="1">
        <f t="array" ref="F33">_xlfn.LET(_xlpm.result,10*_xlfn.XLOOKUP($A33,$A$2:$A$21,_xlfn.XLOOKUP(F$1,$B$1:$G$1,$B$2:$G$21)),IF(_xlpm.result&lt;0,"",_xlpm.result))</f>
        <v>26.999999999999901</v>
      </c>
      <c r="G33" s="1" t="str" cm="1">
        <f t="array" ref="G33">_xlfn.LET(_xlpm.result,10*_xlfn.XLOOKUP($A33,$A$2:$A$21,_xlfn.XLOOKUP(G$1,$B$1:$G$1,$B$2:$G$21)),IF(_xlpm.result&lt;0,"",_xlpm.result))</f>
        <v/>
      </c>
      <c r="H33" s="10">
        <f t="shared" si="1"/>
        <v>26.999999999999901</v>
      </c>
      <c r="O33" s="1"/>
    </row>
    <row r="34" spans="1:15" s="16" customFormat="1" x14ac:dyDescent="0.25">
      <c r="A34" t="s">
        <v>27</v>
      </c>
      <c r="B34" s="1" t="str" cm="1">
        <f t="array" ref="B34">_xlfn.LET(_xlpm.result,10*_xlfn.XLOOKUP($A34,$A$2:$A$21,_xlfn.XLOOKUP(B$1,$B$1:$G$1,$B$2:$G$21)),IF(_xlpm.result&lt;0,"",_xlpm.result))</f>
        <v/>
      </c>
      <c r="C34" s="1" t="str" cm="1">
        <f t="array" ref="C34">_xlfn.LET(_xlpm.result,10*_xlfn.XLOOKUP($A34,$A$2:$A$21,_xlfn.XLOOKUP(C$1,$B$1:$G$1,$B$2:$G$21)),IF(_xlpm.result&lt;0,"",_xlpm.result))</f>
        <v/>
      </c>
      <c r="D34" s="1" cm="1">
        <f t="array" ref="D34">_xlfn.LET(_xlpm.result,10*_xlfn.XLOOKUP($A34,$A$2:$A$21,_xlfn.XLOOKUP(D$1,$B$1:$G$1,$B$2:$G$21)),IF(_xlpm.result&lt;0,"",_xlpm.result))</f>
        <v>35</v>
      </c>
      <c r="E34" s="1" t="str" cm="1">
        <f t="array" ref="E34">_xlfn.LET(_xlpm.result,10*_xlfn.XLOOKUP($A34,$A$2:$A$21,_xlfn.XLOOKUP(E$1,$B$1:$G$1,$B$2:$G$21)),IF(_xlpm.result&lt;0,"",_xlpm.result))</f>
        <v/>
      </c>
      <c r="F34" s="1" cm="1">
        <f t="array" ref="F34">_xlfn.LET(_xlpm.result,10*_xlfn.XLOOKUP($A34,$A$2:$A$21,_xlfn.XLOOKUP(F$1,$B$1:$G$1,$B$2:$G$21)),IF(_xlpm.result&lt;0,"",_xlpm.result))</f>
        <v>31</v>
      </c>
      <c r="G34" s="1" cm="1">
        <f t="array" ref="G34">_xlfn.LET(_xlpm.result,10*_xlfn.XLOOKUP($A34,$A$2:$A$21,_xlfn.XLOOKUP(G$1,$B$1:$G$1,$B$2:$G$21)),IF(_xlpm.result&lt;0,"",_xlpm.result))</f>
        <v>21</v>
      </c>
      <c r="H34" s="10">
        <f t="shared" si="1"/>
        <v>35</v>
      </c>
    </row>
    <row r="35" spans="1:15" s="16" customFormat="1" x14ac:dyDescent="0.25">
      <c r="A35" t="s">
        <v>35</v>
      </c>
      <c r="B35" s="1" t="str" cm="1">
        <f t="array" ref="B35">_xlfn.LET(_xlpm.result,10*_xlfn.XLOOKUP($A35,$A$2:$A$21,_xlfn.XLOOKUP(B$1,$B$1:$G$1,$B$2:$G$21)),IF(_xlpm.result&lt;0,"",_xlpm.result))</f>
        <v/>
      </c>
      <c r="C35" s="1" t="str" cm="1">
        <f t="array" ref="C35">_xlfn.LET(_xlpm.result,10*_xlfn.XLOOKUP($A35,$A$2:$A$21,_xlfn.XLOOKUP(C$1,$B$1:$G$1,$B$2:$G$21)),IF(_xlpm.result&lt;0,"",_xlpm.result))</f>
        <v/>
      </c>
      <c r="D35" s="1" t="str" cm="1">
        <f t="array" ref="D35">_xlfn.LET(_xlpm.result,10*_xlfn.XLOOKUP($A35,$A$2:$A$21,_xlfn.XLOOKUP(D$1,$B$1:$G$1,$B$2:$G$21)),IF(_xlpm.result&lt;0,"",_xlpm.result))</f>
        <v/>
      </c>
      <c r="E35" s="1" t="str" cm="1">
        <f t="array" ref="E35">_xlfn.LET(_xlpm.result,10*_xlfn.XLOOKUP($A35,$A$2:$A$21,_xlfn.XLOOKUP(E$1,$B$1:$G$1,$B$2:$G$21)),IF(_xlpm.result&lt;0,"",_xlpm.result))</f>
        <v/>
      </c>
      <c r="F35" s="1" t="str" cm="1">
        <f t="array" ref="F35">_xlfn.LET(_xlpm.result,10*_xlfn.XLOOKUP($A35,$A$2:$A$21,_xlfn.XLOOKUP(F$1,$B$1:$G$1,$B$2:$G$21)),IF(_xlpm.result&lt;0,"",_xlpm.result))</f>
        <v/>
      </c>
      <c r="G35" s="1" t="str" cm="1">
        <f t="array" ref="G35">_xlfn.LET(_xlpm.result,10*_xlfn.XLOOKUP($A35,$A$2:$A$21,_xlfn.XLOOKUP(G$1,$B$1:$G$1,$B$2:$G$21)),IF(_xlpm.result&lt;0,"",_xlpm.result))</f>
        <v/>
      </c>
      <c r="H35" s="10">
        <f t="shared" si="1"/>
        <v>0</v>
      </c>
    </row>
    <row r="36" spans="1:15" x14ac:dyDescent="0.25">
      <c r="A36" t="s">
        <v>38</v>
      </c>
      <c r="B36" s="1" cm="1">
        <f t="array" ref="B36">_xlfn.LET(_xlpm.result,10*_xlfn.XLOOKUP($A36,$A$2:$A$21,_xlfn.XLOOKUP(B$1,$B$1:$G$1,$B$2:$G$21)),IF(_xlpm.result&lt;0,"",_xlpm.result))</f>
        <v>34</v>
      </c>
      <c r="C36" s="1" cm="1">
        <f t="array" ref="C36">_xlfn.LET(_xlpm.result,10*_xlfn.XLOOKUP($A36,$A$2:$A$21,_xlfn.XLOOKUP(C$1,$B$1:$G$1,$B$2:$G$21)),IF(_xlpm.result&lt;0,"",_xlpm.result))</f>
        <v>38</v>
      </c>
      <c r="D36" s="1" t="str" cm="1">
        <f t="array" ref="D36">_xlfn.LET(_xlpm.result,10*_xlfn.XLOOKUP($A36,$A$2:$A$21,_xlfn.XLOOKUP(D$1,$B$1:$G$1,$B$2:$G$21)),IF(_xlpm.result&lt;0,"",_xlpm.result))</f>
        <v/>
      </c>
      <c r="E36" s="1" cm="1">
        <f t="array" ref="E36">_xlfn.LET(_xlpm.result,10*_xlfn.XLOOKUP($A36,$A$2:$A$21,_xlfn.XLOOKUP(E$1,$B$1:$G$1,$B$2:$G$21)),IF(_xlpm.result&lt;0,"",_xlpm.result))</f>
        <v>16</v>
      </c>
      <c r="F36" s="1" t="str" cm="1">
        <f t="array" ref="F36">_xlfn.LET(_xlpm.result,10*_xlfn.XLOOKUP($A36,$A$2:$A$21,_xlfn.XLOOKUP(F$1,$B$1:$G$1,$B$2:$G$21)),IF(_xlpm.result&lt;0,"",_xlpm.result))</f>
        <v/>
      </c>
      <c r="G36" s="1" t="str" cm="1">
        <f t="array" ref="G36">_xlfn.LET(_xlpm.result,10*_xlfn.XLOOKUP($A36,$A$2:$A$21,_xlfn.XLOOKUP(G$1,$B$1:$G$1,$B$2:$G$21)),IF(_xlpm.result&lt;0,"",_xlpm.result))</f>
        <v/>
      </c>
      <c r="H36" s="10">
        <f t="shared" si="1"/>
        <v>38</v>
      </c>
    </row>
    <row r="37" spans="1:15" s="16" customFormat="1" x14ac:dyDescent="0.25">
      <c r="A37" t="s">
        <v>42</v>
      </c>
      <c r="B37" s="1" t="str" cm="1">
        <f t="array" ref="B37">_xlfn.LET(_xlpm.result,10*_xlfn.XLOOKUP($A37,$A$2:$A$21,_xlfn.XLOOKUP(B$1,$B$1:$G$1,$B$2:$G$21)),IF(_xlpm.result&lt;0,"",_xlpm.result))</f>
        <v/>
      </c>
      <c r="C37" s="1" cm="1">
        <f t="array" ref="C37">_xlfn.LET(_xlpm.result,10*_xlfn.XLOOKUP($A37,$A$2:$A$21,_xlfn.XLOOKUP(C$1,$B$1:$G$1,$B$2:$G$21)),IF(_xlpm.result&lt;0,"",_xlpm.result))</f>
        <v>0</v>
      </c>
      <c r="D37" s="1" cm="1">
        <f t="array" ref="D37">_xlfn.LET(_xlpm.result,10*_xlfn.XLOOKUP($A37,$A$2:$A$21,_xlfn.XLOOKUP(D$1,$B$1:$G$1,$B$2:$G$21)),IF(_xlpm.result&lt;0,"",_xlpm.result))</f>
        <v>10</v>
      </c>
      <c r="E37" s="1" cm="1">
        <f t="array" ref="E37">_xlfn.LET(_xlpm.result,10*_xlfn.XLOOKUP($A37,$A$2:$A$21,_xlfn.XLOOKUP(E$1,$B$1:$G$1,$B$2:$G$21)),IF(_xlpm.result&lt;0,"",_xlpm.result))</f>
        <v>14</v>
      </c>
      <c r="F37" s="1" cm="1">
        <f t="array" ref="F37">_xlfn.LET(_xlpm.result,10*_xlfn.XLOOKUP($A37,$A$2:$A$21,_xlfn.XLOOKUP(F$1,$B$1:$G$1,$B$2:$G$21)),IF(_xlpm.result&lt;0,"",_xlpm.result))</f>
        <v>41</v>
      </c>
      <c r="G37" s="1" t="str" cm="1">
        <f t="array" ref="G37">_xlfn.LET(_xlpm.result,10*_xlfn.XLOOKUP($A37,$A$2:$A$21,_xlfn.XLOOKUP(G$1,$B$1:$G$1,$B$2:$G$21)),IF(_xlpm.result&lt;0,"",_xlpm.result))</f>
        <v/>
      </c>
      <c r="H37" s="10">
        <f t="shared" si="1"/>
        <v>41</v>
      </c>
    </row>
    <row r="38" spans="1:15" x14ac:dyDescent="0.25">
      <c r="A38" t="s">
        <v>20</v>
      </c>
      <c r="B38" s="1" cm="1">
        <f t="array" ref="B38">_xlfn.LET(_xlpm.result,10*_xlfn.XLOOKUP($A38,$A$2:$A$21,_xlfn.XLOOKUP(B$1,$B$1:$G$1,$B$2:$G$21)),IF(_xlpm.result&lt;0,"",_xlpm.result))</f>
        <v>42</v>
      </c>
      <c r="C38" s="1" t="str" cm="1">
        <f t="array" ref="C38">_xlfn.LET(_xlpm.result,10*_xlfn.XLOOKUP($A38,$A$2:$A$21,_xlfn.XLOOKUP(C$1,$B$1:$G$1,$B$2:$G$21)),IF(_xlpm.result&lt;0,"",_xlpm.result))</f>
        <v/>
      </c>
      <c r="D38" s="1" t="str" cm="1">
        <f t="array" ref="D38">_xlfn.LET(_xlpm.result,10*_xlfn.XLOOKUP($A38,$A$2:$A$21,_xlfn.XLOOKUP(D$1,$B$1:$G$1,$B$2:$G$21)),IF(_xlpm.result&lt;0,"",_xlpm.result))</f>
        <v/>
      </c>
      <c r="E38" s="1" cm="1">
        <f t="array" ref="E38">_xlfn.LET(_xlpm.result,10*_xlfn.XLOOKUP($A38,$A$2:$A$21,_xlfn.XLOOKUP(E$1,$B$1:$G$1,$B$2:$G$21)),IF(_xlpm.result&lt;0,"",_xlpm.result))</f>
        <v>5</v>
      </c>
      <c r="F38" s="1" t="str" cm="1">
        <f t="array" ref="F38">_xlfn.LET(_xlpm.result,10*_xlfn.XLOOKUP($A38,$A$2:$A$21,_xlfn.XLOOKUP(F$1,$B$1:$G$1,$B$2:$G$21)),IF(_xlpm.result&lt;0,"",_xlpm.result))</f>
        <v/>
      </c>
      <c r="G38" s="1" cm="1">
        <f t="array" ref="G38">_xlfn.LET(_xlpm.result,10*_xlfn.XLOOKUP($A38,$A$2:$A$21,_xlfn.XLOOKUP(G$1,$B$1:$G$1,$B$2:$G$21)),IF(_xlpm.result&lt;0,"",_xlpm.result))</f>
        <v>38</v>
      </c>
      <c r="H38" s="10">
        <f t="shared" si="1"/>
        <v>42</v>
      </c>
    </row>
    <row r="39" spans="1:15" s="16" customFormat="1" x14ac:dyDescent="0.25">
      <c r="A39" t="s">
        <v>25</v>
      </c>
      <c r="B39" s="1" t="str" cm="1">
        <f t="array" ref="B39">_xlfn.LET(_xlpm.result,10*_xlfn.XLOOKUP($A39,$A$2:$A$21,_xlfn.XLOOKUP(B$1,$B$1:$G$1,$B$2:$G$21)),IF(_xlpm.result&lt;0,"",_xlpm.result))</f>
        <v/>
      </c>
      <c r="C39" s="1" t="str" cm="1">
        <f t="array" ref="C39">_xlfn.LET(_xlpm.result,10*_xlfn.XLOOKUP($A39,$A$2:$A$21,_xlfn.XLOOKUP(C$1,$B$1:$G$1,$B$2:$G$21)),IF(_xlpm.result&lt;0,"",_xlpm.result))</f>
        <v/>
      </c>
      <c r="D39" s="1" t="str" cm="1">
        <f t="array" ref="D39">_xlfn.LET(_xlpm.result,10*_xlfn.XLOOKUP($A39,$A$2:$A$21,_xlfn.XLOOKUP(D$1,$B$1:$G$1,$B$2:$G$21)),IF(_xlpm.result&lt;0,"",_xlpm.result))</f>
        <v/>
      </c>
      <c r="E39" s="1" t="str" cm="1">
        <f t="array" ref="E39">_xlfn.LET(_xlpm.result,10*_xlfn.XLOOKUP($A39,$A$2:$A$21,_xlfn.XLOOKUP(E$1,$B$1:$G$1,$B$2:$G$21)),IF(_xlpm.result&lt;0,"",_xlpm.result))</f>
        <v/>
      </c>
      <c r="F39" s="1" t="str" cm="1">
        <f t="array" ref="F39">_xlfn.LET(_xlpm.result,10*_xlfn.XLOOKUP($A39,$A$2:$A$21,_xlfn.XLOOKUP(F$1,$B$1:$G$1,$B$2:$G$21)),IF(_xlpm.result&lt;0,"",_xlpm.result))</f>
        <v/>
      </c>
      <c r="G39" s="1" cm="1">
        <f t="array" ref="G39">_xlfn.LET(_xlpm.result,10*_xlfn.XLOOKUP($A39,$A$2:$A$21,_xlfn.XLOOKUP(G$1,$B$1:$G$1,$B$2:$G$21)),IF(_xlpm.result&lt;0,"",_xlpm.result))</f>
        <v>47</v>
      </c>
      <c r="H39" s="10">
        <f t="shared" si="1"/>
        <v>47</v>
      </c>
    </row>
    <row r="40" spans="1:15" s="16" customFormat="1" ht="21" x14ac:dyDescent="0.35">
      <c r="A40" t="s">
        <v>48</v>
      </c>
      <c r="B40" s="1" cm="1">
        <f t="array" ref="B40">_xlfn.LET(_xlpm.result,10*_xlfn.XLOOKUP($A40,$A$2:$A$21,_xlfn.XLOOKUP(B$1,$B$1:$G$1,$B$2:$G$21)),IF(_xlpm.result&lt;0,"",_xlpm.result))</f>
        <v>41</v>
      </c>
      <c r="C40" s="21" cm="1">
        <f t="array" ref="C40">_xlfn.LET(_xlpm.result,10*_xlfn.XLOOKUP($A40,$A$2:$A$21,_xlfn.XLOOKUP(C$1,$B$1:$G$1,$B$2:$G$21)),IF(_xlpm.result&lt;0,"",_xlpm.result))</f>
        <v>74</v>
      </c>
      <c r="D40" s="1" cm="1">
        <f t="array" ref="D40">_xlfn.LET(_xlpm.result,10*_xlfn.XLOOKUP($A40,$A$2:$A$21,_xlfn.XLOOKUP(D$1,$B$1:$G$1,$B$2:$G$21)),IF(_xlpm.result&lt;0,"",_xlpm.result))</f>
        <v>36</v>
      </c>
      <c r="E40" s="1" cm="1">
        <f t="array" ref="E40">_xlfn.LET(_xlpm.result,10*_xlfn.XLOOKUP($A40,$A$2:$A$21,_xlfn.XLOOKUP(E$1,$B$1:$G$1,$B$2:$G$21)),IF(_xlpm.result&lt;0,"",_xlpm.result))</f>
        <v>53</v>
      </c>
      <c r="F40" s="1" cm="1">
        <f t="array" ref="F40">_xlfn.LET(_xlpm.result,10*_xlfn.XLOOKUP($A40,$A$2:$A$21,_xlfn.XLOOKUP(F$1,$B$1:$G$1,$B$2:$G$21)),IF(_xlpm.result&lt;0,"",_xlpm.result))</f>
        <v>40</v>
      </c>
      <c r="G40" s="1" cm="1">
        <f t="array" ref="G40">_xlfn.LET(_xlpm.result,10*_xlfn.XLOOKUP($A40,$A$2:$A$21,_xlfn.XLOOKUP(G$1,$B$1:$G$1,$B$2:$G$21)),IF(_xlpm.result&lt;0,"",_xlpm.result))</f>
        <v>53</v>
      </c>
      <c r="H40" s="10">
        <f t="shared" si="1"/>
        <v>74</v>
      </c>
      <c r="I40" s="28"/>
    </row>
    <row r="41" spans="1:15" s="25" customFormat="1" ht="21" x14ac:dyDescent="0.35">
      <c r="A41" t="s">
        <v>24</v>
      </c>
      <c r="B41" s="1" t="str" cm="1">
        <f t="array" ref="B41">_xlfn.LET(_xlpm.result,10*_xlfn.XLOOKUP($A41,$A$2:$A$21,_xlfn.XLOOKUP(B$1,$B$1:$G$1,$B$2:$G$21)),IF(_xlpm.result&lt;0,"",_xlpm.result))</f>
        <v/>
      </c>
      <c r="C41" s="1" t="str" cm="1">
        <f t="array" ref="C41">_xlfn.LET(_xlpm.result,10*_xlfn.XLOOKUP($A41,$A$2:$A$21,_xlfn.XLOOKUP(C$1,$B$1:$G$1,$B$2:$G$21)),IF(_xlpm.result&lt;0,"",_xlpm.result))</f>
        <v/>
      </c>
      <c r="D41" s="21" cm="1">
        <f t="array" ref="D41">_xlfn.LET(_xlpm.result,10*_xlfn.XLOOKUP($A41,$A$2:$A$21,_xlfn.XLOOKUP(D$1,$B$1:$G$1,$B$2:$G$21)),IF(_xlpm.result&lt;0,"",_xlpm.result))</f>
        <v>80</v>
      </c>
      <c r="E41" s="1" t="str" cm="1">
        <f t="array" ref="E41">_xlfn.LET(_xlpm.result,10*_xlfn.XLOOKUP($A41,$A$2:$A$21,_xlfn.XLOOKUP(E$1,$B$1:$G$1,$B$2:$G$21)),IF(_xlpm.result&lt;0,"",_xlpm.result))</f>
        <v/>
      </c>
      <c r="F41" s="1" t="str" cm="1">
        <f t="array" ref="F41">_xlfn.LET(_xlpm.result,10*_xlfn.XLOOKUP($A41,$A$2:$A$21,_xlfn.XLOOKUP(F$1,$B$1:$G$1,$B$2:$G$21)),IF(_xlpm.result&lt;0,"",_xlpm.result))</f>
        <v/>
      </c>
      <c r="G41" s="1" t="str" cm="1">
        <f t="array" ref="G41">_xlfn.LET(_xlpm.result,10*_xlfn.XLOOKUP($A41,$A$2:$A$21,_xlfn.XLOOKUP(G$1,$B$1:$G$1,$B$2:$G$21)),IF(_xlpm.result&lt;0,"",_xlpm.result))</f>
        <v/>
      </c>
      <c r="H41" s="10">
        <f t="shared" si="1"/>
        <v>80</v>
      </c>
      <c r="I41" s="28">
        <v>7</v>
      </c>
    </row>
    <row r="42" spans="1:15" ht="21" x14ac:dyDescent="0.35">
      <c r="A42" t="s">
        <v>33</v>
      </c>
      <c r="B42" s="21" cm="1">
        <f t="array" ref="B42">_xlfn.LET(_xlpm.result,10*_xlfn.XLOOKUP($A42,$A$2:$A$21,_xlfn.XLOOKUP(B$1,$B$1:$G$1,$B$2:$G$21)),IF(_xlpm.result&lt;0,"",_xlpm.result))</f>
        <v>90</v>
      </c>
      <c r="C42" s="1" t="str" cm="1">
        <f t="array" ref="C42">_xlfn.LET(_xlpm.result,10*_xlfn.XLOOKUP($A42,$A$2:$A$21,_xlfn.XLOOKUP(C$1,$B$1:$G$1,$B$2:$G$21)),IF(_xlpm.result&lt;0,"",_xlpm.result))</f>
        <v/>
      </c>
      <c r="D42" s="1" cm="1">
        <f t="array" ref="D42">_xlfn.LET(_xlpm.result,10*_xlfn.XLOOKUP($A42,$A$2:$A$21,_xlfn.XLOOKUP(D$1,$B$1:$G$1,$B$2:$G$21)),IF(_xlpm.result&lt;0,"",_xlpm.result))</f>
        <v>67</v>
      </c>
      <c r="E42" s="1" t="str" cm="1">
        <f t="array" ref="E42">_xlfn.LET(_xlpm.result,10*_xlfn.XLOOKUP($A42,$A$2:$A$21,_xlfn.XLOOKUP(E$1,$B$1:$G$1,$B$2:$G$21)),IF(_xlpm.result&lt;0,"",_xlpm.result))</f>
        <v/>
      </c>
      <c r="F42" s="1" t="str" cm="1">
        <f t="array" ref="F42">_xlfn.LET(_xlpm.result,10*_xlfn.XLOOKUP($A42,$A$2:$A$21,_xlfn.XLOOKUP(F$1,$B$1:$G$1,$B$2:$G$21)),IF(_xlpm.result&lt;0,"",_xlpm.result))</f>
        <v/>
      </c>
      <c r="G42" s="1" cm="1">
        <f t="array" ref="G42">_xlfn.LET(_xlpm.result,10*_xlfn.XLOOKUP($A42,$A$2:$A$21,_xlfn.XLOOKUP(G$1,$B$1:$G$1,$B$2:$G$21)),IF(_xlpm.result&lt;0,"",_xlpm.result))</f>
        <v>90</v>
      </c>
      <c r="H42" s="10">
        <f t="shared" si="1"/>
        <v>90</v>
      </c>
      <c r="I42" s="28">
        <v>6</v>
      </c>
    </row>
    <row r="43" spans="1:15" s="16" customFormat="1" ht="21" x14ac:dyDescent="0.35">
      <c r="A43" t="s">
        <v>45</v>
      </c>
      <c r="B43" s="1" t="str" cm="1">
        <f t="array" ref="B43">_xlfn.LET(_xlpm.result,10*_xlfn.XLOOKUP($A43,$A$2:$A$21,_xlfn.XLOOKUP(B$1,$B$1:$G$1,$B$2:$G$21)),IF(_xlpm.result&lt;0,"",_xlpm.result))</f>
        <v/>
      </c>
      <c r="C43" s="1" t="str" cm="1">
        <f t="array" ref="C43">_xlfn.LET(_xlpm.result,10*_xlfn.XLOOKUP($A43,$A$2:$A$21,_xlfn.XLOOKUP(C$1,$B$1:$G$1,$B$2:$G$21)),IF(_xlpm.result&lt;0,"",_xlpm.result))</f>
        <v/>
      </c>
      <c r="D43" s="1" cm="1">
        <f t="array" ref="D43">_xlfn.LET(_xlpm.result,10*_xlfn.XLOOKUP($A43,$A$2:$A$21,_xlfn.XLOOKUP(D$1,$B$1:$G$1,$B$2:$G$21)),IF(_xlpm.result&lt;0,"",_xlpm.result))</f>
        <v>34</v>
      </c>
      <c r="E43" s="1" t="str" cm="1">
        <f t="array" ref="E43">_xlfn.LET(_xlpm.result,10*_xlfn.XLOOKUP($A43,$A$2:$A$21,_xlfn.XLOOKUP(E$1,$B$1:$G$1,$B$2:$G$21)),IF(_xlpm.result&lt;0,"",_xlpm.result))</f>
        <v/>
      </c>
      <c r="F43" s="21" cm="1">
        <f t="array" ref="F43">_xlfn.LET(_xlpm.result,10*_xlfn.XLOOKUP($A43,$A$2:$A$21,_xlfn.XLOOKUP(F$1,$B$1:$G$1,$B$2:$G$21)),IF(_xlpm.result&lt;0,"",_xlpm.result))</f>
        <v>97</v>
      </c>
      <c r="G43" s="1" t="str" cm="1">
        <f t="array" ref="G43">_xlfn.LET(_xlpm.result,10*_xlfn.XLOOKUP($A43,$A$2:$A$21,_xlfn.XLOOKUP(G$1,$B$1:$G$1,$B$2:$G$21)),IF(_xlpm.result&lt;0,"",_xlpm.result))</f>
        <v/>
      </c>
      <c r="H43" s="10">
        <f t="shared" si="1"/>
        <v>97</v>
      </c>
      <c r="I43" s="28">
        <v>5</v>
      </c>
    </row>
    <row r="44" spans="1:15" s="16" customFormat="1" ht="21" x14ac:dyDescent="0.35">
      <c r="A44" t="s">
        <v>44</v>
      </c>
      <c r="B44" s="1" cm="1">
        <f t="array" ref="B44">_xlfn.LET(_xlpm.result,10*_xlfn.XLOOKUP($A44,$A$2:$A$21,_xlfn.XLOOKUP(B$1,$B$1:$G$1,$B$2:$G$21)),IF(_xlpm.result&lt;0,"",_xlpm.result))</f>
        <v>60</v>
      </c>
      <c r="C44" s="1" cm="1">
        <f t="array" ref="C44">_xlfn.LET(_xlpm.result,10*_xlfn.XLOOKUP($A44,$A$2:$A$21,_xlfn.XLOOKUP(C$1,$B$1:$G$1,$B$2:$G$21)),IF(_xlpm.result&lt;0,"",_xlpm.result))</f>
        <v>33.999999999999901</v>
      </c>
      <c r="D44" s="1" cm="1">
        <f t="array" ref="D44">_xlfn.LET(_xlpm.result,10*_xlfn.XLOOKUP($A44,$A$2:$A$21,_xlfn.XLOOKUP(D$1,$B$1:$G$1,$B$2:$G$21)),IF(_xlpm.result&lt;0,"",_xlpm.result))</f>
        <v>102</v>
      </c>
      <c r="E44" s="1" cm="1">
        <f t="array" ref="E44">_xlfn.LET(_xlpm.result,10*_xlfn.XLOOKUP($A44,$A$2:$A$21,_xlfn.XLOOKUP(E$1,$B$1:$G$1,$B$2:$G$21)),IF(_xlpm.result&lt;0,"",_xlpm.result))</f>
        <v>71</v>
      </c>
      <c r="F44" s="1" cm="1">
        <f t="array" ref="F44">_xlfn.LET(_xlpm.result,10*_xlfn.XLOOKUP($A44,$A$2:$A$21,_xlfn.XLOOKUP(F$1,$B$1:$G$1,$B$2:$G$21)),IF(_xlpm.result&lt;0,"",_xlpm.result))</f>
        <v>6.9999999999999893</v>
      </c>
      <c r="G44" s="21" cm="1">
        <f t="array" ref="G44">_xlfn.LET(_xlpm.result,10*_xlfn.XLOOKUP($A44,$A$2:$A$21,_xlfn.XLOOKUP(G$1,$B$1:$G$1,$B$2:$G$21)),IF(_xlpm.result&lt;0,"",_xlpm.result))</f>
        <v>71</v>
      </c>
      <c r="H44" s="10">
        <f t="shared" si="1"/>
        <v>102</v>
      </c>
      <c r="I44" s="28">
        <v>4</v>
      </c>
    </row>
    <row r="45" spans="1:15" ht="21" x14ac:dyDescent="0.35">
      <c r="A45" t="s">
        <v>34</v>
      </c>
      <c r="B45" s="1" cm="1">
        <f t="array" ref="B45">_xlfn.LET(_xlpm.result,10*_xlfn.XLOOKUP($A45,$A$2:$A$21,_xlfn.XLOOKUP(B$1,$B$1:$G$1,$B$2:$G$21)),IF(_xlpm.result&lt;0,"",_xlpm.result))</f>
        <v>67</v>
      </c>
      <c r="C45" s="1" cm="1">
        <f t="array" ref="C45">_xlfn.LET(_xlpm.result,10*_xlfn.XLOOKUP($A45,$A$2:$A$21,_xlfn.XLOOKUP(C$1,$B$1:$G$1,$B$2:$G$21)),IF(_xlpm.result&lt;0,"",_xlpm.result))</f>
        <v>51.999999999999901</v>
      </c>
      <c r="D45" s="1" cm="1">
        <f t="array" ref="D45">_xlfn.LET(_xlpm.result,10*_xlfn.XLOOKUP($A45,$A$2:$A$21,_xlfn.XLOOKUP(D$1,$B$1:$G$1,$B$2:$G$21)),IF(_xlpm.result&lt;0,"",_xlpm.result))</f>
        <v>61</v>
      </c>
      <c r="E45" s="21" cm="1">
        <f t="array" ref="E45">_xlfn.LET(_xlpm.result,10*_xlfn.XLOOKUP($A45,$A$2:$A$21,_xlfn.XLOOKUP(E$1,$B$1:$G$1,$B$2:$G$21)),IF(_xlpm.result&lt;0,"",_xlpm.result))</f>
        <v>165</v>
      </c>
      <c r="F45" s="1" cm="1">
        <f t="array" ref="F45">_xlfn.LET(_xlpm.result,10*_xlfn.XLOOKUP($A45,$A$2:$A$21,_xlfn.XLOOKUP(F$1,$B$1:$G$1,$B$2:$G$21)),IF(_xlpm.result&lt;0,"",_xlpm.result))</f>
        <v>48</v>
      </c>
      <c r="G45" s="1" cm="1">
        <f t="array" ref="G45">_xlfn.LET(_xlpm.result,10*_xlfn.XLOOKUP($A45,$A$2:$A$21,_xlfn.XLOOKUP(G$1,$B$1:$G$1,$B$2:$G$21)),IF(_xlpm.result&lt;0,"",_xlpm.result))</f>
        <v>128.99999999999901</v>
      </c>
      <c r="H45" s="10">
        <f t="shared" si="1"/>
        <v>165</v>
      </c>
      <c r="I45" s="28">
        <v>1</v>
      </c>
    </row>
    <row r="46" spans="1:15" x14ac:dyDescent="0.25">
      <c r="B46" s="1"/>
      <c r="C46" s="1"/>
      <c r="D46" s="1"/>
      <c r="E46" s="1"/>
      <c r="F46" s="1"/>
      <c r="G46" s="1"/>
      <c r="H46" s="10"/>
    </row>
    <row r="47" spans="1:15" x14ac:dyDescent="0.25">
      <c r="A47" t="s">
        <v>60</v>
      </c>
      <c r="F47" s="3"/>
      <c r="H47" s="10">
        <f>SUM(B47:G47)</f>
        <v>0</v>
      </c>
      <c r="I47">
        <f>MIN(B47:G47)</f>
        <v>0</v>
      </c>
      <c r="J47" s="23" t="e">
        <f>AVERAGE(B47:G47)</f>
        <v>#DIV/0!</v>
      </c>
    </row>
    <row r="48" spans="1:15" x14ac:dyDescent="0.25">
      <c r="A48" t="s">
        <v>61</v>
      </c>
      <c r="H48" s="10">
        <f>SUM(B48:G48)</f>
        <v>0</v>
      </c>
      <c r="I48">
        <f>MIN(B48:G48)</f>
        <v>0</v>
      </c>
      <c r="J48" s="23" t="e">
        <f>AVERAGE(B48:G48)</f>
        <v>#DIV/0!</v>
      </c>
    </row>
    <row r="50" spans="1:10" x14ac:dyDescent="0.25">
      <c r="A50" t="s">
        <v>62</v>
      </c>
      <c r="B50">
        <f t="shared" ref="B50:J50" si="2">B48-B47</f>
        <v>0</v>
      </c>
      <c r="C50">
        <f t="shared" si="2"/>
        <v>0</v>
      </c>
      <c r="D50">
        <f t="shared" si="2"/>
        <v>0</v>
      </c>
      <c r="E50">
        <f t="shared" si="2"/>
        <v>0</v>
      </c>
      <c r="F50">
        <f t="shared" si="2"/>
        <v>0</v>
      </c>
      <c r="G50">
        <f t="shared" si="2"/>
        <v>0</v>
      </c>
      <c r="H50">
        <f t="shared" si="2"/>
        <v>0</v>
      </c>
      <c r="I50">
        <f t="shared" si="2"/>
        <v>0</v>
      </c>
      <c r="J50" s="22" t="e">
        <f t="shared" si="2"/>
        <v>#DIV/0!</v>
      </c>
    </row>
  </sheetData>
  <autoFilter ref="A25:H25" xr:uid="{54BE77A0-7D21-425B-A240-22D447E1FEA2}">
    <sortState xmlns:xlrd2="http://schemas.microsoft.com/office/spreadsheetml/2017/richdata2" ref="A26:H46">
      <sortCondition ref="H25"/>
    </sortState>
  </autoFilter>
  <conditionalFormatting sqref="B2:G2"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G3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G4"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G5"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G6"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G7"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G8"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G9"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G10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G11"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G12"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G13"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G14"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G15"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G16"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G17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G18"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G19"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G21"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G24 B22:G22">
    <cfRule type="colorScale" priority="4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G24"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6:G45"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6:G46">
    <cfRule type="colorScale" priority="4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7:G47"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8:G48"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EB57-89EA-45FA-BC6E-3ADAE4DFE0F4}">
  <dimension ref="A1:N48"/>
  <sheetViews>
    <sheetView tabSelected="1" topLeftCell="A19" zoomScaleNormal="100" workbookViewId="0">
      <selection activeCell="A40" sqref="A40"/>
    </sheetView>
  </sheetViews>
  <sheetFormatPr defaultRowHeight="15" x14ac:dyDescent="0.25"/>
  <cols>
    <col min="1" max="1" width="24.28515625" customWidth="1"/>
    <col min="2" max="4" width="10.42578125" bestFit="1" customWidth="1"/>
    <col min="5" max="5" width="10.7109375" bestFit="1" customWidth="1"/>
    <col min="6" max="6" width="10.42578125" bestFit="1" customWidth="1"/>
    <col min="7" max="7" width="10.5703125" bestFit="1" customWidth="1"/>
  </cols>
  <sheetData>
    <row r="1" spans="1:6" x14ac:dyDescent="0.25"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>
        <v>-8.3000000000000007</v>
      </c>
      <c r="C2">
        <v>-5.3</v>
      </c>
      <c r="D2">
        <v>-0.5</v>
      </c>
      <c r="E2">
        <v>1.5</v>
      </c>
      <c r="F2">
        <v>-8.3000000000000007</v>
      </c>
    </row>
    <row r="3" spans="1:6" x14ac:dyDescent="0.25">
      <c r="A3" t="s">
        <v>20</v>
      </c>
      <c r="B3">
        <v>-6.4</v>
      </c>
      <c r="C3">
        <v>-3.6</v>
      </c>
      <c r="D3">
        <v>0.5</v>
      </c>
      <c r="E3">
        <v>-7.8</v>
      </c>
      <c r="F3">
        <v>3.8</v>
      </c>
    </row>
    <row r="4" spans="1:6" x14ac:dyDescent="0.25">
      <c r="A4" t="s">
        <v>23</v>
      </c>
      <c r="C4">
        <v>2.0999999999999899</v>
      </c>
      <c r="D4">
        <v>-5.3</v>
      </c>
      <c r="E4">
        <v>-8.1</v>
      </c>
      <c r="F4">
        <v>-5.3</v>
      </c>
    </row>
    <row r="5" spans="1:6" x14ac:dyDescent="0.25">
      <c r="A5" t="s">
        <v>24</v>
      </c>
      <c r="B5">
        <v>-5.8</v>
      </c>
      <c r="C5">
        <v>8</v>
      </c>
      <c r="D5">
        <v>-5.8</v>
      </c>
      <c r="E5">
        <v>-4.8</v>
      </c>
      <c r="F5">
        <v>-6.3</v>
      </c>
    </row>
    <row r="6" spans="1:6" x14ac:dyDescent="0.25">
      <c r="A6" t="s">
        <v>25</v>
      </c>
      <c r="B6">
        <v>-8.6</v>
      </c>
      <c r="C6">
        <v>-8.8000000000000007</v>
      </c>
      <c r="D6">
        <v>-1.6</v>
      </c>
      <c r="E6">
        <v>-1.5</v>
      </c>
      <c r="F6">
        <v>4.7</v>
      </c>
    </row>
    <row r="7" spans="1:6" x14ac:dyDescent="0.25">
      <c r="A7" t="s">
        <v>26</v>
      </c>
      <c r="B7">
        <v>-0.20000000000000101</v>
      </c>
      <c r="C7">
        <v>-8</v>
      </c>
      <c r="D7">
        <v>-13.3</v>
      </c>
      <c r="E7">
        <v>-9.6999999999999993</v>
      </c>
      <c r="F7">
        <v>-4.7</v>
      </c>
    </row>
    <row r="8" spans="1:6" x14ac:dyDescent="0.25">
      <c r="A8" t="s">
        <v>27</v>
      </c>
      <c r="B8">
        <v>-4.3</v>
      </c>
      <c r="C8">
        <v>3.5</v>
      </c>
      <c r="D8">
        <v>-0.6</v>
      </c>
      <c r="E8">
        <v>3.1</v>
      </c>
      <c r="F8">
        <v>2.1</v>
      </c>
    </row>
    <row r="9" spans="1:6" x14ac:dyDescent="0.25">
      <c r="A9" t="s">
        <v>34</v>
      </c>
      <c r="B9">
        <v>5.1999999999999904</v>
      </c>
      <c r="C9">
        <v>6.1</v>
      </c>
      <c r="D9">
        <v>16.5</v>
      </c>
      <c r="E9">
        <v>4.8</v>
      </c>
      <c r="F9">
        <v>12.899999999999901</v>
      </c>
    </row>
    <row r="10" spans="1:6" x14ac:dyDescent="0.25">
      <c r="A10" t="s">
        <v>35</v>
      </c>
      <c r="B10">
        <v>-8.1</v>
      </c>
      <c r="C10">
        <v>-10.199999999999999</v>
      </c>
      <c r="D10">
        <v>-7.6999999999999904</v>
      </c>
      <c r="E10">
        <v>-4.0999999999999996</v>
      </c>
      <c r="F10">
        <v>-12.899999999999901</v>
      </c>
    </row>
    <row r="11" spans="1:6" x14ac:dyDescent="0.25">
      <c r="A11" t="s">
        <v>38</v>
      </c>
      <c r="B11">
        <v>3.8</v>
      </c>
      <c r="C11">
        <v>-3.4</v>
      </c>
      <c r="D11">
        <v>1.6</v>
      </c>
      <c r="E11">
        <v>-4</v>
      </c>
      <c r="F11">
        <v>-3.5</v>
      </c>
    </row>
    <row r="12" spans="1:6" x14ac:dyDescent="0.25">
      <c r="A12" t="s">
        <v>39</v>
      </c>
      <c r="B12">
        <v>-0.39999999999999902</v>
      </c>
      <c r="C12">
        <v>-3.5</v>
      </c>
      <c r="D12">
        <v>-1.4</v>
      </c>
      <c r="E12">
        <v>-7.8</v>
      </c>
      <c r="F12">
        <v>-7.3</v>
      </c>
    </row>
    <row r="13" spans="1:6" x14ac:dyDescent="0.25">
      <c r="A13" t="s">
        <v>41</v>
      </c>
      <c r="B13">
        <v>-7.4</v>
      </c>
      <c r="C13">
        <v>-2.0999999999999899</v>
      </c>
      <c r="D13">
        <v>0.4</v>
      </c>
      <c r="E13">
        <v>2.69999999999999</v>
      </c>
      <c r="F13">
        <v>-3.8</v>
      </c>
    </row>
    <row r="14" spans="1:6" x14ac:dyDescent="0.25">
      <c r="A14" t="s">
        <v>42</v>
      </c>
      <c r="C14">
        <v>1</v>
      </c>
      <c r="D14">
        <v>1.4</v>
      </c>
      <c r="E14">
        <v>4.0999999999999996</v>
      </c>
      <c r="F14">
        <v>-2.1</v>
      </c>
    </row>
    <row r="15" spans="1:6" x14ac:dyDescent="0.25">
      <c r="A15" t="s">
        <v>43</v>
      </c>
      <c r="B15">
        <v>-3.8</v>
      </c>
      <c r="C15">
        <v>-6.7</v>
      </c>
      <c r="D15">
        <v>-0.4</v>
      </c>
      <c r="E15">
        <v>-7.3</v>
      </c>
      <c r="F15">
        <v>-10.8</v>
      </c>
    </row>
    <row r="16" spans="1:6" x14ac:dyDescent="0.25">
      <c r="A16" t="s">
        <v>44</v>
      </c>
      <c r="B16">
        <v>3.3999999999999901</v>
      </c>
      <c r="C16">
        <v>10.199999999999999</v>
      </c>
      <c r="D16">
        <v>7.1</v>
      </c>
      <c r="E16">
        <v>0.69999999999999896</v>
      </c>
      <c r="F16">
        <v>7.1</v>
      </c>
    </row>
    <row r="17" spans="1:14" x14ac:dyDescent="0.25">
      <c r="A17" t="s">
        <v>45</v>
      </c>
      <c r="B17">
        <v>-3.8</v>
      </c>
      <c r="C17">
        <v>3.4</v>
      </c>
      <c r="D17">
        <v>-4.5999999999999996</v>
      </c>
      <c r="E17">
        <v>9.6999999999999993</v>
      </c>
      <c r="F17">
        <v>-3.8</v>
      </c>
    </row>
    <row r="18" spans="1:14" x14ac:dyDescent="0.25">
      <c r="A18" t="s">
        <v>48</v>
      </c>
      <c r="B18">
        <v>7.4</v>
      </c>
      <c r="C18">
        <v>3.6</v>
      </c>
      <c r="D18">
        <v>5.3</v>
      </c>
      <c r="E18">
        <v>4</v>
      </c>
      <c r="F18">
        <v>5.3</v>
      </c>
    </row>
    <row r="19" spans="1:14" x14ac:dyDescent="0.25">
      <c r="A19" t="s">
        <v>49</v>
      </c>
      <c r="B19">
        <v>0.20000000000000101</v>
      </c>
      <c r="C19">
        <v>-12.6</v>
      </c>
      <c r="D19">
        <v>-16.5</v>
      </c>
      <c r="E19">
        <v>-2.69999999999999</v>
      </c>
      <c r="F19">
        <v>-9</v>
      </c>
    </row>
    <row r="20" spans="1:14" x14ac:dyDescent="0.25">
      <c r="A20" t="s">
        <v>50</v>
      </c>
      <c r="B20">
        <v>0.39999999999999902</v>
      </c>
      <c r="C20">
        <v>-1</v>
      </c>
      <c r="D20">
        <v>-7.1</v>
      </c>
      <c r="E20">
        <v>-3.1</v>
      </c>
      <c r="F20">
        <v>-7.1</v>
      </c>
    </row>
    <row r="21" spans="1:14" x14ac:dyDescent="0.25">
      <c r="B21" s="1" t="str" cm="1">
        <f t="array" ref="B21">IFERROR(_xlfn.LET(_xlpm.result,RANK(_xlfn.XLOOKUP($A21,$A$2:$A$19,_xlfn.XLOOKUP(#REF!,$B$1:$F$1,$B$2:$F$19)),$B$2:$F$19),IF(_xlpm.result&gt;150,"",_xlpm.result)),"")</f>
        <v/>
      </c>
      <c r="C21" s="1" t="str" cm="1">
        <f t="array" ref="C21">IFERROR(_xlfn.LET(_xlpm.result,RANK(_xlfn.XLOOKUP($A21,$A$2:$A$19,_xlfn.XLOOKUP(#REF!,$B$1:$F$1,$B$2:$F$19)),$B$2:$F$19),IF(_xlpm.result&gt;150,"",_xlpm.result)),"")</f>
        <v/>
      </c>
      <c r="D21" s="1" t="str" cm="1">
        <f t="array" ref="D21">IFERROR(_xlfn.LET(_xlpm.result,RANK(_xlfn.XLOOKUP($A21,$A$2:$A$19,_xlfn.XLOOKUP(#REF!,$B$1:$F$1,$B$2:$F$19)),$B$2:$F$19),IF(_xlpm.result&gt;150,"",_xlpm.result)),"")</f>
        <v/>
      </c>
      <c r="E21" s="1" t="str" cm="1">
        <f t="array" ref="E21">IFERROR(_xlfn.LET(_xlpm.result,RANK(_xlfn.XLOOKUP($A21,$A$2:$A$19,_xlfn.XLOOKUP(#REF!,$B$1:$F$1,$B$2:$F$19)),$B$2:$F$19),IF(_xlpm.result&gt;150,"",_xlpm.result)),"")</f>
        <v/>
      </c>
      <c r="F21" s="1" t="str" cm="1">
        <f t="array" ref="F21">IFERROR(_xlfn.LET(_xlpm.result,RANK(_xlfn.XLOOKUP($A21,$A$2:$A$19,_xlfn.XLOOKUP(#REF!,$B$1:$F$1,$B$2:$F$19)),$B$2:$F$19),IF(_xlpm.result&gt;150,"",_xlpm.result)),"")</f>
        <v/>
      </c>
      <c r="H21" s="10"/>
    </row>
    <row r="22" spans="1:14" s="24" customFormat="1" x14ac:dyDescent="0.25"/>
    <row r="23" spans="1:14" x14ac:dyDescent="0.25">
      <c r="B23" s="1">
        <f>MAX(B24:B43)</f>
        <v>74</v>
      </c>
      <c r="C23" s="1">
        <f>MAX(C24:C43)</f>
        <v>102</v>
      </c>
      <c r="D23" s="1">
        <f>MAX(D24:D43)</f>
        <v>165</v>
      </c>
      <c r="E23" s="1">
        <f>MAX(E24:E43)</f>
        <v>97</v>
      </c>
      <c r="F23" s="1">
        <f>MAX(F24:F43)</f>
        <v>128.99999999999901</v>
      </c>
    </row>
    <row r="24" spans="1:14" x14ac:dyDescent="0.25">
      <c r="A24" t="s">
        <v>0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54</v>
      </c>
    </row>
    <row r="25" spans="1:14" x14ac:dyDescent="0.25">
      <c r="A25" t="s">
        <v>26</v>
      </c>
      <c r="B25" s="1" t="str" cm="1">
        <f t="array" ref="B25">_xlfn.LET(_xlpm.result,10*_xlfn.XLOOKUP($A25,$A$2:$A$20,_xlfn.XLOOKUP(B$1,$B$1:$F$1,$B$2:$F$20)),IF(_xlpm.result&lt;0,"",_xlpm.result))</f>
        <v/>
      </c>
      <c r="C25" s="1" t="str" cm="1">
        <f t="array" ref="C25">_xlfn.LET(_xlpm.result,10*_xlfn.XLOOKUP($A25,$A$2:$A$20,_xlfn.XLOOKUP(C$1,$B$1:$F$1,$B$2:$F$20)),IF(_xlpm.result&lt;0,"",_xlpm.result))</f>
        <v/>
      </c>
      <c r="D25" s="1" t="str" cm="1">
        <f t="array" ref="D25">_xlfn.LET(_xlpm.result,10*_xlfn.XLOOKUP($A25,$A$2:$A$20,_xlfn.XLOOKUP(D$1,$B$1:$F$1,$B$2:$F$20)),IF(_xlpm.result&lt;0,"",_xlpm.result))</f>
        <v/>
      </c>
      <c r="E25" s="1" t="str" cm="1">
        <f t="array" ref="E25">_xlfn.LET(_xlpm.result,10*_xlfn.XLOOKUP($A25,$A$2:$A$20,_xlfn.XLOOKUP(E$1,$B$1:$F$1,$B$2:$F$20)),IF(_xlpm.result&lt;0,"",_xlpm.result))</f>
        <v/>
      </c>
      <c r="F25" s="1" t="str" cm="1">
        <f t="array" ref="F25">_xlfn.LET(_xlpm.result,10*_xlfn.XLOOKUP($A25,$A$2:$A$20,_xlfn.XLOOKUP(F$1,$B$1:$F$1,$B$2:$F$20)),IF(_xlpm.result&lt;0,"",_xlpm.result))</f>
        <v/>
      </c>
      <c r="G25" s="10">
        <f>MAX(B25:F25)</f>
        <v>0</v>
      </c>
    </row>
    <row r="26" spans="1:14" x14ac:dyDescent="0.25">
      <c r="A26" t="s">
        <v>39</v>
      </c>
      <c r="B26" s="1" t="str" cm="1">
        <f t="array" ref="B26">_xlfn.LET(_xlpm.result,10*_xlfn.XLOOKUP($A26,$A$2:$A$20,_xlfn.XLOOKUP(B$1,$B$1:$F$1,$B$2:$F$20)),IF(_xlpm.result&lt;0,"",_xlpm.result))</f>
        <v/>
      </c>
      <c r="C26" s="1" t="str" cm="1">
        <f t="array" ref="C26">_xlfn.LET(_xlpm.result,10*_xlfn.XLOOKUP($A26,$A$2:$A$20,_xlfn.XLOOKUP(C$1,$B$1:$F$1,$B$2:$F$20)),IF(_xlpm.result&lt;0,"",_xlpm.result))</f>
        <v/>
      </c>
      <c r="D26" s="1" t="str" cm="1">
        <f t="array" ref="D26">_xlfn.LET(_xlpm.result,10*_xlfn.XLOOKUP($A26,$A$2:$A$20,_xlfn.XLOOKUP(D$1,$B$1:$F$1,$B$2:$F$20)),IF(_xlpm.result&lt;0,"",_xlpm.result))</f>
        <v/>
      </c>
      <c r="E26" s="1" t="str" cm="1">
        <f t="array" ref="E26">_xlfn.LET(_xlpm.result,10*_xlfn.XLOOKUP($A26,$A$2:$A$20,_xlfn.XLOOKUP(E$1,$B$1:$F$1,$B$2:$F$20)),IF(_xlpm.result&lt;0,"",_xlpm.result))</f>
        <v/>
      </c>
      <c r="F26" s="1" t="str" cm="1">
        <f t="array" ref="F26">_xlfn.LET(_xlpm.result,10*_xlfn.XLOOKUP($A26,$A$2:$A$20,_xlfn.XLOOKUP(F$1,$B$1:$F$1,$B$2:$F$20)),IF(_xlpm.result&lt;0,"",_xlpm.result))</f>
        <v/>
      </c>
      <c r="G26" s="10">
        <f>MAX(B26:F26)</f>
        <v>0</v>
      </c>
      <c r="N26" s="28"/>
    </row>
    <row r="27" spans="1:14" s="16" customFormat="1" x14ac:dyDescent="0.25">
      <c r="A27" t="s">
        <v>43</v>
      </c>
      <c r="B27" s="1" t="str" cm="1">
        <f t="array" ref="B27">_xlfn.LET(_xlpm.result,10*_xlfn.XLOOKUP($A27,$A$2:$A$20,_xlfn.XLOOKUP(B$1,$B$1:$F$1,$B$2:$F$20)),IF(_xlpm.result&lt;0,"",_xlpm.result))</f>
        <v/>
      </c>
      <c r="C27" s="1" t="str" cm="1">
        <f t="array" ref="C27">_xlfn.LET(_xlpm.result,10*_xlfn.XLOOKUP($A27,$A$2:$A$20,_xlfn.XLOOKUP(C$1,$B$1:$F$1,$B$2:$F$20)),IF(_xlpm.result&lt;0,"",_xlpm.result))</f>
        <v/>
      </c>
      <c r="D27" s="1" t="str" cm="1">
        <f t="array" ref="D27">_xlfn.LET(_xlpm.result,10*_xlfn.XLOOKUP($A27,$A$2:$A$20,_xlfn.XLOOKUP(D$1,$B$1:$F$1,$B$2:$F$20)),IF(_xlpm.result&lt;0,"",_xlpm.result))</f>
        <v/>
      </c>
      <c r="E27" s="1" t="str" cm="1">
        <f t="array" ref="E27">_xlfn.LET(_xlpm.result,10*_xlfn.XLOOKUP($A27,$A$2:$A$20,_xlfn.XLOOKUP(E$1,$B$1:$F$1,$B$2:$F$20)),IF(_xlpm.result&lt;0,"",_xlpm.result))</f>
        <v/>
      </c>
      <c r="F27" s="1" t="str" cm="1">
        <f t="array" ref="F27">_xlfn.LET(_xlpm.result,10*_xlfn.XLOOKUP($A27,$A$2:$A$20,_xlfn.XLOOKUP(F$1,$B$1:$F$1,$B$2:$F$20)),IF(_xlpm.result&lt;0,"",_xlpm.result))</f>
        <v/>
      </c>
      <c r="G27" s="10">
        <f>MAX(B27:F27)</f>
        <v>0</v>
      </c>
      <c r="M27"/>
      <c r="N27" s="28"/>
    </row>
    <row r="28" spans="1:14" s="16" customFormat="1" x14ac:dyDescent="0.25">
      <c r="A28" t="s">
        <v>35</v>
      </c>
      <c r="B28" s="1" t="str" cm="1">
        <f t="array" ref="B28">_xlfn.LET(_xlpm.result,10*_xlfn.XLOOKUP($A28,$A$2:$A$20,_xlfn.XLOOKUP(B$1,$B$1:$F$1,$B$2:$F$20)),IF(_xlpm.result&lt;0,"",_xlpm.result))</f>
        <v/>
      </c>
      <c r="C28" s="1" t="str" cm="1">
        <f t="array" ref="C28">_xlfn.LET(_xlpm.result,10*_xlfn.XLOOKUP($A28,$A$2:$A$20,_xlfn.XLOOKUP(C$1,$B$1:$F$1,$B$2:$F$20)),IF(_xlpm.result&lt;0,"",_xlpm.result))</f>
        <v/>
      </c>
      <c r="D28" s="1" t="str" cm="1">
        <f t="array" ref="D28">_xlfn.LET(_xlpm.result,10*_xlfn.XLOOKUP($A28,$A$2:$A$20,_xlfn.XLOOKUP(D$1,$B$1:$F$1,$B$2:$F$20)),IF(_xlpm.result&lt;0,"",_xlpm.result))</f>
        <v/>
      </c>
      <c r="E28" s="1" t="str" cm="1">
        <f t="array" ref="E28">_xlfn.LET(_xlpm.result,10*_xlfn.XLOOKUP($A28,$A$2:$A$20,_xlfn.XLOOKUP(E$1,$B$1:$F$1,$B$2:$F$20)),IF(_xlpm.result&lt;0,"",_xlpm.result))</f>
        <v/>
      </c>
      <c r="F28" s="1" t="str" cm="1">
        <f t="array" ref="F28">_xlfn.LET(_xlpm.result,10*_xlfn.XLOOKUP($A28,$A$2:$A$20,_xlfn.XLOOKUP(F$1,$B$1:$F$1,$B$2:$F$20)),IF(_xlpm.result&lt;0,"",_xlpm.result))</f>
        <v/>
      </c>
      <c r="G28" s="10">
        <f>MAX(B28:F28)</f>
        <v>0</v>
      </c>
      <c r="M28"/>
      <c r="N28" s="28"/>
    </row>
    <row r="29" spans="1:14" x14ac:dyDescent="0.25">
      <c r="A29" t="s">
        <v>49</v>
      </c>
      <c r="B29" s="1" cm="1">
        <f t="array" ref="B29">_xlfn.LET(_xlpm.result,10*_xlfn.XLOOKUP($A29,$A$2:$A$20,_xlfn.XLOOKUP(B$1,$B$1:$F$1,$B$2:$F$20)),IF(_xlpm.result&lt;0,"",_xlpm.result))</f>
        <v>2.0000000000000102</v>
      </c>
      <c r="C29" s="1" t="str" cm="1">
        <f t="array" ref="C29">_xlfn.LET(_xlpm.result,10*_xlfn.XLOOKUP($A29,$A$2:$A$20,_xlfn.XLOOKUP(C$1,$B$1:$F$1,$B$2:$F$20)),IF(_xlpm.result&lt;0,"",_xlpm.result))</f>
        <v/>
      </c>
      <c r="D29" s="1" t="str" cm="1">
        <f t="array" ref="D29">_xlfn.LET(_xlpm.result,10*_xlfn.XLOOKUP($A29,$A$2:$A$20,_xlfn.XLOOKUP(D$1,$B$1:$F$1,$B$2:$F$20)),IF(_xlpm.result&lt;0,"",_xlpm.result))</f>
        <v/>
      </c>
      <c r="E29" s="1" t="str" cm="1">
        <f t="array" ref="E29">_xlfn.LET(_xlpm.result,10*_xlfn.XLOOKUP($A29,$A$2:$A$20,_xlfn.XLOOKUP(E$1,$B$1:$F$1,$B$2:$F$20)),IF(_xlpm.result&lt;0,"",_xlpm.result))</f>
        <v/>
      </c>
      <c r="F29" s="1" t="str" cm="1">
        <f t="array" ref="F29">_xlfn.LET(_xlpm.result,10*_xlfn.XLOOKUP($A29,$A$2:$A$20,_xlfn.XLOOKUP(F$1,$B$1:$F$1,$B$2:$F$20)),IF(_xlpm.result&lt;0,"",_xlpm.result))</f>
        <v/>
      </c>
      <c r="G29" s="10">
        <f>MAX(B29:F29)</f>
        <v>2.0000000000000102</v>
      </c>
      <c r="N29" s="28"/>
    </row>
    <row r="30" spans="1:14" x14ac:dyDescent="0.25">
      <c r="A30" t="s">
        <v>50</v>
      </c>
      <c r="B30" s="1" cm="1">
        <f t="array" ref="B30">_xlfn.LET(_xlpm.result,10*_xlfn.XLOOKUP($A30,$A$2:$A$20,_xlfn.XLOOKUP(B$1,$B$1:$F$1,$B$2:$F$20)),IF(_xlpm.result&lt;0,"",_xlpm.result))</f>
        <v>3.9999999999999902</v>
      </c>
      <c r="C30" s="1" t="str" cm="1">
        <f t="array" ref="C30">_xlfn.LET(_xlpm.result,10*_xlfn.XLOOKUP($A30,$A$2:$A$20,_xlfn.XLOOKUP(C$1,$B$1:$F$1,$B$2:$F$20)),IF(_xlpm.result&lt;0,"",_xlpm.result))</f>
        <v/>
      </c>
      <c r="D30" s="1" t="str" cm="1">
        <f t="array" ref="D30">_xlfn.LET(_xlpm.result,10*_xlfn.XLOOKUP($A30,$A$2:$A$20,_xlfn.XLOOKUP(D$1,$B$1:$F$1,$B$2:$F$20)),IF(_xlpm.result&lt;0,"",_xlpm.result))</f>
        <v/>
      </c>
      <c r="E30" s="1" t="str" cm="1">
        <f t="array" ref="E30">_xlfn.LET(_xlpm.result,10*_xlfn.XLOOKUP($A30,$A$2:$A$20,_xlfn.XLOOKUP(E$1,$B$1:$F$1,$B$2:$F$20)),IF(_xlpm.result&lt;0,"",_xlpm.result))</f>
        <v/>
      </c>
      <c r="F30" s="1" t="str" cm="1">
        <f t="array" ref="F30">_xlfn.LET(_xlpm.result,10*_xlfn.XLOOKUP($A30,$A$2:$A$20,_xlfn.XLOOKUP(F$1,$B$1:$F$1,$B$2:$F$20)),IF(_xlpm.result&lt;0,"",_xlpm.result))</f>
        <v/>
      </c>
      <c r="G30" s="10">
        <f>MAX(B30:F30)</f>
        <v>3.9999999999999902</v>
      </c>
      <c r="N30" s="1"/>
    </row>
    <row r="31" spans="1:14" x14ac:dyDescent="0.25">
      <c r="A31" t="s">
        <v>19</v>
      </c>
      <c r="B31" s="1" t="str" cm="1">
        <f t="array" ref="B31">_xlfn.LET(_xlpm.result,10*_xlfn.XLOOKUP($A31,$A$2:$A$20,_xlfn.XLOOKUP(B$1,$B$1:$F$1,$B$2:$F$20)),IF(_xlpm.result&lt;0,"",_xlpm.result))</f>
        <v/>
      </c>
      <c r="C31" s="1" t="str" cm="1">
        <f t="array" ref="C31">_xlfn.LET(_xlpm.result,10*_xlfn.XLOOKUP($A31,$A$2:$A$20,_xlfn.XLOOKUP(C$1,$B$1:$F$1,$B$2:$F$20)),IF(_xlpm.result&lt;0,"",_xlpm.result))</f>
        <v/>
      </c>
      <c r="D31" s="1" t="str" cm="1">
        <f t="array" ref="D31">_xlfn.LET(_xlpm.result,10*_xlfn.XLOOKUP($A31,$A$2:$A$20,_xlfn.XLOOKUP(D$1,$B$1:$F$1,$B$2:$F$20)),IF(_xlpm.result&lt;0,"",_xlpm.result))</f>
        <v/>
      </c>
      <c r="E31" s="1" cm="1">
        <f t="array" ref="E31">_xlfn.LET(_xlpm.result,10*_xlfn.XLOOKUP($A31,$A$2:$A$20,_xlfn.XLOOKUP(E$1,$B$1:$F$1,$B$2:$F$20)),IF(_xlpm.result&lt;0,"",_xlpm.result))</f>
        <v>15</v>
      </c>
      <c r="F31" s="1" t="str" cm="1">
        <f t="array" ref="F31">_xlfn.LET(_xlpm.result,10*_xlfn.XLOOKUP($A31,$A$2:$A$20,_xlfn.XLOOKUP(F$1,$B$1:$F$1,$B$2:$F$20)),IF(_xlpm.result&lt;0,"",_xlpm.result))</f>
        <v/>
      </c>
      <c r="G31" s="10">
        <f>MAX(B31:F31)</f>
        <v>15</v>
      </c>
      <c r="N31" s="1"/>
    </row>
    <row r="32" spans="1:14" x14ac:dyDescent="0.25">
      <c r="A32" t="s">
        <v>23</v>
      </c>
      <c r="B32" s="1" cm="1">
        <f t="array" ref="B32">_xlfn.LET(_xlpm.result,10*_xlfn.XLOOKUP($A32,$A$2:$A$20,_xlfn.XLOOKUP(B$1,$B$1:$F$1,$B$2:$F$20)),IF(_xlpm.result&lt;0,"",_xlpm.result))</f>
        <v>0</v>
      </c>
      <c r="C32" s="1" cm="1">
        <f t="array" ref="C32">_xlfn.LET(_xlpm.result,10*_xlfn.XLOOKUP($A32,$A$2:$A$20,_xlfn.XLOOKUP(C$1,$B$1:$F$1,$B$2:$F$20)),IF(_xlpm.result&lt;0,"",_xlpm.result))</f>
        <v>20.999999999999901</v>
      </c>
      <c r="D32" s="1" t="str" cm="1">
        <f t="array" ref="D32">_xlfn.LET(_xlpm.result,10*_xlfn.XLOOKUP($A32,$A$2:$A$20,_xlfn.XLOOKUP(D$1,$B$1:$F$1,$B$2:$F$20)),IF(_xlpm.result&lt;0,"",_xlpm.result))</f>
        <v/>
      </c>
      <c r="E32" s="1" t="str" cm="1">
        <f t="array" ref="E32">_xlfn.LET(_xlpm.result,10*_xlfn.XLOOKUP($A32,$A$2:$A$20,_xlfn.XLOOKUP(E$1,$B$1:$F$1,$B$2:$F$20)),IF(_xlpm.result&lt;0,"",_xlpm.result))</f>
        <v/>
      </c>
      <c r="F32" s="1" t="str" cm="1">
        <f t="array" ref="F32">_xlfn.LET(_xlpm.result,10*_xlfn.XLOOKUP($A32,$A$2:$A$20,_xlfn.XLOOKUP(F$1,$B$1:$F$1,$B$2:$F$20)),IF(_xlpm.result&lt;0,"",_xlpm.result))</f>
        <v/>
      </c>
      <c r="G32" s="10">
        <f>MAX(B32:F32)</f>
        <v>20.999999999999901</v>
      </c>
      <c r="N32" s="1"/>
    </row>
    <row r="33" spans="1:9" s="16" customFormat="1" x14ac:dyDescent="0.25">
      <c r="A33" t="s">
        <v>41</v>
      </c>
      <c r="B33" s="1" t="str" cm="1">
        <f t="array" ref="B33">_xlfn.LET(_xlpm.result,10*_xlfn.XLOOKUP($A33,$A$2:$A$20,_xlfn.XLOOKUP(B$1,$B$1:$F$1,$B$2:$F$20)),IF(_xlpm.result&lt;0,"",_xlpm.result))</f>
        <v/>
      </c>
      <c r="C33" s="1" t="str" cm="1">
        <f t="array" ref="C33">_xlfn.LET(_xlpm.result,10*_xlfn.XLOOKUP($A33,$A$2:$A$20,_xlfn.XLOOKUP(C$1,$B$1:$F$1,$B$2:$F$20)),IF(_xlpm.result&lt;0,"",_xlpm.result))</f>
        <v/>
      </c>
      <c r="D33" s="1" cm="1">
        <f t="array" ref="D33">_xlfn.LET(_xlpm.result,10*_xlfn.XLOOKUP($A33,$A$2:$A$20,_xlfn.XLOOKUP(D$1,$B$1:$F$1,$B$2:$F$20)),IF(_xlpm.result&lt;0,"",_xlpm.result))</f>
        <v>4</v>
      </c>
      <c r="E33" s="1" cm="1">
        <f t="array" ref="E33">_xlfn.LET(_xlpm.result,10*_xlfn.XLOOKUP($A33,$A$2:$A$20,_xlfn.XLOOKUP(E$1,$B$1:$F$1,$B$2:$F$20)),IF(_xlpm.result&lt;0,"",_xlpm.result))</f>
        <v>26.999999999999901</v>
      </c>
      <c r="F33" s="1" t="str" cm="1">
        <f t="array" ref="F33">_xlfn.LET(_xlpm.result,10*_xlfn.XLOOKUP($A33,$A$2:$A$20,_xlfn.XLOOKUP(F$1,$B$1:$F$1,$B$2:$F$20)),IF(_xlpm.result&lt;0,"",_xlpm.result))</f>
        <v/>
      </c>
      <c r="G33" s="10">
        <f>MAX(B33:F33)</f>
        <v>26.999999999999901</v>
      </c>
    </row>
    <row r="34" spans="1:9" s="16" customFormat="1" x14ac:dyDescent="0.25">
      <c r="A34" t="s">
        <v>27</v>
      </c>
      <c r="B34" s="1" t="str" cm="1">
        <f t="array" ref="B34">_xlfn.LET(_xlpm.result,10*_xlfn.XLOOKUP($A34,$A$2:$A$20,_xlfn.XLOOKUP(B$1,$B$1:$F$1,$B$2:$F$20)),IF(_xlpm.result&lt;0,"",_xlpm.result))</f>
        <v/>
      </c>
      <c r="C34" s="1" cm="1">
        <f t="array" ref="C34">_xlfn.LET(_xlpm.result,10*_xlfn.XLOOKUP($A34,$A$2:$A$20,_xlfn.XLOOKUP(C$1,$B$1:$F$1,$B$2:$F$20)),IF(_xlpm.result&lt;0,"",_xlpm.result))</f>
        <v>35</v>
      </c>
      <c r="D34" s="1" t="str" cm="1">
        <f t="array" ref="D34">_xlfn.LET(_xlpm.result,10*_xlfn.XLOOKUP($A34,$A$2:$A$20,_xlfn.XLOOKUP(D$1,$B$1:$F$1,$B$2:$F$20)),IF(_xlpm.result&lt;0,"",_xlpm.result))</f>
        <v/>
      </c>
      <c r="E34" s="1" cm="1">
        <f t="array" ref="E34">_xlfn.LET(_xlpm.result,10*_xlfn.XLOOKUP($A34,$A$2:$A$20,_xlfn.XLOOKUP(E$1,$B$1:$F$1,$B$2:$F$20)),IF(_xlpm.result&lt;0,"",_xlpm.result))</f>
        <v>31</v>
      </c>
      <c r="F34" s="1" cm="1">
        <f t="array" ref="F34">_xlfn.LET(_xlpm.result,10*_xlfn.XLOOKUP($A34,$A$2:$A$20,_xlfn.XLOOKUP(F$1,$B$1:$F$1,$B$2:$F$20)),IF(_xlpm.result&lt;0,"",_xlpm.result))</f>
        <v>21</v>
      </c>
      <c r="G34" s="10">
        <f>MAX(B34:F34)</f>
        <v>35</v>
      </c>
    </row>
    <row r="35" spans="1:9" x14ac:dyDescent="0.25">
      <c r="A35" t="s">
        <v>38</v>
      </c>
      <c r="B35" s="1" cm="1">
        <f t="array" ref="B35">_xlfn.LET(_xlpm.result,10*_xlfn.XLOOKUP($A35,$A$2:$A$20,_xlfn.XLOOKUP(B$1,$B$1:$F$1,$B$2:$F$20)),IF(_xlpm.result&lt;0,"",_xlpm.result))</f>
        <v>38</v>
      </c>
      <c r="C35" s="1" t="str" cm="1">
        <f t="array" ref="C35">_xlfn.LET(_xlpm.result,10*_xlfn.XLOOKUP($A35,$A$2:$A$20,_xlfn.XLOOKUP(C$1,$B$1:$F$1,$B$2:$F$20)),IF(_xlpm.result&lt;0,"",_xlpm.result))</f>
        <v/>
      </c>
      <c r="D35" s="1" cm="1">
        <f t="array" ref="D35">_xlfn.LET(_xlpm.result,10*_xlfn.XLOOKUP($A35,$A$2:$A$20,_xlfn.XLOOKUP(D$1,$B$1:$F$1,$B$2:$F$20)),IF(_xlpm.result&lt;0,"",_xlpm.result))</f>
        <v>16</v>
      </c>
      <c r="E35" s="1" t="str" cm="1">
        <f t="array" ref="E35">_xlfn.LET(_xlpm.result,10*_xlfn.XLOOKUP($A35,$A$2:$A$20,_xlfn.XLOOKUP(E$1,$B$1:$F$1,$B$2:$F$20)),IF(_xlpm.result&lt;0,"",_xlpm.result))</f>
        <v/>
      </c>
      <c r="F35" s="1" t="str" cm="1">
        <f t="array" ref="F35">_xlfn.LET(_xlpm.result,10*_xlfn.XLOOKUP($A35,$A$2:$A$20,_xlfn.XLOOKUP(F$1,$B$1:$F$1,$B$2:$F$20)),IF(_xlpm.result&lt;0,"",_xlpm.result))</f>
        <v/>
      </c>
      <c r="G35" s="10">
        <f>MAX(B35:F35)</f>
        <v>38</v>
      </c>
    </row>
    <row r="36" spans="1:9" s="16" customFormat="1" x14ac:dyDescent="0.25">
      <c r="A36" t="s">
        <v>20</v>
      </c>
      <c r="B36" s="1" t="str" cm="1">
        <f t="array" ref="B36">_xlfn.LET(_xlpm.result,10*_xlfn.XLOOKUP($A36,$A$2:$A$20,_xlfn.XLOOKUP(B$1,$B$1:$F$1,$B$2:$F$20)),IF(_xlpm.result&lt;0,"",_xlpm.result))</f>
        <v/>
      </c>
      <c r="C36" s="1" t="str" cm="1">
        <f t="array" ref="C36">_xlfn.LET(_xlpm.result,10*_xlfn.XLOOKUP($A36,$A$2:$A$20,_xlfn.XLOOKUP(C$1,$B$1:$F$1,$B$2:$F$20)),IF(_xlpm.result&lt;0,"",_xlpm.result))</f>
        <v/>
      </c>
      <c r="D36" s="1" cm="1">
        <f t="array" ref="D36">_xlfn.LET(_xlpm.result,10*_xlfn.XLOOKUP($A36,$A$2:$A$20,_xlfn.XLOOKUP(D$1,$B$1:$F$1,$B$2:$F$20)),IF(_xlpm.result&lt;0,"",_xlpm.result))</f>
        <v>5</v>
      </c>
      <c r="E36" s="1" t="str" cm="1">
        <f t="array" ref="E36">_xlfn.LET(_xlpm.result,10*_xlfn.XLOOKUP($A36,$A$2:$A$20,_xlfn.XLOOKUP(E$1,$B$1:$F$1,$B$2:$F$20)),IF(_xlpm.result&lt;0,"",_xlpm.result))</f>
        <v/>
      </c>
      <c r="F36" s="1" cm="1">
        <f t="array" ref="F36">_xlfn.LET(_xlpm.result,10*_xlfn.XLOOKUP($A36,$A$2:$A$20,_xlfn.XLOOKUP(F$1,$B$1:$F$1,$B$2:$F$20)),IF(_xlpm.result&lt;0,"",_xlpm.result))</f>
        <v>38</v>
      </c>
      <c r="G36" s="10">
        <f>MAX(B36:F36)</f>
        <v>38</v>
      </c>
    </row>
    <row r="37" spans="1:9" x14ac:dyDescent="0.25">
      <c r="A37" t="s">
        <v>42</v>
      </c>
      <c r="B37" s="1" cm="1">
        <f t="array" ref="B37">_xlfn.LET(_xlpm.result,10*_xlfn.XLOOKUP($A37,$A$2:$A$20,_xlfn.XLOOKUP(B$1,$B$1:$F$1,$B$2:$F$20)),IF(_xlpm.result&lt;0,"",_xlpm.result))</f>
        <v>0</v>
      </c>
      <c r="C37" s="1" cm="1">
        <f t="array" ref="C37">_xlfn.LET(_xlpm.result,10*_xlfn.XLOOKUP($A37,$A$2:$A$20,_xlfn.XLOOKUP(C$1,$B$1:$F$1,$B$2:$F$20)),IF(_xlpm.result&lt;0,"",_xlpm.result))</f>
        <v>10</v>
      </c>
      <c r="D37" s="1" cm="1">
        <f t="array" ref="D37">_xlfn.LET(_xlpm.result,10*_xlfn.XLOOKUP($A37,$A$2:$A$20,_xlfn.XLOOKUP(D$1,$B$1:$F$1,$B$2:$F$20)),IF(_xlpm.result&lt;0,"",_xlpm.result))</f>
        <v>14</v>
      </c>
      <c r="E37" s="1" cm="1">
        <f t="array" ref="E37">_xlfn.LET(_xlpm.result,10*_xlfn.XLOOKUP($A37,$A$2:$A$20,_xlfn.XLOOKUP(E$1,$B$1:$F$1,$B$2:$F$20)),IF(_xlpm.result&lt;0,"",_xlpm.result))</f>
        <v>41</v>
      </c>
      <c r="F37" s="1" t="str" cm="1">
        <f t="array" ref="F37">_xlfn.LET(_xlpm.result,10*_xlfn.XLOOKUP($A37,$A$2:$A$20,_xlfn.XLOOKUP(F$1,$B$1:$F$1,$B$2:$F$20)),IF(_xlpm.result&lt;0,"",_xlpm.result))</f>
        <v/>
      </c>
      <c r="G37" s="10">
        <f>MAX(B37:F37)</f>
        <v>41</v>
      </c>
    </row>
    <row r="38" spans="1:9" s="16" customFormat="1" x14ac:dyDescent="0.25">
      <c r="A38" t="s">
        <v>25</v>
      </c>
      <c r="B38" s="1" t="str" cm="1">
        <f t="array" ref="B38">_xlfn.LET(_xlpm.result,10*_xlfn.XLOOKUP($A38,$A$2:$A$20,_xlfn.XLOOKUP(B$1,$B$1:$F$1,$B$2:$F$20)),IF(_xlpm.result&lt;0,"",_xlpm.result))</f>
        <v/>
      </c>
      <c r="C38" s="1" t="str" cm="1">
        <f t="array" ref="C38">_xlfn.LET(_xlpm.result,10*_xlfn.XLOOKUP($A38,$A$2:$A$20,_xlfn.XLOOKUP(C$1,$B$1:$F$1,$B$2:$F$20)),IF(_xlpm.result&lt;0,"",_xlpm.result))</f>
        <v/>
      </c>
      <c r="D38" s="1" t="str" cm="1">
        <f t="array" ref="D38">_xlfn.LET(_xlpm.result,10*_xlfn.XLOOKUP($A38,$A$2:$A$20,_xlfn.XLOOKUP(D$1,$B$1:$F$1,$B$2:$F$20)),IF(_xlpm.result&lt;0,"",_xlpm.result))</f>
        <v/>
      </c>
      <c r="E38" s="1" t="str" cm="1">
        <f t="array" ref="E38">_xlfn.LET(_xlpm.result,10*_xlfn.XLOOKUP($A38,$A$2:$A$20,_xlfn.XLOOKUP(E$1,$B$1:$F$1,$B$2:$F$20)),IF(_xlpm.result&lt;0,"",_xlpm.result))</f>
        <v/>
      </c>
      <c r="F38" s="1" cm="1">
        <f t="array" ref="F38">_xlfn.LET(_xlpm.result,10*_xlfn.XLOOKUP($A38,$A$2:$A$20,_xlfn.XLOOKUP(F$1,$B$1:$F$1,$B$2:$F$20)),IF(_xlpm.result&lt;0,"",_xlpm.result))</f>
        <v>47</v>
      </c>
      <c r="G38" s="10">
        <f>MAX(B38:F38)</f>
        <v>47</v>
      </c>
    </row>
    <row r="39" spans="1:9" s="16" customFormat="1" ht="21" x14ac:dyDescent="0.35">
      <c r="A39" t="s">
        <v>48</v>
      </c>
      <c r="B39" s="21" cm="1">
        <f t="array" ref="B39">_xlfn.LET(_xlpm.result,10*_xlfn.XLOOKUP($A39,$A$2:$A$20,_xlfn.XLOOKUP(B$1,$B$1:$F$1,$B$2:$F$20)),IF(_xlpm.result&lt;0,"",_xlpm.result))</f>
        <v>74</v>
      </c>
      <c r="C39" s="1" cm="1">
        <f t="array" ref="C39">_xlfn.LET(_xlpm.result,10*_xlfn.XLOOKUP($A39,$A$2:$A$20,_xlfn.XLOOKUP(C$1,$B$1:$F$1,$B$2:$F$20)),IF(_xlpm.result&lt;0,"",_xlpm.result))</f>
        <v>36</v>
      </c>
      <c r="D39" s="1" cm="1">
        <f t="array" ref="D39">_xlfn.LET(_xlpm.result,10*_xlfn.XLOOKUP($A39,$A$2:$A$20,_xlfn.XLOOKUP(D$1,$B$1:$F$1,$B$2:$F$20)),IF(_xlpm.result&lt;0,"",_xlpm.result))</f>
        <v>53</v>
      </c>
      <c r="E39" s="1" cm="1">
        <f t="array" ref="E39">_xlfn.LET(_xlpm.result,10*_xlfn.XLOOKUP($A39,$A$2:$A$20,_xlfn.XLOOKUP(E$1,$B$1:$F$1,$B$2:$F$20)),IF(_xlpm.result&lt;0,"",_xlpm.result))</f>
        <v>40</v>
      </c>
      <c r="F39" s="1" cm="1">
        <f t="array" ref="F39">_xlfn.LET(_xlpm.result,10*_xlfn.XLOOKUP($A39,$A$2:$A$20,_xlfn.XLOOKUP(F$1,$B$1:$F$1,$B$2:$F$20)),IF(_xlpm.result&lt;0,"",_xlpm.result))</f>
        <v>53</v>
      </c>
      <c r="G39" s="10">
        <f>MAX(B39:F39)</f>
        <v>74</v>
      </c>
      <c r="H39" s="28">
        <v>5</v>
      </c>
    </row>
    <row r="40" spans="1:9" s="25" customFormat="1" ht="21" x14ac:dyDescent="0.35">
      <c r="A40" t="s">
        <v>24</v>
      </c>
      <c r="B40" s="1" t="str" cm="1">
        <f t="array" ref="B40">_xlfn.LET(_xlpm.result,10*_xlfn.XLOOKUP($A40,$A$2:$A$20,_xlfn.XLOOKUP(B$1,$B$1:$F$1,$B$2:$F$20)),IF(_xlpm.result&lt;0,"",_xlpm.result))</f>
        <v/>
      </c>
      <c r="C40" s="21" cm="1">
        <f t="array" ref="C40">_xlfn.LET(_xlpm.result,10*_xlfn.XLOOKUP($A40,$A$2:$A$20,_xlfn.XLOOKUP(C$1,$B$1:$F$1,$B$2:$F$20)),IF(_xlpm.result&lt;0,"",_xlpm.result))</f>
        <v>80</v>
      </c>
      <c r="D40" s="1" t="str" cm="1">
        <f t="array" ref="D40">_xlfn.LET(_xlpm.result,10*_xlfn.XLOOKUP($A40,$A$2:$A$20,_xlfn.XLOOKUP(D$1,$B$1:$F$1,$B$2:$F$20)),IF(_xlpm.result&lt;0,"",_xlpm.result))</f>
        <v/>
      </c>
      <c r="E40" s="1" t="str" cm="1">
        <f t="array" ref="E40">_xlfn.LET(_xlpm.result,10*_xlfn.XLOOKUP($A40,$A$2:$A$20,_xlfn.XLOOKUP(E$1,$B$1:$F$1,$B$2:$F$20)),IF(_xlpm.result&lt;0,"",_xlpm.result))</f>
        <v/>
      </c>
      <c r="F40" s="1" t="str" cm="1">
        <f t="array" ref="F40">_xlfn.LET(_xlpm.result,10*_xlfn.XLOOKUP($A40,$A$2:$A$20,_xlfn.XLOOKUP(F$1,$B$1:$F$1,$B$2:$F$20)),IF(_xlpm.result&lt;0,"",_xlpm.result))</f>
        <v/>
      </c>
      <c r="G40" s="10">
        <f>MAX(B40:F40)</f>
        <v>80</v>
      </c>
      <c r="H40" s="28">
        <v>4</v>
      </c>
    </row>
    <row r="41" spans="1:9" s="16" customFormat="1" ht="21" x14ac:dyDescent="0.35">
      <c r="A41" t="s">
        <v>45</v>
      </c>
      <c r="B41" s="1" t="str" cm="1">
        <f t="array" ref="B41">_xlfn.LET(_xlpm.result,10*_xlfn.XLOOKUP($A41,$A$2:$A$20,_xlfn.XLOOKUP(B$1,$B$1:$F$1,$B$2:$F$20)),IF(_xlpm.result&lt;0,"",_xlpm.result))</f>
        <v/>
      </c>
      <c r="C41" s="1" cm="1">
        <f t="array" ref="C41">_xlfn.LET(_xlpm.result,10*_xlfn.XLOOKUP($A41,$A$2:$A$20,_xlfn.XLOOKUP(C$1,$B$1:$F$1,$B$2:$F$20)),IF(_xlpm.result&lt;0,"",_xlpm.result))</f>
        <v>34</v>
      </c>
      <c r="D41" s="1" t="str" cm="1">
        <f t="array" ref="D41">_xlfn.LET(_xlpm.result,10*_xlfn.XLOOKUP($A41,$A$2:$A$20,_xlfn.XLOOKUP(D$1,$B$1:$F$1,$B$2:$F$20)),IF(_xlpm.result&lt;0,"",_xlpm.result))</f>
        <v/>
      </c>
      <c r="E41" s="21" cm="1">
        <f t="array" ref="E41">_xlfn.LET(_xlpm.result,10*_xlfn.XLOOKUP($A41,$A$2:$A$20,_xlfn.XLOOKUP(E$1,$B$1:$F$1,$B$2:$F$20)),IF(_xlpm.result&lt;0,"",_xlpm.result))</f>
        <v>97</v>
      </c>
      <c r="F41" s="1" t="str" cm="1">
        <f t="array" ref="F41">_xlfn.LET(_xlpm.result,10*_xlfn.XLOOKUP($A41,$A$2:$A$20,_xlfn.XLOOKUP(F$1,$B$1:$F$1,$B$2:$F$20)),IF(_xlpm.result&lt;0,"",_xlpm.result))</f>
        <v/>
      </c>
      <c r="G41" s="10">
        <f>MAX(B41:F41)</f>
        <v>97</v>
      </c>
      <c r="H41" s="28">
        <v>3</v>
      </c>
    </row>
    <row r="42" spans="1:9" s="16" customFormat="1" ht="21" x14ac:dyDescent="0.35">
      <c r="A42" t="s">
        <v>44</v>
      </c>
      <c r="B42" s="1" cm="1">
        <f t="array" ref="B42">_xlfn.LET(_xlpm.result,10*_xlfn.XLOOKUP($A42,$A$2:$A$20,_xlfn.XLOOKUP(B$1,$B$1:$F$1,$B$2:$F$20)),IF(_xlpm.result&lt;0,"",_xlpm.result))</f>
        <v>33.999999999999901</v>
      </c>
      <c r="C42" s="1" cm="1">
        <f t="array" ref="C42">_xlfn.LET(_xlpm.result,10*_xlfn.XLOOKUP($A42,$A$2:$A$20,_xlfn.XLOOKUP(C$1,$B$1:$F$1,$B$2:$F$20)),IF(_xlpm.result&lt;0,"",_xlpm.result))</f>
        <v>102</v>
      </c>
      <c r="D42" s="1" cm="1">
        <f t="array" ref="D42">_xlfn.LET(_xlpm.result,10*_xlfn.XLOOKUP($A42,$A$2:$A$20,_xlfn.XLOOKUP(D$1,$B$1:$F$1,$B$2:$F$20)),IF(_xlpm.result&lt;0,"",_xlpm.result))</f>
        <v>71</v>
      </c>
      <c r="E42" s="1" cm="1">
        <f t="array" ref="E42">_xlfn.LET(_xlpm.result,10*_xlfn.XLOOKUP($A42,$A$2:$A$20,_xlfn.XLOOKUP(E$1,$B$1:$F$1,$B$2:$F$20)),IF(_xlpm.result&lt;0,"",_xlpm.result))</f>
        <v>6.9999999999999893</v>
      </c>
      <c r="F42" s="21" cm="1">
        <f t="array" ref="F42">_xlfn.LET(_xlpm.result,10*_xlfn.XLOOKUP($A42,$A$2:$A$20,_xlfn.XLOOKUP(F$1,$B$1:$F$1,$B$2:$F$20)),IF(_xlpm.result&lt;0,"",_xlpm.result))</f>
        <v>71</v>
      </c>
      <c r="G42" s="10">
        <f>MAX(B42:F42)</f>
        <v>102</v>
      </c>
      <c r="H42" s="28">
        <v>2</v>
      </c>
    </row>
    <row r="43" spans="1:9" ht="21" x14ac:dyDescent="0.35">
      <c r="A43" t="s">
        <v>34</v>
      </c>
      <c r="B43" s="1" cm="1">
        <f t="array" ref="B43">_xlfn.LET(_xlpm.result,10*_xlfn.XLOOKUP($A43,$A$2:$A$20,_xlfn.XLOOKUP(B$1,$B$1:$F$1,$B$2:$F$20)),IF(_xlpm.result&lt;0,"",_xlpm.result))</f>
        <v>51.999999999999901</v>
      </c>
      <c r="C43" s="1" cm="1">
        <f t="array" ref="C43">_xlfn.LET(_xlpm.result,10*_xlfn.XLOOKUP($A43,$A$2:$A$20,_xlfn.XLOOKUP(C$1,$B$1:$F$1,$B$2:$F$20)),IF(_xlpm.result&lt;0,"",_xlpm.result))</f>
        <v>61</v>
      </c>
      <c r="D43" s="21" cm="1">
        <f t="array" ref="D43">_xlfn.LET(_xlpm.result,10*_xlfn.XLOOKUP($A43,$A$2:$A$20,_xlfn.XLOOKUP(D$1,$B$1:$F$1,$B$2:$F$20)),IF(_xlpm.result&lt;0,"",_xlpm.result))</f>
        <v>165</v>
      </c>
      <c r="E43" s="1" cm="1">
        <f t="array" ref="E43">_xlfn.LET(_xlpm.result,10*_xlfn.XLOOKUP($A43,$A$2:$A$20,_xlfn.XLOOKUP(E$1,$B$1:$F$1,$B$2:$F$20)),IF(_xlpm.result&lt;0,"",_xlpm.result))</f>
        <v>48</v>
      </c>
      <c r="F43" s="1" cm="1">
        <f t="array" ref="F43">_xlfn.LET(_xlpm.result,10*_xlfn.XLOOKUP($A43,$A$2:$A$20,_xlfn.XLOOKUP(F$1,$B$1:$F$1,$B$2:$F$20)),IF(_xlpm.result&lt;0,"",_xlpm.result))</f>
        <v>128.99999999999901</v>
      </c>
      <c r="G43" s="10">
        <f>MAX(B43:F43)</f>
        <v>165</v>
      </c>
      <c r="H43" s="28">
        <v>1</v>
      </c>
    </row>
    <row r="44" spans="1:9" x14ac:dyDescent="0.25">
      <c r="B44" s="1"/>
      <c r="C44" s="1"/>
      <c r="D44" s="1"/>
      <c r="E44" s="1"/>
      <c r="F44" s="1"/>
      <c r="G44" s="10"/>
    </row>
    <row r="45" spans="1:9" x14ac:dyDescent="0.25">
      <c r="A45" t="s">
        <v>60</v>
      </c>
      <c r="E45" s="3"/>
      <c r="G45" s="10">
        <f>SUM(B45:F45)</f>
        <v>0</v>
      </c>
      <c r="H45">
        <f>MIN(B45:F45)</f>
        <v>0</v>
      </c>
      <c r="I45" s="23" t="e">
        <f>AVERAGE(B45:F45)</f>
        <v>#DIV/0!</v>
      </c>
    </row>
    <row r="46" spans="1:9" x14ac:dyDescent="0.25">
      <c r="A46" t="s">
        <v>61</v>
      </c>
      <c r="G46" s="10">
        <f>SUM(B46:F46)</f>
        <v>0</v>
      </c>
      <c r="H46">
        <f>MIN(B46:F46)</f>
        <v>0</v>
      </c>
      <c r="I46" s="23" t="e">
        <f>AVERAGE(B46:F46)</f>
        <v>#DIV/0!</v>
      </c>
    </row>
    <row r="48" spans="1:9" x14ac:dyDescent="0.25">
      <c r="A48" t="s">
        <v>62</v>
      </c>
      <c r="B48">
        <f t="shared" ref="B48:I48" si="0">B46-B45</f>
        <v>0</v>
      </c>
      <c r="C48">
        <f t="shared" si="0"/>
        <v>0</v>
      </c>
      <c r="D48">
        <f t="shared" si="0"/>
        <v>0</v>
      </c>
      <c r="E48">
        <f t="shared" si="0"/>
        <v>0</v>
      </c>
      <c r="F48">
        <f t="shared" si="0"/>
        <v>0</v>
      </c>
      <c r="G48">
        <f t="shared" si="0"/>
        <v>0</v>
      </c>
      <c r="H48">
        <f t="shared" si="0"/>
        <v>0</v>
      </c>
      <c r="I48" s="22" t="e">
        <f t="shared" si="0"/>
        <v>#DIV/0!</v>
      </c>
    </row>
  </sheetData>
  <autoFilter ref="A24:G24" xr:uid="{54BE77A0-7D21-425B-A240-22D447E1FEA2}">
    <sortState xmlns:xlrd2="http://schemas.microsoft.com/office/spreadsheetml/2017/richdata2" ref="A25:G43">
      <sortCondition ref="G24"/>
    </sortState>
  </autoFilter>
  <conditionalFormatting sqref="B2:F2"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:F3"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:F4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F5"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F15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6:F16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7:F17"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8:F18"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F20"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3:F23 B21:F21">
    <cfRule type="colorScale" priority="4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F23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4:F44">
    <cfRule type="colorScale" priority="4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45:F45"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46:F46"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F43"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team_weekly_fpi_1</vt:lpstr>
      <vt:lpstr>team_weekly_fpi_2</vt:lpstr>
      <vt:lpstr>team_weekly_fpi_3</vt:lpstr>
      <vt:lpstr>team_weekly_fpi_3_ME</vt:lpstr>
      <vt:lpstr>team_weekly_fpi_4</vt:lpstr>
      <vt:lpstr>team_weekly_fpi_5</vt:lpstr>
      <vt:lpstr>team_weekly_fpi_6</vt:lpstr>
      <vt:lpstr>team_weekly_fpi_7</vt:lpstr>
      <vt:lpstr>team_weekly_fpi_8</vt:lpstr>
      <vt:lpstr>team_weekly_fpi_9</vt:lpstr>
      <vt:lpstr>team_weekly_fpi_10</vt:lpstr>
      <vt:lpstr>team_weekly_fpi_11</vt:lpstr>
      <vt:lpstr>team_weekly_fpi_12</vt:lpstr>
      <vt:lpstr>team_weekly_fpi_13</vt:lpstr>
      <vt:lpstr>team_weekly_fpi_14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Selvey</dc:creator>
  <cp:lastModifiedBy>Jake Selvey</cp:lastModifiedBy>
  <dcterms:created xsi:type="dcterms:W3CDTF">2025-09-03T13:41:03Z</dcterms:created>
  <dcterms:modified xsi:type="dcterms:W3CDTF">2025-12-02T15:39:23Z</dcterms:modified>
</cp:coreProperties>
</file>